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1A50085E-00F5-4A46-9843-7E4A6B545800}" xr6:coauthVersionLast="41" xr6:coauthVersionMax="41" xr10:uidLastSave="{00000000-0000-0000-0000-000000000000}"/>
  <bookViews>
    <workbookView xWindow="23040" yWindow="732" windowWidth="23028" windowHeight="12960" xr2:uid="{00000000-000D-0000-FFFF-FFFF00000000}"/>
  </bookViews>
  <sheets>
    <sheet name="Transshipment" sheetId="2" r:id="rId1"/>
    <sheet name="Transshipment (Python)" sheetId="4" r:id="rId2"/>
    <sheet name="Distributor" sheetId="3" r:id="rId3"/>
    <sheet name="Distributor (Python)" sheetId="5" r:id="rId4"/>
    <sheet name="Flight" sheetId="8" r:id="rId5"/>
    <sheet name="Flight (Python)" sheetId="9" r:id="rId6"/>
    <sheet name="Max Flow" sheetId="10" r:id="rId7"/>
    <sheet name="Max Flow (Python)" sheetId="11" r:id="rId8"/>
    <sheet name="Multi-Commodity" sheetId="12" r:id="rId9"/>
    <sheet name="Multi-Commodity (Python)" sheetId="13" r:id="rId10"/>
  </sheets>
  <externalReferences>
    <externalReference r:id="rId11"/>
  </externalReferences>
  <definedNames>
    <definedName name="BalAfterLoan" localSheetId="5">#REF!</definedName>
    <definedName name="BalAfterLoan" localSheetId="7">#REF!</definedName>
    <definedName name="BalAfterLoan" localSheetId="9">#REF!</definedName>
    <definedName name="BalAfterLoan">#REF!</definedName>
    <definedName name="Capacities1" localSheetId="5">#REF!</definedName>
    <definedName name="Capacities1" localSheetId="7">#REF!</definedName>
    <definedName name="Capacities1" localSheetId="9">#REF!</definedName>
    <definedName name="Capacities1">#REF!</definedName>
    <definedName name="coin_cuttype" localSheetId="4" hidden="1">1</definedName>
    <definedName name="coin_cuttype" localSheetId="5" hidden="1">1</definedName>
    <definedName name="coin_dualtol" localSheetId="4" hidden="1">0.0000001</definedName>
    <definedName name="coin_dualtol" localSheetId="5" hidden="1">0.0000001</definedName>
    <definedName name="coin_heurs" localSheetId="4" hidden="1">1</definedName>
    <definedName name="coin_heurs" localSheetId="5" hidden="1">1</definedName>
    <definedName name="coin_integerpresolve" localSheetId="4" hidden="1">1</definedName>
    <definedName name="coin_integerpresolve" localSheetId="5" hidden="1">1</definedName>
    <definedName name="coin_presolve1" localSheetId="4" hidden="1">1</definedName>
    <definedName name="coin_presolve1" localSheetId="5" hidden="1">1</definedName>
    <definedName name="coin_primaltol" localSheetId="4" hidden="1">0.0000001</definedName>
    <definedName name="coin_primaltol" localSheetId="5" hidden="1">0.0000001</definedName>
    <definedName name="CostMatrix" localSheetId="5">#REF!</definedName>
    <definedName name="CostMatrix" localSheetId="7">#REF!</definedName>
    <definedName name="CostMatrix" localSheetId="9">#REF!</definedName>
    <definedName name="CostMatrix">#REF!</definedName>
    <definedName name="Demands1" localSheetId="5">#REF!</definedName>
    <definedName name="Demands1" localSheetId="7">#REF!</definedName>
    <definedName name="Demands1" localSheetId="9">#REF!</definedName>
    <definedName name="Demands1">#REF!</definedName>
    <definedName name="Dests1" localSheetId="5">#REF!</definedName>
    <definedName name="Dests1" localSheetId="7">#REF!</definedName>
    <definedName name="Dests1" localSheetId="9">#REF!</definedName>
    <definedName name="Dests1">#REF!</definedName>
    <definedName name="EndBal" localSheetId="5">#REF!</definedName>
    <definedName name="EndBal" localSheetId="7">#REF!</definedName>
    <definedName name="EndBal" localSheetId="9">#REF!</definedName>
    <definedName name="EndBal">#REF!</definedName>
    <definedName name="FinalBal" localSheetId="5">#REF!</definedName>
    <definedName name="FinalBal" localSheetId="7">#REF!</definedName>
    <definedName name="FinalBal" localSheetId="9">#REF!</definedName>
    <definedName name="FinalBal">#REF!</definedName>
    <definedName name="Flows1" localSheetId="5">#REF!</definedName>
    <definedName name="Flows1" localSheetId="7">#REF!</definedName>
    <definedName name="Flows1" localSheetId="9">#REF!</definedName>
    <definedName name="Flows1">#REF!</definedName>
    <definedName name="grb_async_callbacks" localSheetId="4" hidden="1">1</definedName>
    <definedName name="grb_async_callbacks" localSheetId="5" hidden="1">1</definedName>
    <definedName name="grb_bariter" localSheetId="4" hidden="1">1E+100</definedName>
    <definedName name="grb_bariter" localSheetId="5" hidden="1">1E+100</definedName>
    <definedName name="grb_bartol" localSheetId="4" hidden="1">0.00000001</definedName>
    <definedName name="grb_bartol" localSheetId="5" hidden="1">0.00000001</definedName>
    <definedName name="grb_crossover" localSheetId="4" hidden="1">-1</definedName>
    <definedName name="grb_crossover" localSheetId="5" hidden="1">-1</definedName>
    <definedName name="grb_cutoff" localSheetId="4" hidden="1">1E+100</definedName>
    <definedName name="grb_cutoff" localSheetId="5" hidden="1">1E+100</definedName>
    <definedName name="grb_cuts" localSheetId="4" hidden="1">-1</definedName>
    <definedName name="grb_cuts" localSheetId="5" hidden="1">-1</definedName>
    <definedName name="grb_focus" localSheetId="4" hidden="1">0</definedName>
    <definedName name="grb_focus" localSheetId="5" hidden="1">0</definedName>
    <definedName name="grb_heur" localSheetId="4" hidden="1">0.05</definedName>
    <definedName name="grb_heur" localSheetId="5" hidden="1">0.05</definedName>
    <definedName name="grb_improv" localSheetId="4" hidden="1">1E+100</definedName>
    <definedName name="grb_improv" localSheetId="5" hidden="1">1E+100</definedName>
    <definedName name="grb_infeas" localSheetId="4" hidden="1">0.000001</definedName>
    <definedName name="grb_infeas" localSheetId="5" hidden="1">0.000001</definedName>
    <definedName name="grb_inttol" localSheetId="4" hidden="1">0.00001</definedName>
    <definedName name="grb_inttol" localSheetId="5" hidden="1">0.00001</definedName>
    <definedName name="grb_method" localSheetId="4" hidden="1">1</definedName>
    <definedName name="grb_method" localSheetId="5" hidden="1">1</definedName>
    <definedName name="grb_nodefilestart" localSheetId="4" hidden="1">1E+100</definedName>
    <definedName name="grb_nodefilestart" localSheetId="5" hidden="1">1E+100</definedName>
    <definedName name="grb_optimal" localSheetId="4" hidden="1">0.000001</definedName>
    <definedName name="grb_optimal" localSheetId="5" hidden="1">0.000001</definedName>
    <definedName name="grb_order" localSheetId="4" hidden="1">-1</definedName>
    <definedName name="grb_order" localSheetId="5" hidden="1">-1</definedName>
    <definedName name="grb_presolve" localSheetId="4" hidden="1">-1</definedName>
    <definedName name="grb_presolve" localSheetId="5" hidden="1">-1</definedName>
    <definedName name="grb_pricing" localSheetId="4" hidden="1">-1</definedName>
    <definedName name="grb_pricing" localSheetId="5" hidden="1">-1</definedName>
    <definedName name="grb_psdtol" localSheetId="4" hidden="1">0.000001</definedName>
    <definedName name="grb_psdtol" localSheetId="5" hidden="1">0.000001</definedName>
    <definedName name="grb_qcptol" localSheetId="4" hidden="1">0.000001</definedName>
    <definedName name="grb_qcptol" localSheetId="5" hidden="1">0.000001</definedName>
    <definedName name="grb_relmip" localSheetId="4" hidden="1">0.0001</definedName>
    <definedName name="grb_relmip" localSheetId="5" hidden="1">0.0001</definedName>
    <definedName name="grb_seed" localSheetId="4" hidden="1">0</definedName>
    <definedName name="grb_seed" localSheetId="5" hidden="1">0</definedName>
    <definedName name="grb_submip" localSheetId="4" hidden="1">500</definedName>
    <definedName name="grb_submip" localSheetId="5" hidden="1">500</definedName>
    <definedName name="grb_symmetry" localSheetId="4" hidden="1">-1</definedName>
    <definedName name="grb_symmetry" localSheetId="5" hidden="1">-1</definedName>
    <definedName name="grb_threads" localSheetId="4" hidden="1">0</definedName>
    <definedName name="grb_threads" localSheetId="5" hidden="1">0</definedName>
    <definedName name="grb_var" localSheetId="4" hidden="1">-1</definedName>
    <definedName name="grb_var" localSheetId="5" hidden="1">-1</definedName>
    <definedName name="gurobi_qp" localSheetId="4" hidden="1">2</definedName>
    <definedName name="gurobi_qp" localSheetId="5" hidden="1">2</definedName>
    <definedName name="Inflows1" localSheetId="5">#REF!</definedName>
    <definedName name="Inflows1" localSheetId="7">#REF!</definedName>
    <definedName name="Inflows1" localSheetId="9">#REF!</definedName>
    <definedName name="Inflows1">#REF!</definedName>
    <definedName name="InitCash" localSheetId="5">#REF!</definedName>
    <definedName name="InitCash" localSheetId="7">#REF!</definedName>
    <definedName name="InitCash" localSheetId="9">#REF!</definedName>
    <definedName name="InitCash">#REF!</definedName>
    <definedName name="IntRate" localSheetId="5">#REF!</definedName>
    <definedName name="IntRate" localSheetId="7">#REF!</definedName>
    <definedName name="IntRate" localSheetId="9">#REF!</definedName>
    <definedName name="IntRate">#REF!</definedName>
    <definedName name="LSGRGeng_RelaxBounds" localSheetId="4" hidden="1">0</definedName>
    <definedName name="LSGRGeng_RelaxBounds" localSheetId="5" hidden="1">0</definedName>
    <definedName name="LTLoan" localSheetId="5">#REF!</definedName>
    <definedName name="LTLoan" localSheetId="7">#REF!</definedName>
    <definedName name="LTLoan" localSheetId="9">#REF!</definedName>
    <definedName name="LTLoan">#REF!</definedName>
    <definedName name="LTRate" localSheetId="5">#REF!</definedName>
    <definedName name="LTRate" localSheetId="7">#REF!</definedName>
    <definedName name="LTRate" localSheetId="9">#REF!</definedName>
    <definedName name="LTRate">#REF!</definedName>
    <definedName name="MaxEndInv" localSheetId="5">[1]Pigskin!#REF!</definedName>
    <definedName name="MaxEndInv" localSheetId="7">[1]Pigskin!#REF!</definedName>
    <definedName name="MaxEndInv" localSheetId="9">[1]Pigskin!#REF!</definedName>
    <definedName name="MaxEndInv">[1]Pigskin!#REF!</definedName>
    <definedName name="MinBal" localSheetId="5">#REF!</definedName>
    <definedName name="MinBal" localSheetId="7">#REF!</definedName>
    <definedName name="MinBal" localSheetId="9">#REF!</definedName>
    <definedName name="MinBal">#REF!</definedName>
    <definedName name="MinCashBal" localSheetId="5">#REF!</definedName>
    <definedName name="MinCashBal" localSheetId="7">#REF!</definedName>
    <definedName name="MinCashBal" localSheetId="9">#REF!</definedName>
    <definedName name="MinCashBal">#REF!</definedName>
    <definedName name="NetOutflows1" localSheetId="5">#REF!</definedName>
    <definedName name="NetOutflows1" localSheetId="7">#REF!</definedName>
    <definedName name="NetOutflows1" localSheetId="9">#REF!</definedName>
    <definedName name="NetOutflows1">#REF!</definedName>
    <definedName name="Origins1" localSheetId="5">#REF!</definedName>
    <definedName name="Origins1" localSheetId="7">#REF!</definedName>
    <definedName name="Origins1" localSheetId="9">#REF!</definedName>
    <definedName name="Origins1">#REF!</definedName>
    <definedName name="Outflows1" localSheetId="5">#REF!</definedName>
    <definedName name="Outflows1" localSheetId="7">#REF!</definedName>
    <definedName name="Outflows1" localSheetId="9">#REF!</definedName>
    <definedName name="Outflows1">#REF!</definedName>
    <definedName name="sencount" hidden="1">2</definedName>
    <definedName name="sencount2" hidden="1">3</definedName>
    <definedName name="solver_acc" localSheetId="4" hidden="1">0.001</definedName>
    <definedName name="solver_acc" localSheetId="5" hidden="1">0.001</definedName>
    <definedName name="solver_adj_ob" localSheetId="4" hidden="1">1</definedName>
    <definedName name="solver_adj_ob" localSheetId="5" hidden="1">1</definedName>
    <definedName name="solver_ars" localSheetId="4" hidden="1">1</definedName>
    <definedName name="solver_ars" localSheetId="5" hidden="1">1</definedName>
    <definedName name="solver_cha" localSheetId="4" hidden="1">0</definedName>
    <definedName name="solver_cha" localSheetId="5" hidden="1">0</definedName>
    <definedName name="solver_chc1" localSheetId="4" hidden="1">0</definedName>
    <definedName name="solver_chc1" localSheetId="5" hidden="1">0</definedName>
    <definedName name="solver_chc2" localSheetId="4" hidden="1">0</definedName>
    <definedName name="solver_chc2" localSheetId="5" hidden="1">0</definedName>
    <definedName name="solver_chn" localSheetId="4" hidden="1">4</definedName>
    <definedName name="solver_chn" localSheetId="5" hidden="1">4</definedName>
    <definedName name="solver_chp1" localSheetId="4" hidden="1">0</definedName>
    <definedName name="solver_chp1" localSheetId="5" hidden="1">0</definedName>
    <definedName name="solver_chp2" localSheetId="4" hidden="1">0</definedName>
    <definedName name="solver_chp2" localSheetId="5" hidden="1">0</definedName>
    <definedName name="solver_cht" localSheetId="4" hidden="1">0</definedName>
    <definedName name="solver_cht" localSheetId="5" hidden="1">0</definedName>
    <definedName name="solver_cir1" localSheetId="4" hidden="1">1</definedName>
    <definedName name="solver_cir1" localSheetId="5" hidden="1">1</definedName>
    <definedName name="solver_cir2" localSheetId="4" hidden="1">1</definedName>
    <definedName name="solver_cir2" localSheetId="5" hidden="1">1</definedName>
    <definedName name="solver_con" localSheetId="4" hidden="1">" "</definedName>
    <definedName name="solver_con" localSheetId="5" hidden="1">" "</definedName>
    <definedName name="solver_con1" localSheetId="4" hidden="1">" "</definedName>
    <definedName name="solver_con1" localSheetId="5" hidden="1">" "</definedName>
    <definedName name="solver_con2" localSheetId="4" hidden="1">" "</definedName>
    <definedName name="solver_con2" localSheetId="5" hidden="1">" "</definedName>
    <definedName name="solver_corr" hidden="1">1</definedName>
    <definedName name="solver_ctp1" hidden="1">0</definedName>
    <definedName name="solver_ctp2" hidden="1">0</definedName>
    <definedName name="solver_cvg" localSheetId="4" hidden="1">0.0001</definedName>
    <definedName name="solver_cvg" localSheetId="5" hidden="1">0.0001</definedName>
    <definedName name="solver_dia" localSheetId="4" hidden="1">5</definedName>
    <definedName name="solver_dia" localSheetId="5" hidden="1">5</definedName>
    <definedName name="solver_disp" hidden="1">0</definedName>
    <definedName name="solver_drv" localSheetId="4" hidden="1">1</definedName>
    <definedName name="solver_drv" localSheetId="5" hidden="1">1</definedName>
    <definedName name="solver_eng" localSheetId="4" hidden="1">1</definedName>
    <definedName name="solver_eng" localSheetId="5" hidden="1">1</definedName>
    <definedName name="solver_est" localSheetId="4" hidden="1">1</definedName>
    <definedName name="solver_est" localSheetId="5" hidden="1">1</definedName>
    <definedName name="solver_eval" hidden="1">0</definedName>
    <definedName name="solver_fea" localSheetId="4" hidden="1">0.000001</definedName>
    <definedName name="solver_fea" localSheetId="5" hidden="1">0.000001</definedName>
    <definedName name="solver_fns" localSheetId="4" hidden="1">0</definedName>
    <definedName name="solver_fns" localSheetId="5" hidden="1">0</definedName>
    <definedName name="solver_gap" localSheetId="4" hidden="1">0.0000001</definedName>
    <definedName name="solver_gap" localSheetId="5" hidden="1">0.0000001</definedName>
    <definedName name="solver_glb" localSheetId="4" hidden="1">-1E+30</definedName>
    <definedName name="solver_glb" localSheetId="5" hidden="1">-1E+30</definedName>
    <definedName name="solver_gub" localSheetId="4" hidden="1">1E+30</definedName>
    <definedName name="solver_gub" localSheetId="5" hidden="1">1E+30</definedName>
    <definedName name="solver_iao" localSheetId="4" hidden="1">0</definedName>
    <definedName name="solver_iao" localSheetId="5" hidden="1">0</definedName>
    <definedName name="solver_inc" localSheetId="4" hidden="1">0</definedName>
    <definedName name="solver_inc" localSheetId="5" hidden="1">0</definedName>
    <definedName name="solver_int" localSheetId="4" hidden="1">1</definedName>
    <definedName name="solver_int" localSheetId="5" hidden="1">1</definedName>
    <definedName name="solver_ipd" localSheetId="4" hidden="1">3</definedName>
    <definedName name="solver_ipd" localSheetId="5" hidden="1">3</definedName>
    <definedName name="solver_ipi" localSheetId="4" hidden="1">1</definedName>
    <definedName name="solver_ipi" localSheetId="5" hidden="1">1</definedName>
    <definedName name="solver_ips" localSheetId="4" hidden="1">0.99</definedName>
    <definedName name="solver_ips" localSheetId="5" hidden="1">0.99</definedName>
    <definedName name="solver_irs" localSheetId="4" hidden="1">0</definedName>
    <definedName name="solver_irs" localSheetId="5" hidden="1">0</definedName>
    <definedName name="solver_ism" localSheetId="4" hidden="1">0</definedName>
    <definedName name="solver_ism" localSheetId="5" hidden="1">0</definedName>
    <definedName name="solver_itr" localSheetId="4" hidden="1">2147483647</definedName>
    <definedName name="solver_itr" localSheetId="5" hidden="1">2147483647</definedName>
    <definedName name="solver_lcens" hidden="1">-1E+30</definedName>
    <definedName name="solver_lcut" hidden="1">-1E+30</definedName>
    <definedName name="solver_legacy" localSheetId="4" hidden="1">1</definedName>
    <definedName name="solver_legacy" localSheetId="5" hidden="1">1</definedName>
    <definedName name="solver_lhs_ob1" localSheetId="4" hidden="1">0</definedName>
    <definedName name="solver_lhs_ob1" localSheetId="5" hidden="1">0</definedName>
    <definedName name="solver_lhs_ob2" localSheetId="4" hidden="1">0</definedName>
    <definedName name="solver_lhs_ob2" localSheetId="5" hidden="1">0</definedName>
    <definedName name="solver_lhs1" localSheetId="4" hidden="1">Flight!#REF!</definedName>
    <definedName name="solver_lhs1" localSheetId="5" hidden="1">'Flight (Python)'!#REF!</definedName>
    <definedName name="solver_lhs2" localSheetId="4" hidden="1">Flight!$J$14:$J$21</definedName>
    <definedName name="solver_lhs2" localSheetId="5" hidden="1">'Flight (Python)'!$J$14:$J$21</definedName>
    <definedName name="solver_lin" localSheetId="4" hidden="1">2</definedName>
    <definedName name="solver_lin" localSheetId="5" hidden="1">2</definedName>
    <definedName name="solver_loc" localSheetId="4" hidden="1">4</definedName>
    <definedName name="solver_loc" localSheetId="5" hidden="1">4</definedName>
    <definedName name="solver_log" localSheetId="4" hidden="1">0</definedName>
    <definedName name="solver_log" localSheetId="5" hidden="1">0</definedName>
    <definedName name="solver_lpp" localSheetId="4" hidden="1">0</definedName>
    <definedName name="solver_lpp" localSheetId="5" hidden="1">0</definedName>
    <definedName name="solver_lpt" localSheetId="4" hidden="1">0</definedName>
    <definedName name="solver_lpt" localSheetId="5" hidden="1">0</definedName>
    <definedName name="solver_lva" localSheetId="4" hidden="1">0</definedName>
    <definedName name="solver_lva" localSheetId="5" hidden="1">0</definedName>
    <definedName name="solver_mda" localSheetId="4" hidden="1">4</definedName>
    <definedName name="solver_mda" localSheetId="5" hidden="1">4</definedName>
    <definedName name="solver_met" localSheetId="4" hidden="1">1</definedName>
    <definedName name="solver_met" localSheetId="5" hidden="1">1</definedName>
    <definedName name="solver_mip" localSheetId="4" hidden="1">2147483647</definedName>
    <definedName name="solver_mip" localSheetId="5" hidden="1">2147483647</definedName>
    <definedName name="solver_mni" localSheetId="4" hidden="1">30</definedName>
    <definedName name="solver_mni" localSheetId="5" hidden="1">30</definedName>
    <definedName name="solver_mod" localSheetId="4" hidden="1">3</definedName>
    <definedName name="solver_mod" localSheetId="5" hidden="1">3</definedName>
    <definedName name="solver_mrt" localSheetId="4" hidden="1">0.075</definedName>
    <definedName name="solver_mrt" localSheetId="5" hidden="1">0.075</definedName>
    <definedName name="solver_msl" localSheetId="4" hidden="1">0</definedName>
    <definedName name="solver_msl" localSheetId="5" hidden="1">0</definedName>
    <definedName name="solver_neg" localSheetId="4" hidden="1">1</definedName>
    <definedName name="solver_neg" localSheetId="5" hidden="1">1</definedName>
    <definedName name="solver_nod" localSheetId="4" hidden="1">2147483647</definedName>
    <definedName name="solver_nod" localSheetId="5" hidden="1">2147483647</definedName>
    <definedName name="solver_nsim" hidden="1">1</definedName>
    <definedName name="solver_nssim" hidden="1">-1</definedName>
    <definedName name="solver_ntr" localSheetId="4" hidden="1">2</definedName>
    <definedName name="solver_ntr" localSheetId="5" hidden="1">2</definedName>
    <definedName name="solver_ntri" hidden="1">1000</definedName>
    <definedName name="solver_num" localSheetId="4" hidden="1">0</definedName>
    <definedName name="solver_num" localSheetId="5" hidden="1">0</definedName>
    <definedName name="solver_nwt" localSheetId="4" hidden="1">1</definedName>
    <definedName name="solver_nwt" localSheetId="5" hidden="1">1</definedName>
    <definedName name="solver_obc" localSheetId="4" hidden="1">0</definedName>
    <definedName name="solver_obc" localSheetId="5" hidden="1">0</definedName>
    <definedName name="solver_obp" localSheetId="4" hidden="1">0</definedName>
    <definedName name="solver_obp" localSheetId="5" hidden="1">0</definedName>
    <definedName name="solver_opt_ob" localSheetId="4" hidden="1">1</definedName>
    <definedName name="solver_opt_ob" localSheetId="5" hidden="1">1</definedName>
    <definedName name="solver_pre" localSheetId="4" hidden="1">0.000001</definedName>
    <definedName name="solver_pre" localSheetId="5" hidden="1">0.000001</definedName>
    <definedName name="solver_psi" localSheetId="4" hidden="1">0</definedName>
    <definedName name="solver_psi" localSheetId="5" hidden="1">0</definedName>
    <definedName name="solver_rbv" localSheetId="4" hidden="1">1</definedName>
    <definedName name="solver_rbv" localSheetId="5" hidden="1">1</definedName>
    <definedName name="solver_rdp" localSheetId="4" hidden="1">1</definedName>
    <definedName name="solver_rdp" localSheetId="5" hidden="1">1</definedName>
    <definedName name="solver_reco1" localSheetId="4" hidden="1">0</definedName>
    <definedName name="solver_reco1" localSheetId="5" hidden="1">0</definedName>
    <definedName name="solver_reco2" localSheetId="4" hidden="1">0</definedName>
    <definedName name="solver_reco2" localSheetId="5" hidden="1">0</definedName>
    <definedName name="solver_rel1" localSheetId="4" hidden="1">3</definedName>
    <definedName name="solver_rel1" localSheetId="5" hidden="1">3</definedName>
    <definedName name="solver_rel2" localSheetId="4" hidden="1">2</definedName>
    <definedName name="solver_rel2" localSheetId="5" hidden="1">2</definedName>
    <definedName name="solver_rep" localSheetId="4" hidden="1">0</definedName>
    <definedName name="solver_rep" localSheetId="5" hidden="1">0</definedName>
    <definedName name="solver_res" localSheetId="4" hidden="1">0.05</definedName>
    <definedName name="solver_res" localSheetId="5" hidden="1">0.05</definedName>
    <definedName name="solver_rhs1" localSheetId="4" hidden="1">0</definedName>
    <definedName name="solver_rhs1" localSheetId="5" hidden="1">0</definedName>
    <definedName name="solver_rhs2" localSheetId="4" hidden="1">Flight!#REF!</definedName>
    <definedName name="solver_rhs2" localSheetId="5" hidden="1">'Flight (Python)'!#REF!</definedName>
    <definedName name="solver_rlx" localSheetId="4" hidden="1">0</definedName>
    <definedName name="solver_rlx" localSheetId="5" hidden="1">0</definedName>
    <definedName name="solver_rsmp" hidden="1">2</definedName>
    <definedName name="solver_rtr" localSheetId="4" hidden="1">0</definedName>
    <definedName name="solver_rtr" localSheetId="5" hidden="1">0</definedName>
    <definedName name="solver_rxc1" localSheetId="4" hidden="1">1</definedName>
    <definedName name="solver_rxc1" localSheetId="5" hidden="1">1</definedName>
    <definedName name="solver_rxc2" localSheetId="4" hidden="1">1</definedName>
    <definedName name="solver_rxc2" localSheetId="5" hidden="1">1</definedName>
    <definedName name="solver_rxv" localSheetId="4" hidden="1">1</definedName>
    <definedName name="solver_rxv" localSheetId="5" hidden="1">1</definedName>
    <definedName name="solver_scl" localSheetId="4" hidden="1">0</definedName>
    <definedName name="solver_scl" localSheetId="5" hidden="1">0</definedName>
    <definedName name="solver_seed" hidden="1">0</definedName>
    <definedName name="solver_sel" localSheetId="4" hidden="1">1</definedName>
    <definedName name="solver_sel" localSheetId="5" hidden="1">1</definedName>
    <definedName name="solver_sho" localSheetId="4" hidden="1">0</definedName>
    <definedName name="solver_sho" localSheetId="5" hidden="1">0</definedName>
    <definedName name="solver_slv" localSheetId="4" hidden="1">0</definedName>
    <definedName name="solver_slv" localSheetId="5" hidden="1">0</definedName>
    <definedName name="solver_slvu" localSheetId="4" hidden="1">0</definedName>
    <definedName name="solver_slvu" localSheetId="5" hidden="1">0</definedName>
    <definedName name="solver_soc" localSheetId="4" hidden="1">0</definedName>
    <definedName name="solver_soc" localSheetId="5" hidden="1">0</definedName>
    <definedName name="solver_spid" localSheetId="4" hidden="1">" "</definedName>
    <definedName name="solver_spid" localSheetId="5" hidden="1">" "</definedName>
    <definedName name="solver_srvr" localSheetId="4" hidden="1">" "</definedName>
    <definedName name="solver_srvr" localSheetId="5" hidden="1">" "</definedName>
    <definedName name="solver_ssz" localSheetId="4" hidden="1">0</definedName>
    <definedName name="solver_ssz" localSheetId="5" hidden="1">0</definedName>
    <definedName name="solver_sta" localSheetId="4" hidden="1">0</definedName>
    <definedName name="solver_sta" localSheetId="5" hidden="1">0</definedName>
    <definedName name="solver_sthr" hidden="1">0</definedName>
    <definedName name="solver_tim" localSheetId="4" hidden="1">2147483647</definedName>
    <definedName name="solver_tim" localSheetId="5" hidden="1">2147483647</definedName>
    <definedName name="solver_tms" localSheetId="4" hidden="1">0</definedName>
    <definedName name="solver_tms" localSheetId="5" hidden="1">0</definedName>
    <definedName name="solver_tol" localSheetId="4" hidden="1">0</definedName>
    <definedName name="solver_tol" localSheetId="5" hidden="1">0</definedName>
    <definedName name="solver_typ" localSheetId="4" hidden="1">1</definedName>
    <definedName name="solver_typ" localSheetId="5" hidden="1">1</definedName>
    <definedName name="solver_ubigm" localSheetId="4" hidden="1">1000000</definedName>
    <definedName name="solver_ubigm" localSheetId="5" hidden="1">1000000</definedName>
    <definedName name="solver_ucens" hidden="1">1E+30</definedName>
    <definedName name="solver_ucut" hidden="1">1E+30</definedName>
    <definedName name="solver_umod" localSheetId="4" hidden="1">3</definedName>
    <definedName name="solver_umod" localSheetId="5" hidden="1">3</definedName>
    <definedName name="solver_urs" localSheetId="4" hidden="1">0</definedName>
    <definedName name="solver_urs" localSheetId="5" hidden="1">0</definedName>
    <definedName name="solver_userid" localSheetId="4" hidden="1">" "</definedName>
    <definedName name="solver_userid" localSheetId="5" hidden="1">" "</definedName>
    <definedName name="solver_val" localSheetId="4" hidden="1">0</definedName>
    <definedName name="solver_val" localSheetId="5" hidden="1">0</definedName>
    <definedName name="solver_var" localSheetId="4" hidden="1">" "</definedName>
    <definedName name="solver_var" localSheetId="5" hidden="1">" "</definedName>
    <definedName name="solver_ver" localSheetId="4" hidden="1">3</definedName>
    <definedName name="solver_ver" localSheetId="5" hidden="1">3</definedName>
    <definedName name="solver_vir" localSheetId="4" hidden="1">1</definedName>
    <definedName name="solver_vir" localSheetId="5" hidden="1">1</definedName>
    <definedName name="solver_vol" localSheetId="4" hidden="1">0</definedName>
    <definedName name="solver_vol" localSheetId="5" hidden="1">0</definedName>
    <definedName name="solver_vst" localSheetId="4" hidden="1">0</definedName>
    <definedName name="solver_vst" localSheetId="5" hidden="1">0</definedName>
    <definedName name="STLoan" localSheetId="5">#REF!</definedName>
    <definedName name="STLoan" localSheetId="7">#REF!</definedName>
    <definedName name="STLoan" localSheetId="9">#REF!</definedName>
    <definedName name="STLoan">#REF!</definedName>
    <definedName name="STRate" localSheetId="5">#REF!</definedName>
    <definedName name="STRate" localSheetId="7">#REF!</definedName>
    <definedName name="STRate" localSheetId="9">#REF!</definedName>
    <definedName name="STRate">#REF!</definedName>
    <definedName name="TotCost1" localSheetId="5">#REF!</definedName>
    <definedName name="TotCost1" localSheetId="7">#REF!</definedName>
    <definedName name="TotCost1" localSheetId="9">#REF!</definedName>
    <definedName name="TotCost1">#REF!</definedName>
    <definedName name="TotIntPaid" localSheetId="5">#REF!</definedName>
    <definedName name="TotIntPaid" localSheetId="7">#REF!</definedName>
    <definedName name="TotIntPaid" localSheetId="9">#REF!</definedName>
    <definedName name="TotIntPa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7" i="8" l="1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R6" i="13" l="1"/>
  <c r="Q6" i="13"/>
  <c r="R5" i="13"/>
  <c r="Q5" i="13"/>
  <c r="R4" i="13"/>
  <c r="Q4" i="13"/>
  <c r="R3" i="13"/>
  <c r="Q3" i="13"/>
  <c r="P6" i="13"/>
  <c r="P5" i="13"/>
  <c r="P4" i="13"/>
  <c r="P3" i="13"/>
  <c r="P9" i="13" s="1"/>
  <c r="P11" i="13"/>
  <c r="P10" i="13"/>
  <c r="R2" i="13"/>
  <c r="Q2" i="13"/>
  <c r="P2" i="13"/>
  <c r="L11" i="11"/>
  <c r="N8" i="11"/>
  <c r="N7" i="11"/>
  <c r="N6" i="11"/>
  <c r="N5" i="11"/>
  <c r="N4" i="11"/>
  <c r="N3" i="11"/>
  <c r="L10" i="11"/>
  <c r="L8" i="11"/>
  <c r="L7" i="11"/>
  <c r="L6" i="11"/>
  <c r="L5" i="11"/>
  <c r="L4" i="11"/>
  <c r="L3" i="11"/>
  <c r="L15" i="9"/>
  <c r="O11" i="9"/>
  <c r="O10" i="9"/>
  <c r="O9" i="9"/>
  <c r="O8" i="9"/>
  <c r="O7" i="9"/>
  <c r="O6" i="9"/>
  <c r="O5" i="9"/>
  <c r="O4" i="9"/>
  <c r="G29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G30" i="13" s="1"/>
  <c r="G2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L12" i="11" l="1"/>
  <c r="H23" i="11"/>
  <c r="H22" i="11"/>
  <c r="H21" i="11"/>
  <c r="H20" i="11"/>
  <c r="H19" i="11"/>
  <c r="H18" i="11"/>
  <c r="H17" i="11"/>
  <c r="H16" i="11"/>
  <c r="H15" i="11"/>
  <c r="H14" i="11"/>
  <c r="H13" i="11"/>
  <c r="L14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L13" i="9"/>
  <c r="L11" i="9"/>
  <c r="L10" i="9"/>
  <c r="L9" i="9"/>
  <c r="L8" i="9"/>
  <c r="L7" i="9"/>
  <c r="L6" i="9"/>
  <c r="L5" i="9"/>
  <c r="L4" i="9"/>
  <c r="C3" i="9" a="1"/>
  <c r="J3" i="9" s="1"/>
  <c r="C3" i="8" a="1"/>
  <c r="G3" i="8" s="1"/>
  <c r="G16" i="5"/>
  <c r="G15" i="5"/>
  <c r="H12" i="5"/>
  <c r="H11" i="5"/>
  <c r="H10" i="5"/>
  <c r="H9" i="5"/>
  <c r="H8" i="5"/>
  <c r="H7" i="5"/>
  <c r="H6" i="5"/>
  <c r="H5" i="5"/>
  <c r="H4" i="5"/>
  <c r="G12" i="5"/>
  <c r="G11" i="5"/>
  <c r="G10" i="5"/>
  <c r="G9" i="5"/>
  <c r="G8" i="5"/>
  <c r="G7" i="5"/>
  <c r="G6" i="5"/>
  <c r="G5" i="5"/>
  <c r="G4" i="5"/>
  <c r="I18" i="4"/>
  <c r="H18" i="4"/>
  <c r="G18" i="4"/>
  <c r="F18" i="4"/>
  <c r="E18" i="4"/>
  <c r="D18" i="4"/>
  <c r="I17" i="4"/>
  <c r="H17" i="4"/>
  <c r="G17" i="4"/>
  <c r="F17" i="4"/>
  <c r="E17" i="4"/>
  <c r="D17" i="4"/>
  <c r="I16" i="4"/>
  <c r="H16" i="4"/>
  <c r="G16" i="4"/>
  <c r="F16" i="4"/>
  <c r="E16" i="4"/>
  <c r="D16" i="4"/>
  <c r="I15" i="4"/>
  <c r="H15" i="4"/>
  <c r="G15" i="4"/>
  <c r="F15" i="4"/>
  <c r="E15" i="4"/>
  <c r="D15" i="4"/>
  <c r="I14" i="4"/>
  <c r="H14" i="4"/>
  <c r="G14" i="4"/>
  <c r="F14" i="4"/>
  <c r="E14" i="4"/>
  <c r="D14" i="4"/>
  <c r="I13" i="4"/>
  <c r="H13" i="4"/>
  <c r="G13" i="4"/>
  <c r="F13" i="4"/>
  <c r="E13" i="4"/>
  <c r="D13" i="4"/>
  <c r="D20" i="4" s="1"/>
  <c r="C3" i="9" l="1"/>
  <c r="G3" i="9"/>
  <c r="D3" i="9"/>
  <c r="H3" i="9"/>
  <c r="E3" i="9"/>
  <c r="I3" i="9"/>
  <c r="F3" i="9"/>
  <c r="E3" i="8"/>
  <c r="I3" i="8"/>
  <c r="D3" i="8"/>
  <c r="H3" i="8"/>
  <c r="F3" i="8"/>
  <c r="J3" i="8"/>
  <c r="C3" i="8"/>
  <c r="D37" i="9" l="1"/>
  <c r="D33" i="9"/>
  <c r="D29" i="9"/>
  <c r="D25" i="9"/>
  <c r="D21" i="9"/>
  <c r="D17" i="9"/>
  <c r="D36" i="9"/>
  <c r="D32" i="9"/>
  <c r="D28" i="9"/>
  <c r="D24" i="9"/>
  <c r="D20" i="9"/>
  <c r="D16" i="9"/>
  <c r="D35" i="9"/>
  <c r="D31" i="9"/>
  <c r="D27" i="9"/>
  <c r="D23" i="9"/>
  <c r="D19" i="9"/>
  <c r="D15" i="9"/>
  <c r="D34" i="9"/>
  <c r="D30" i="9"/>
  <c r="D26" i="9"/>
  <c r="D22" i="9"/>
  <c r="D18" i="9"/>
  <c r="D14" i="9"/>
  <c r="D37" i="8"/>
  <c r="D33" i="8"/>
  <c r="D29" i="8"/>
  <c r="D25" i="8"/>
  <c r="D22" i="8"/>
  <c r="D21" i="8"/>
  <c r="D20" i="8"/>
  <c r="D19" i="8"/>
  <c r="D18" i="8"/>
  <c r="D17" i="8"/>
  <c r="D16" i="8"/>
  <c r="D15" i="8"/>
  <c r="D14" i="8"/>
  <c r="D36" i="8"/>
  <c r="D32" i="8"/>
  <c r="D28" i="8"/>
  <c r="D35" i="8"/>
  <c r="D31" i="8"/>
  <c r="D27" i="8"/>
  <c r="D24" i="8"/>
  <c r="D34" i="8"/>
  <c r="D30" i="8"/>
  <c r="D26" i="8"/>
  <c r="D23" i="8"/>
</calcChain>
</file>

<file path=xl/sharedStrings.xml><?xml version="1.0" encoding="utf-8"?>
<sst xmlns="http://schemas.openxmlformats.org/spreadsheetml/2006/main" count="365" uniqueCount="53">
  <si>
    <t>Unit shipping costs</t>
  </si>
  <si>
    <t>To</t>
  </si>
  <si>
    <t>Plant 1</t>
  </si>
  <si>
    <t>Plant 2</t>
  </si>
  <si>
    <t>From</t>
  </si>
  <si>
    <t>Whouse 3</t>
  </si>
  <si>
    <t>Whouse 4</t>
  </si>
  <si>
    <t>Cust 5</t>
  </si>
  <si>
    <t>Cust 6</t>
  </si>
  <si>
    <t>-</t>
  </si>
  <si>
    <t>from</t>
  </si>
  <si>
    <t>to</t>
  </si>
  <si>
    <t>Costs = {</t>
  </si>
  <si>
    <t>Arcs</t>
  </si>
  <si>
    <t>Cost</t>
  </si>
  <si>
    <t>Arc Capacities</t>
  </si>
  <si>
    <t xml:space="preserve">Cost = { </t>
  </si>
  <si>
    <t>UpperBound = {</t>
  </si>
  <si>
    <t>}</t>
  </si>
  <si>
    <t>distance in miles</t>
  </si>
  <si>
    <t>DFW</t>
  </si>
  <si>
    <t>HNL</t>
  </si>
  <si>
    <t>LAX</t>
  </si>
  <si>
    <t>LGA</t>
  </si>
  <si>
    <t>MIA</t>
  </si>
  <si>
    <t>ORD</t>
  </si>
  <si>
    <t>PVD</t>
  </si>
  <si>
    <t>SFO</t>
  </si>
  <si>
    <t>distance</t>
  </si>
  <si>
    <t>Nodes = {</t>
  </si>
  <si>
    <t xml:space="preserve">Nodes = { </t>
  </si>
  <si>
    <t xml:space="preserve">Distances = { </t>
  </si>
  <si>
    <t>Capacities</t>
  </si>
  <si>
    <t>Wash, DC</t>
  </si>
  <si>
    <t>Chicago</t>
  </si>
  <si>
    <t>Dallas</t>
  </si>
  <si>
    <t>Kansas City</t>
  </si>
  <si>
    <t>Denver</t>
  </si>
  <si>
    <t>San Fran.</t>
  </si>
  <si>
    <t xml:space="preserve">  From</t>
  </si>
  <si>
    <t>Capacity</t>
  </si>
  <si>
    <t xml:space="preserve">Capacity = { </t>
  </si>
  <si>
    <t>Supply values</t>
  </si>
  <si>
    <t>Supply = {</t>
  </si>
  <si>
    <t>Commodity</t>
  </si>
  <si>
    <t>Origin</t>
  </si>
  <si>
    <t>Destination</t>
  </si>
  <si>
    <t>Volume</t>
  </si>
  <si>
    <t>C1</t>
  </si>
  <si>
    <t>C2</t>
  </si>
  <si>
    <t>C3</t>
  </si>
  <si>
    <t>C4</t>
  </si>
  <si>
    <t>Distance = 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</si>
</sst>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67702315-CCB8-4E19-BC8D-C8A955A932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PT/W2/Lectures/new%20(2004)/Macintosh%20HDQUANT/mini1-00/lectures/sept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2"/>
      <sheetName val="Pigskin"/>
      <sheetName val="Blending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E79A-CDE5-4DFD-9ADA-AFBBD9ACE4EB}">
  <dimension ref="B2:I9"/>
  <sheetViews>
    <sheetView tabSelected="1" zoomScaleNormal="100" workbookViewId="0"/>
  </sheetViews>
  <sheetFormatPr defaultRowHeight="14.4" x14ac:dyDescent="0.3"/>
  <cols>
    <col min="3" max="3" width="9.33203125" bestFit="1" customWidth="1"/>
    <col min="6" max="7" width="9.33203125" bestFit="1" customWidth="1"/>
  </cols>
  <sheetData>
    <row r="2" spans="2:9" x14ac:dyDescent="0.3">
      <c r="B2" t="s">
        <v>0</v>
      </c>
      <c r="D2" s="1" t="s">
        <v>1</v>
      </c>
      <c r="E2" s="1"/>
      <c r="F2" s="1"/>
      <c r="G2" s="1"/>
      <c r="H2" s="1"/>
      <c r="I2" s="1"/>
    </row>
    <row r="3" spans="2:9" x14ac:dyDescent="0.3">
      <c r="D3" s="1" t="s">
        <v>2</v>
      </c>
      <c r="E3" s="1" t="s">
        <v>3</v>
      </c>
      <c r="F3" s="1" t="s">
        <v>5</v>
      </c>
      <c r="G3" s="1" t="s">
        <v>6</v>
      </c>
      <c r="H3" s="1" t="s">
        <v>7</v>
      </c>
      <c r="I3" s="1" t="s">
        <v>8</v>
      </c>
    </row>
    <row r="4" spans="2:9" x14ac:dyDescent="0.3">
      <c r="B4" t="s">
        <v>4</v>
      </c>
      <c r="C4" t="s">
        <v>2</v>
      </c>
      <c r="D4" s="2"/>
      <c r="E4" s="3"/>
      <c r="F4" s="3">
        <v>8</v>
      </c>
      <c r="G4" s="3">
        <v>13</v>
      </c>
      <c r="H4" s="3">
        <v>25</v>
      </c>
      <c r="I4" s="4">
        <v>28</v>
      </c>
    </row>
    <row r="5" spans="2:9" x14ac:dyDescent="0.3">
      <c r="C5" t="s">
        <v>3</v>
      </c>
      <c r="D5" s="5"/>
      <c r="E5" s="1"/>
      <c r="F5" s="1">
        <v>15</v>
      </c>
      <c r="G5" s="1">
        <v>12</v>
      </c>
      <c r="H5" s="1">
        <v>26</v>
      </c>
      <c r="I5" s="6">
        <v>25</v>
      </c>
    </row>
    <row r="6" spans="2:9" x14ac:dyDescent="0.3">
      <c r="C6" t="s">
        <v>5</v>
      </c>
      <c r="D6" s="5"/>
      <c r="E6" s="1"/>
      <c r="F6" s="1"/>
      <c r="G6" s="1">
        <v>6</v>
      </c>
      <c r="H6" s="1">
        <v>16</v>
      </c>
      <c r="I6" s="6">
        <v>17</v>
      </c>
    </row>
    <row r="7" spans="2:9" x14ac:dyDescent="0.3">
      <c r="C7" t="s">
        <v>6</v>
      </c>
      <c r="D7" s="5"/>
      <c r="E7" s="1"/>
      <c r="F7" s="1">
        <v>6</v>
      </c>
      <c r="G7" s="1"/>
      <c r="H7" s="1">
        <v>14</v>
      </c>
      <c r="I7" s="6">
        <v>16</v>
      </c>
    </row>
    <row r="8" spans="2:9" x14ac:dyDescent="0.3">
      <c r="C8" t="s">
        <v>7</v>
      </c>
      <c r="D8" s="5"/>
      <c r="E8" s="1"/>
      <c r="F8" s="1"/>
      <c r="G8" s="1"/>
      <c r="H8" s="1"/>
      <c r="I8" s="6"/>
    </row>
    <row r="9" spans="2:9" x14ac:dyDescent="0.3">
      <c r="C9" t="s">
        <v>8</v>
      </c>
      <c r="D9" s="7"/>
      <c r="E9" s="8"/>
      <c r="F9" s="8"/>
      <c r="G9" s="8"/>
      <c r="H9" s="8"/>
      <c r="I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A536-3453-43A0-BDC1-561887927D76}">
  <dimension ref="B2:I20"/>
  <sheetViews>
    <sheetView zoomScaleNormal="100" workbookViewId="0"/>
  </sheetViews>
  <sheetFormatPr defaultRowHeight="14.4" x14ac:dyDescent="0.3"/>
  <cols>
    <col min="3" max="3" width="9.33203125" bestFit="1" customWidth="1"/>
    <col min="6" max="7" width="9.33203125" bestFit="1" customWidth="1"/>
  </cols>
  <sheetData>
    <row r="2" spans="2:9" x14ac:dyDescent="0.3">
      <c r="B2" t="s">
        <v>0</v>
      </c>
      <c r="D2" s="1" t="s">
        <v>1</v>
      </c>
      <c r="E2" s="1"/>
      <c r="F2" s="1"/>
      <c r="G2" s="1"/>
      <c r="H2" s="1"/>
      <c r="I2" s="1"/>
    </row>
    <row r="3" spans="2:9" x14ac:dyDescent="0.3">
      <c r="D3" s="1" t="s">
        <v>2</v>
      </c>
      <c r="E3" s="1" t="s">
        <v>3</v>
      </c>
      <c r="F3" s="1" t="s">
        <v>5</v>
      </c>
      <c r="G3" s="1" t="s">
        <v>6</v>
      </c>
      <c r="H3" s="1" t="s">
        <v>7</v>
      </c>
      <c r="I3" s="1" t="s">
        <v>8</v>
      </c>
    </row>
    <row r="4" spans="2:9" x14ac:dyDescent="0.3">
      <c r="B4" t="s">
        <v>4</v>
      </c>
      <c r="C4" t="s">
        <v>2</v>
      </c>
      <c r="D4" s="2"/>
      <c r="E4" s="3"/>
      <c r="F4" s="3">
        <v>8</v>
      </c>
      <c r="G4" s="3">
        <v>13</v>
      </c>
      <c r="H4" s="3">
        <v>25</v>
      </c>
      <c r="I4" s="4">
        <v>28</v>
      </c>
    </row>
    <row r="5" spans="2:9" x14ac:dyDescent="0.3">
      <c r="C5" t="s">
        <v>3</v>
      </c>
      <c r="D5" s="5"/>
      <c r="E5" s="1"/>
      <c r="F5" s="1">
        <v>15</v>
      </c>
      <c r="G5" s="1">
        <v>12</v>
      </c>
      <c r="H5" s="1">
        <v>26</v>
      </c>
      <c r="I5" s="6">
        <v>25</v>
      </c>
    </row>
    <row r="6" spans="2:9" x14ac:dyDescent="0.3">
      <c r="C6" t="s">
        <v>5</v>
      </c>
      <c r="D6" s="5"/>
      <c r="E6" s="1"/>
      <c r="F6" s="1"/>
      <c r="G6" s="1">
        <v>6</v>
      </c>
      <c r="H6" s="1">
        <v>16</v>
      </c>
      <c r="I6" s="6">
        <v>17</v>
      </c>
    </row>
    <row r="7" spans="2:9" x14ac:dyDescent="0.3">
      <c r="C7" t="s">
        <v>6</v>
      </c>
      <c r="D7" s="5"/>
      <c r="E7" s="1"/>
      <c r="F7" s="1">
        <v>6</v>
      </c>
      <c r="G7" s="1"/>
      <c r="H7" s="1">
        <v>14</v>
      </c>
      <c r="I7" s="6">
        <v>16</v>
      </c>
    </row>
    <row r="8" spans="2:9" x14ac:dyDescent="0.3">
      <c r="C8" t="s">
        <v>7</v>
      </c>
      <c r="D8" s="5"/>
      <c r="E8" s="1"/>
      <c r="F8" s="1"/>
      <c r="G8" s="1"/>
      <c r="H8" s="1"/>
      <c r="I8" s="6"/>
    </row>
    <row r="9" spans="2:9" x14ac:dyDescent="0.3">
      <c r="C9" t="s">
        <v>8</v>
      </c>
      <c r="D9" s="7"/>
      <c r="E9" s="8"/>
      <c r="F9" s="8"/>
      <c r="G9" s="8"/>
      <c r="H9" s="8"/>
      <c r="I9" s="9"/>
    </row>
    <row r="12" spans="2:9" x14ac:dyDescent="0.3">
      <c r="D12">
        <v>1</v>
      </c>
      <c r="E12">
        <v>2</v>
      </c>
      <c r="F12">
        <v>3</v>
      </c>
      <c r="G12">
        <v>4</v>
      </c>
      <c r="H12">
        <v>5</v>
      </c>
      <c r="I12">
        <v>6</v>
      </c>
    </row>
    <row r="13" spans="2:9" x14ac:dyDescent="0.3">
      <c r="C13">
        <v>1</v>
      </c>
      <c r="D13" t="str">
        <f>IF(D4="","",_xlfn.CONCAT("(",$C13,",",D$12,") : ",D4,", "))</f>
        <v/>
      </c>
      <c r="E13" t="str">
        <f t="shared" ref="E13:I13" si="0">IF(E4="","",_xlfn.CONCAT("(",$C13,",",E$12,") : ",E4,", "))</f>
        <v/>
      </c>
      <c r="F13" t="str">
        <f t="shared" si="0"/>
        <v xml:space="preserve">(1,3) : 8, </v>
      </c>
      <c r="G13" t="str">
        <f t="shared" si="0"/>
        <v xml:space="preserve">(1,4) : 13, </v>
      </c>
      <c r="H13" t="str">
        <f t="shared" si="0"/>
        <v xml:space="preserve">(1,5) : 25, </v>
      </c>
      <c r="I13" t="str">
        <f t="shared" si="0"/>
        <v xml:space="preserve">(1,6) : 28, </v>
      </c>
    </row>
    <row r="14" spans="2:9" x14ac:dyDescent="0.3">
      <c r="C14">
        <v>2</v>
      </c>
      <c r="D14" t="str">
        <f t="shared" ref="D14:I18" si="1">IF(D5="","",_xlfn.CONCAT("(",$C14,",",D$12,") : ",D5,", "))</f>
        <v/>
      </c>
      <c r="E14" t="str">
        <f t="shared" si="1"/>
        <v/>
      </c>
      <c r="F14" t="str">
        <f t="shared" si="1"/>
        <v xml:space="preserve">(2,3) : 15, </v>
      </c>
      <c r="G14" t="str">
        <f t="shared" si="1"/>
        <v xml:space="preserve">(2,4) : 12, </v>
      </c>
      <c r="H14" t="str">
        <f t="shared" si="1"/>
        <v xml:space="preserve">(2,5) : 26, </v>
      </c>
      <c r="I14" t="str">
        <f t="shared" si="1"/>
        <v xml:space="preserve">(2,6) : 25, </v>
      </c>
    </row>
    <row r="15" spans="2:9" x14ac:dyDescent="0.3">
      <c r="C15">
        <v>3</v>
      </c>
      <c r="D15" t="str">
        <f t="shared" si="1"/>
        <v/>
      </c>
      <c r="E15" t="str">
        <f t="shared" si="1"/>
        <v/>
      </c>
      <c r="F15" t="str">
        <f t="shared" si="1"/>
        <v/>
      </c>
      <c r="G15" t="str">
        <f t="shared" si="1"/>
        <v xml:space="preserve">(3,4) : 6, </v>
      </c>
      <c r="H15" t="str">
        <f t="shared" si="1"/>
        <v xml:space="preserve">(3,5) : 16, </v>
      </c>
      <c r="I15" t="str">
        <f t="shared" si="1"/>
        <v xml:space="preserve">(3,6) : 17, </v>
      </c>
    </row>
    <row r="16" spans="2:9" x14ac:dyDescent="0.3">
      <c r="C16">
        <v>4</v>
      </c>
      <c r="D16" t="str">
        <f t="shared" si="1"/>
        <v/>
      </c>
      <c r="E16" t="str">
        <f t="shared" si="1"/>
        <v/>
      </c>
      <c r="F16" t="str">
        <f t="shared" si="1"/>
        <v xml:space="preserve">(4,3) : 6, </v>
      </c>
      <c r="G16" t="str">
        <f t="shared" si="1"/>
        <v/>
      </c>
      <c r="H16" t="str">
        <f t="shared" si="1"/>
        <v xml:space="preserve">(4,5) : 14, </v>
      </c>
      <c r="I16" t="str">
        <f t="shared" si="1"/>
        <v xml:space="preserve">(4,6) : 16, </v>
      </c>
    </row>
    <row r="17" spans="3:9" x14ac:dyDescent="0.3">
      <c r="C17">
        <v>5</v>
      </c>
      <c r="D17" t="str">
        <f t="shared" si="1"/>
        <v/>
      </c>
      <c r="E17" t="str">
        <f t="shared" si="1"/>
        <v/>
      </c>
      <c r="F17" t="str">
        <f t="shared" si="1"/>
        <v/>
      </c>
      <c r="G17" t="str">
        <f t="shared" si="1"/>
        <v/>
      </c>
      <c r="H17" t="str">
        <f t="shared" si="1"/>
        <v/>
      </c>
      <c r="I17" t="str">
        <f t="shared" si="1"/>
        <v/>
      </c>
    </row>
    <row r="18" spans="3:9" x14ac:dyDescent="0.3">
      <c r="C18">
        <v>6</v>
      </c>
      <c r="D18" t="str">
        <f t="shared" si="1"/>
        <v/>
      </c>
      <c r="E18" t="str">
        <f t="shared" si="1"/>
        <v/>
      </c>
      <c r="F18" t="str">
        <f t="shared" si="1"/>
        <v/>
      </c>
      <c r="G18" t="str">
        <f t="shared" si="1"/>
        <v/>
      </c>
      <c r="H18" t="str">
        <f t="shared" si="1"/>
        <v/>
      </c>
      <c r="I18" t="str">
        <f t="shared" si="1"/>
        <v/>
      </c>
    </row>
    <row r="20" spans="3:9" x14ac:dyDescent="0.3">
      <c r="C20" t="s">
        <v>12</v>
      </c>
      <c r="D20" t="str">
        <f>_xlfn.CONCAT(D13:I18)</f>
        <v xml:space="preserve">(1,3) : 8, (1,4) : 13, (1,5) : 25, (1,6) : 28, (2,3) : 15, (2,4) : 12, (2,5) : 26, (2,6) : 25, (3,4) : 6, (3,5) : 16, (3,6) : 17, (4,3) : 6, (4,5) : 14, (4,6) : 16,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66D0-B90B-411E-BDF5-D4AEFBF87062}">
  <dimension ref="B2:E12"/>
  <sheetViews>
    <sheetView workbookViewId="0"/>
  </sheetViews>
  <sheetFormatPr defaultRowHeight="14.4" x14ac:dyDescent="0.3"/>
  <cols>
    <col min="5" max="5" width="12.44140625" bestFit="1" customWidth="1"/>
  </cols>
  <sheetData>
    <row r="2" spans="2:5" x14ac:dyDescent="0.3">
      <c r="B2" s="1" t="s">
        <v>13</v>
      </c>
      <c r="C2" s="1"/>
      <c r="D2" s="1"/>
      <c r="E2" s="1"/>
    </row>
    <row r="3" spans="2:5" x14ac:dyDescent="0.3">
      <c r="B3" s="1" t="s">
        <v>4</v>
      </c>
      <c r="C3" s="1" t="s">
        <v>1</v>
      </c>
      <c r="D3" s="1" t="s">
        <v>14</v>
      </c>
      <c r="E3" s="1" t="s">
        <v>15</v>
      </c>
    </row>
    <row r="4" spans="2:5" x14ac:dyDescent="0.3">
      <c r="B4" s="1">
        <v>1</v>
      </c>
      <c r="C4" s="1">
        <v>3</v>
      </c>
      <c r="D4" s="1">
        <v>20</v>
      </c>
      <c r="E4" s="1">
        <v>100</v>
      </c>
    </row>
    <row r="5" spans="2:5" x14ac:dyDescent="0.3">
      <c r="B5" s="1">
        <v>1</v>
      </c>
      <c r="C5" s="1">
        <v>4</v>
      </c>
      <c r="D5" s="1">
        <v>30</v>
      </c>
      <c r="E5" s="1">
        <v>10</v>
      </c>
    </row>
    <row r="6" spans="2:5" x14ac:dyDescent="0.3">
      <c r="B6" s="1">
        <v>2</v>
      </c>
      <c r="C6" s="1">
        <v>4</v>
      </c>
      <c r="D6" s="1">
        <v>10</v>
      </c>
      <c r="E6" s="1">
        <v>100</v>
      </c>
    </row>
    <row r="7" spans="2:5" x14ac:dyDescent="0.3">
      <c r="B7" s="1">
        <v>2</v>
      </c>
      <c r="C7" s="1">
        <v>5</v>
      </c>
      <c r="D7" s="1">
        <v>20</v>
      </c>
      <c r="E7" s="1">
        <v>100</v>
      </c>
    </row>
    <row r="8" spans="2:5" x14ac:dyDescent="0.3">
      <c r="B8" s="1">
        <v>3</v>
      </c>
      <c r="C8" s="1">
        <v>4</v>
      </c>
      <c r="D8" s="1">
        <v>20</v>
      </c>
      <c r="E8" s="1">
        <v>100</v>
      </c>
    </row>
    <row r="9" spans="2:5" x14ac:dyDescent="0.3">
      <c r="B9" s="1">
        <v>3</v>
      </c>
      <c r="C9" s="1">
        <v>6</v>
      </c>
      <c r="D9" s="1">
        <v>40</v>
      </c>
      <c r="E9" s="1">
        <v>10</v>
      </c>
    </row>
    <row r="10" spans="2:5" x14ac:dyDescent="0.3">
      <c r="B10" s="1">
        <v>4</v>
      </c>
      <c r="C10" s="1">
        <v>6</v>
      </c>
      <c r="D10" s="1">
        <v>30</v>
      </c>
      <c r="E10" s="1">
        <v>100</v>
      </c>
    </row>
    <row r="11" spans="2:5" x14ac:dyDescent="0.3">
      <c r="B11" s="1">
        <v>5</v>
      </c>
      <c r="C11" s="1">
        <v>4</v>
      </c>
      <c r="D11" s="1">
        <v>50</v>
      </c>
      <c r="E11" s="1">
        <v>100</v>
      </c>
    </row>
    <row r="12" spans="2:5" x14ac:dyDescent="0.3">
      <c r="B12" s="1">
        <v>5</v>
      </c>
      <c r="C12" s="1">
        <v>6</v>
      </c>
      <c r="D12" s="1">
        <v>30</v>
      </c>
      <c r="E12" s="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1163-67AC-415F-820C-96C68C90CB89}">
  <dimension ref="B2:H16"/>
  <sheetViews>
    <sheetView workbookViewId="0"/>
  </sheetViews>
  <sheetFormatPr defaultRowHeight="14.4" x14ac:dyDescent="0.3"/>
  <cols>
    <col min="5" max="5" width="12.44140625" bestFit="1" customWidth="1"/>
  </cols>
  <sheetData>
    <row r="2" spans="2:8" x14ac:dyDescent="0.3">
      <c r="B2" s="1" t="s">
        <v>13</v>
      </c>
      <c r="C2" s="1"/>
      <c r="D2" s="1"/>
      <c r="E2" s="1"/>
    </row>
    <row r="3" spans="2:8" x14ac:dyDescent="0.3">
      <c r="B3" s="1" t="s">
        <v>4</v>
      </c>
      <c r="C3" s="1" t="s">
        <v>1</v>
      </c>
      <c r="D3" s="1" t="s">
        <v>14</v>
      </c>
      <c r="E3" s="1" t="s">
        <v>15</v>
      </c>
      <c r="G3" s="1" t="s">
        <v>16</v>
      </c>
      <c r="H3" s="1" t="s">
        <v>17</v>
      </c>
    </row>
    <row r="4" spans="2:8" x14ac:dyDescent="0.3">
      <c r="B4" s="1">
        <v>1</v>
      </c>
      <c r="C4" s="1">
        <v>3</v>
      </c>
      <c r="D4" s="1">
        <v>20</v>
      </c>
      <c r="E4" s="1">
        <v>100</v>
      </c>
      <c r="G4" t="str">
        <f>_xlfn.CONCAT("(",$B4,",",$C4,") : ",D4,", ")</f>
        <v xml:space="preserve">(1,3) : 20, </v>
      </c>
      <c r="H4" t="str">
        <f>_xlfn.CONCAT("(",$B4,",",$C4,") : ",E4,", ")</f>
        <v xml:space="preserve">(1,3) : 100, </v>
      </c>
    </row>
    <row r="5" spans="2:8" x14ac:dyDescent="0.3">
      <c r="B5" s="1">
        <v>1</v>
      </c>
      <c r="C5" s="1">
        <v>4</v>
      </c>
      <c r="D5" s="1">
        <v>30</v>
      </c>
      <c r="E5" s="1">
        <v>10</v>
      </c>
      <c r="G5" t="str">
        <f t="shared" ref="G5:H12" si="0">_xlfn.CONCAT("(",$B5,",",$C5,") : ",D5,", ")</f>
        <v xml:space="preserve">(1,4) : 30, </v>
      </c>
      <c r="H5" t="str">
        <f t="shared" si="0"/>
        <v xml:space="preserve">(1,4) : 10, </v>
      </c>
    </row>
    <row r="6" spans="2:8" x14ac:dyDescent="0.3">
      <c r="B6" s="1">
        <v>2</v>
      </c>
      <c r="C6" s="1">
        <v>4</v>
      </c>
      <c r="D6" s="1">
        <v>10</v>
      </c>
      <c r="E6" s="1">
        <v>100</v>
      </c>
      <c r="G6" t="str">
        <f t="shared" si="0"/>
        <v xml:space="preserve">(2,4) : 10, </v>
      </c>
      <c r="H6" t="str">
        <f t="shared" si="0"/>
        <v xml:space="preserve">(2,4) : 100, </v>
      </c>
    </row>
    <row r="7" spans="2:8" x14ac:dyDescent="0.3">
      <c r="B7" s="1">
        <v>2</v>
      </c>
      <c r="C7" s="1">
        <v>5</v>
      </c>
      <c r="D7" s="1">
        <v>20</v>
      </c>
      <c r="E7" s="1">
        <v>100</v>
      </c>
      <c r="G7" t="str">
        <f t="shared" si="0"/>
        <v xml:space="preserve">(2,5) : 20, </v>
      </c>
      <c r="H7" t="str">
        <f t="shared" si="0"/>
        <v xml:space="preserve">(2,5) : 100, </v>
      </c>
    </row>
    <row r="8" spans="2:8" x14ac:dyDescent="0.3">
      <c r="B8" s="1">
        <v>3</v>
      </c>
      <c r="C8" s="1">
        <v>4</v>
      </c>
      <c r="D8" s="1">
        <v>20</v>
      </c>
      <c r="E8" s="1">
        <v>100</v>
      </c>
      <c r="G8" t="str">
        <f t="shared" si="0"/>
        <v xml:space="preserve">(3,4) : 20, </v>
      </c>
      <c r="H8" t="str">
        <f t="shared" si="0"/>
        <v xml:space="preserve">(3,4) : 100, </v>
      </c>
    </row>
    <row r="9" spans="2:8" x14ac:dyDescent="0.3">
      <c r="B9" s="1">
        <v>3</v>
      </c>
      <c r="C9" s="1">
        <v>6</v>
      </c>
      <c r="D9" s="1">
        <v>40</v>
      </c>
      <c r="E9" s="1">
        <v>10</v>
      </c>
      <c r="G9" t="str">
        <f t="shared" si="0"/>
        <v xml:space="preserve">(3,6) : 40, </v>
      </c>
      <c r="H9" t="str">
        <f t="shared" si="0"/>
        <v xml:space="preserve">(3,6) : 10, </v>
      </c>
    </row>
    <row r="10" spans="2:8" x14ac:dyDescent="0.3">
      <c r="B10" s="1">
        <v>4</v>
      </c>
      <c r="C10" s="1">
        <v>6</v>
      </c>
      <c r="D10" s="1">
        <v>30</v>
      </c>
      <c r="E10" s="1">
        <v>100</v>
      </c>
      <c r="G10" t="str">
        <f t="shared" si="0"/>
        <v xml:space="preserve">(4,6) : 30, </v>
      </c>
      <c r="H10" t="str">
        <f t="shared" si="0"/>
        <v xml:space="preserve">(4,6) : 100, </v>
      </c>
    </row>
    <row r="11" spans="2:8" x14ac:dyDescent="0.3">
      <c r="B11" s="1">
        <v>5</v>
      </c>
      <c r="C11" s="1">
        <v>4</v>
      </c>
      <c r="D11" s="1">
        <v>50</v>
      </c>
      <c r="E11" s="1">
        <v>100</v>
      </c>
      <c r="G11" t="str">
        <f t="shared" si="0"/>
        <v xml:space="preserve">(5,4) : 50, </v>
      </c>
      <c r="H11" t="str">
        <f t="shared" si="0"/>
        <v xml:space="preserve">(5,4) : 100, </v>
      </c>
    </row>
    <row r="12" spans="2:8" x14ac:dyDescent="0.3">
      <c r="B12" s="1">
        <v>5</v>
      </c>
      <c r="C12" s="1">
        <v>6</v>
      </c>
      <c r="D12" s="1">
        <v>30</v>
      </c>
      <c r="E12" s="1">
        <v>100</v>
      </c>
      <c r="G12" t="str">
        <f t="shared" si="0"/>
        <v xml:space="preserve">(5,6) : 30, </v>
      </c>
      <c r="H12" t="str">
        <f t="shared" si="0"/>
        <v xml:space="preserve">(5,6) : 100, </v>
      </c>
    </row>
    <row r="13" spans="2:8" x14ac:dyDescent="0.3">
      <c r="G13" t="s">
        <v>18</v>
      </c>
      <c r="H13" t="s">
        <v>18</v>
      </c>
    </row>
    <row r="15" spans="2:8" x14ac:dyDescent="0.3">
      <c r="G15" t="str">
        <f>_xlfn.CONCAT(G3:G13)</f>
        <v>Cost = { (1,3) : 20, (1,4) : 30, (2,4) : 10, (2,5) : 20, (3,4) : 20, (3,6) : 40, (4,6) : 30, (5,4) : 50, (5,6) : 30, }</v>
      </c>
    </row>
    <row r="16" spans="2:8" x14ac:dyDescent="0.3">
      <c r="G16" t="str">
        <f>_xlfn.CONCAT(H3:H13)</f>
        <v>UpperBound = {(1,3) : 100, (1,4) : 10, (2,4) : 100, (2,5) : 100, (3,4) : 100, (3,6) : 10, (4,6) : 100, (5,4) : 100, (5,6) : 100, }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EFEF-E176-4FE2-9ACA-FBD837DC01CF}">
  <dimension ref="B2:J38"/>
  <sheetViews>
    <sheetView zoomScaleNormal="100" workbookViewId="0"/>
  </sheetViews>
  <sheetFormatPr defaultColWidth="12.5546875" defaultRowHeight="14.4" x14ac:dyDescent="0.3"/>
  <cols>
    <col min="1" max="1" width="6.109375" bestFit="1" customWidth="1"/>
    <col min="2" max="2" width="8.44140625" customWidth="1"/>
    <col min="3" max="10" width="7" customWidth="1"/>
    <col min="254" max="254" width="6.109375" bestFit="1" customWidth="1"/>
    <col min="255" max="255" width="8.44140625" customWidth="1"/>
    <col min="256" max="256" width="9.33203125" bestFit="1" customWidth="1"/>
    <col min="257" max="263" width="6.109375" bestFit="1" customWidth="1"/>
    <col min="264" max="264" width="2.33203125" bestFit="1" customWidth="1"/>
    <col min="265" max="265" width="3.109375" bestFit="1" customWidth="1"/>
    <col min="510" max="510" width="6.109375" bestFit="1" customWidth="1"/>
    <col min="511" max="511" width="8.44140625" customWidth="1"/>
    <col min="512" max="512" width="9.33203125" bestFit="1" customWidth="1"/>
    <col min="513" max="519" width="6.109375" bestFit="1" customWidth="1"/>
    <col min="520" max="520" width="2.33203125" bestFit="1" customWidth="1"/>
    <col min="521" max="521" width="3.109375" bestFit="1" customWidth="1"/>
    <col min="766" max="766" width="6.109375" bestFit="1" customWidth="1"/>
    <col min="767" max="767" width="8.44140625" customWidth="1"/>
    <col min="768" max="768" width="9.33203125" bestFit="1" customWidth="1"/>
    <col min="769" max="775" width="6.109375" bestFit="1" customWidth="1"/>
    <col min="776" max="776" width="2.33203125" bestFit="1" customWidth="1"/>
    <col min="777" max="777" width="3.109375" bestFit="1" customWidth="1"/>
    <col min="1022" max="1022" width="6.109375" bestFit="1" customWidth="1"/>
    <col min="1023" max="1023" width="8.44140625" customWidth="1"/>
    <col min="1024" max="1024" width="9.33203125" bestFit="1" customWidth="1"/>
    <col min="1025" max="1031" width="6.109375" bestFit="1" customWidth="1"/>
    <col min="1032" max="1032" width="2.33203125" bestFit="1" customWidth="1"/>
    <col min="1033" max="1033" width="3.109375" bestFit="1" customWidth="1"/>
    <col min="1278" max="1278" width="6.109375" bestFit="1" customWidth="1"/>
    <col min="1279" max="1279" width="8.44140625" customWidth="1"/>
    <col min="1280" max="1280" width="9.33203125" bestFit="1" customWidth="1"/>
    <col min="1281" max="1287" width="6.109375" bestFit="1" customWidth="1"/>
    <col min="1288" max="1288" width="2.33203125" bestFit="1" customWidth="1"/>
    <col min="1289" max="1289" width="3.109375" bestFit="1" customWidth="1"/>
    <col min="1534" max="1534" width="6.109375" bestFit="1" customWidth="1"/>
    <col min="1535" max="1535" width="8.44140625" customWidth="1"/>
    <col min="1536" max="1536" width="9.33203125" bestFit="1" customWidth="1"/>
    <col min="1537" max="1543" width="6.109375" bestFit="1" customWidth="1"/>
    <col min="1544" max="1544" width="2.33203125" bestFit="1" customWidth="1"/>
    <col min="1545" max="1545" width="3.109375" bestFit="1" customWidth="1"/>
    <col min="1790" max="1790" width="6.109375" bestFit="1" customWidth="1"/>
    <col min="1791" max="1791" width="8.44140625" customWidth="1"/>
    <col min="1792" max="1792" width="9.33203125" bestFit="1" customWidth="1"/>
    <col min="1793" max="1799" width="6.109375" bestFit="1" customWidth="1"/>
    <col min="1800" max="1800" width="2.33203125" bestFit="1" customWidth="1"/>
    <col min="1801" max="1801" width="3.109375" bestFit="1" customWidth="1"/>
    <col min="2046" max="2046" width="6.109375" bestFit="1" customWidth="1"/>
    <col min="2047" max="2047" width="8.44140625" customWidth="1"/>
    <col min="2048" max="2048" width="9.33203125" bestFit="1" customWidth="1"/>
    <col min="2049" max="2055" width="6.109375" bestFit="1" customWidth="1"/>
    <col min="2056" max="2056" width="2.33203125" bestFit="1" customWidth="1"/>
    <col min="2057" max="2057" width="3.109375" bestFit="1" customWidth="1"/>
    <col min="2302" max="2302" width="6.109375" bestFit="1" customWidth="1"/>
    <col min="2303" max="2303" width="8.44140625" customWidth="1"/>
    <col min="2304" max="2304" width="9.33203125" bestFit="1" customWidth="1"/>
    <col min="2305" max="2311" width="6.109375" bestFit="1" customWidth="1"/>
    <col min="2312" max="2312" width="2.33203125" bestFit="1" customWidth="1"/>
    <col min="2313" max="2313" width="3.109375" bestFit="1" customWidth="1"/>
    <col min="2558" max="2558" width="6.109375" bestFit="1" customWidth="1"/>
    <col min="2559" max="2559" width="8.44140625" customWidth="1"/>
    <col min="2560" max="2560" width="9.33203125" bestFit="1" customWidth="1"/>
    <col min="2561" max="2567" width="6.109375" bestFit="1" customWidth="1"/>
    <col min="2568" max="2568" width="2.33203125" bestFit="1" customWidth="1"/>
    <col min="2569" max="2569" width="3.109375" bestFit="1" customWidth="1"/>
    <col min="2814" max="2814" width="6.109375" bestFit="1" customWidth="1"/>
    <col min="2815" max="2815" width="8.44140625" customWidth="1"/>
    <col min="2816" max="2816" width="9.33203125" bestFit="1" customWidth="1"/>
    <col min="2817" max="2823" width="6.109375" bestFit="1" customWidth="1"/>
    <col min="2824" max="2824" width="2.33203125" bestFit="1" customWidth="1"/>
    <col min="2825" max="2825" width="3.109375" bestFit="1" customWidth="1"/>
    <col min="3070" max="3070" width="6.109375" bestFit="1" customWidth="1"/>
    <col min="3071" max="3071" width="8.44140625" customWidth="1"/>
    <col min="3072" max="3072" width="9.33203125" bestFit="1" customWidth="1"/>
    <col min="3073" max="3079" width="6.109375" bestFit="1" customWidth="1"/>
    <col min="3080" max="3080" width="2.33203125" bestFit="1" customWidth="1"/>
    <col min="3081" max="3081" width="3.109375" bestFit="1" customWidth="1"/>
    <col min="3326" max="3326" width="6.109375" bestFit="1" customWidth="1"/>
    <col min="3327" max="3327" width="8.44140625" customWidth="1"/>
    <col min="3328" max="3328" width="9.33203125" bestFit="1" customWidth="1"/>
    <col min="3329" max="3335" width="6.109375" bestFit="1" customWidth="1"/>
    <col min="3336" max="3336" width="2.33203125" bestFit="1" customWidth="1"/>
    <col min="3337" max="3337" width="3.109375" bestFit="1" customWidth="1"/>
    <col min="3582" max="3582" width="6.109375" bestFit="1" customWidth="1"/>
    <col min="3583" max="3583" width="8.44140625" customWidth="1"/>
    <col min="3584" max="3584" width="9.33203125" bestFit="1" customWidth="1"/>
    <col min="3585" max="3591" width="6.109375" bestFit="1" customWidth="1"/>
    <col min="3592" max="3592" width="2.33203125" bestFit="1" customWidth="1"/>
    <col min="3593" max="3593" width="3.109375" bestFit="1" customWidth="1"/>
    <col min="3838" max="3838" width="6.109375" bestFit="1" customWidth="1"/>
    <col min="3839" max="3839" width="8.44140625" customWidth="1"/>
    <col min="3840" max="3840" width="9.33203125" bestFit="1" customWidth="1"/>
    <col min="3841" max="3847" width="6.109375" bestFit="1" customWidth="1"/>
    <col min="3848" max="3848" width="2.33203125" bestFit="1" customWidth="1"/>
    <col min="3849" max="3849" width="3.109375" bestFit="1" customWidth="1"/>
    <col min="4094" max="4094" width="6.109375" bestFit="1" customWidth="1"/>
    <col min="4095" max="4095" width="8.44140625" customWidth="1"/>
    <col min="4096" max="4096" width="9.33203125" bestFit="1" customWidth="1"/>
    <col min="4097" max="4103" width="6.109375" bestFit="1" customWidth="1"/>
    <col min="4104" max="4104" width="2.33203125" bestFit="1" customWidth="1"/>
    <col min="4105" max="4105" width="3.109375" bestFit="1" customWidth="1"/>
    <col min="4350" max="4350" width="6.109375" bestFit="1" customWidth="1"/>
    <col min="4351" max="4351" width="8.44140625" customWidth="1"/>
    <col min="4352" max="4352" width="9.33203125" bestFit="1" customWidth="1"/>
    <col min="4353" max="4359" width="6.109375" bestFit="1" customWidth="1"/>
    <col min="4360" max="4360" width="2.33203125" bestFit="1" customWidth="1"/>
    <col min="4361" max="4361" width="3.109375" bestFit="1" customWidth="1"/>
    <col min="4606" max="4606" width="6.109375" bestFit="1" customWidth="1"/>
    <col min="4607" max="4607" width="8.44140625" customWidth="1"/>
    <col min="4608" max="4608" width="9.33203125" bestFit="1" customWidth="1"/>
    <col min="4609" max="4615" width="6.109375" bestFit="1" customWidth="1"/>
    <col min="4616" max="4616" width="2.33203125" bestFit="1" customWidth="1"/>
    <col min="4617" max="4617" width="3.109375" bestFit="1" customWidth="1"/>
    <col min="4862" max="4862" width="6.109375" bestFit="1" customWidth="1"/>
    <col min="4863" max="4863" width="8.44140625" customWidth="1"/>
    <col min="4864" max="4864" width="9.33203125" bestFit="1" customWidth="1"/>
    <col min="4865" max="4871" width="6.109375" bestFit="1" customWidth="1"/>
    <col min="4872" max="4872" width="2.33203125" bestFit="1" customWidth="1"/>
    <col min="4873" max="4873" width="3.109375" bestFit="1" customWidth="1"/>
    <col min="5118" max="5118" width="6.109375" bestFit="1" customWidth="1"/>
    <col min="5119" max="5119" width="8.44140625" customWidth="1"/>
    <col min="5120" max="5120" width="9.33203125" bestFit="1" customWidth="1"/>
    <col min="5121" max="5127" width="6.109375" bestFit="1" customWidth="1"/>
    <col min="5128" max="5128" width="2.33203125" bestFit="1" customWidth="1"/>
    <col min="5129" max="5129" width="3.109375" bestFit="1" customWidth="1"/>
    <col min="5374" max="5374" width="6.109375" bestFit="1" customWidth="1"/>
    <col min="5375" max="5375" width="8.44140625" customWidth="1"/>
    <col min="5376" max="5376" width="9.33203125" bestFit="1" customWidth="1"/>
    <col min="5377" max="5383" width="6.109375" bestFit="1" customWidth="1"/>
    <col min="5384" max="5384" width="2.33203125" bestFit="1" customWidth="1"/>
    <col min="5385" max="5385" width="3.109375" bestFit="1" customWidth="1"/>
    <col min="5630" max="5630" width="6.109375" bestFit="1" customWidth="1"/>
    <col min="5631" max="5631" width="8.44140625" customWidth="1"/>
    <col min="5632" max="5632" width="9.33203125" bestFit="1" customWidth="1"/>
    <col min="5633" max="5639" width="6.109375" bestFit="1" customWidth="1"/>
    <col min="5640" max="5640" width="2.33203125" bestFit="1" customWidth="1"/>
    <col min="5641" max="5641" width="3.109375" bestFit="1" customWidth="1"/>
    <col min="5886" max="5886" width="6.109375" bestFit="1" customWidth="1"/>
    <col min="5887" max="5887" width="8.44140625" customWidth="1"/>
    <col min="5888" max="5888" width="9.33203125" bestFit="1" customWidth="1"/>
    <col min="5889" max="5895" width="6.109375" bestFit="1" customWidth="1"/>
    <col min="5896" max="5896" width="2.33203125" bestFit="1" customWidth="1"/>
    <col min="5897" max="5897" width="3.109375" bestFit="1" customWidth="1"/>
    <col min="6142" max="6142" width="6.109375" bestFit="1" customWidth="1"/>
    <col min="6143" max="6143" width="8.44140625" customWidth="1"/>
    <col min="6144" max="6144" width="9.33203125" bestFit="1" customWidth="1"/>
    <col min="6145" max="6151" width="6.109375" bestFit="1" customWidth="1"/>
    <col min="6152" max="6152" width="2.33203125" bestFit="1" customWidth="1"/>
    <col min="6153" max="6153" width="3.109375" bestFit="1" customWidth="1"/>
    <col min="6398" max="6398" width="6.109375" bestFit="1" customWidth="1"/>
    <col min="6399" max="6399" width="8.44140625" customWidth="1"/>
    <col min="6400" max="6400" width="9.33203125" bestFit="1" customWidth="1"/>
    <col min="6401" max="6407" width="6.109375" bestFit="1" customWidth="1"/>
    <col min="6408" max="6408" width="2.33203125" bestFit="1" customWidth="1"/>
    <col min="6409" max="6409" width="3.109375" bestFit="1" customWidth="1"/>
    <col min="6654" max="6654" width="6.109375" bestFit="1" customWidth="1"/>
    <col min="6655" max="6655" width="8.44140625" customWidth="1"/>
    <col min="6656" max="6656" width="9.33203125" bestFit="1" customWidth="1"/>
    <col min="6657" max="6663" width="6.109375" bestFit="1" customWidth="1"/>
    <col min="6664" max="6664" width="2.33203125" bestFit="1" customWidth="1"/>
    <col min="6665" max="6665" width="3.109375" bestFit="1" customWidth="1"/>
    <col min="6910" max="6910" width="6.109375" bestFit="1" customWidth="1"/>
    <col min="6911" max="6911" width="8.44140625" customWidth="1"/>
    <col min="6912" max="6912" width="9.33203125" bestFit="1" customWidth="1"/>
    <col min="6913" max="6919" width="6.109375" bestFit="1" customWidth="1"/>
    <col min="6920" max="6920" width="2.33203125" bestFit="1" customWidth="1"/>
    <col min="6921" max="6921" width="3.109375" bestFit="1" customWidth="1"/>
    <col min="7166" max="7166" width="6.109375" bestFit="1" customWidth="1"/>
    <col min="7167" max="7167" width="8.44140625" customWidth="1"/>
    <col min="7168" max="7168" width="9.33203125" bestFit="1" customWidth="1"/>
    <col min="7169" max="7175" width="6.109375" bestFit="1" customWidth="1"/>
    <col min="7176" max="7176" width="2.33203125" bestFit="1" customWidth="1"/>
    <col min="7177" max="7177" width="3.109375" bestFit="1" customWidth="1"/>
    <col min="7422" max="7422" width="6.109375" bestFit="1" customWidth="1"/>
    <col min="7423" max="7423" width="8.44140625" customWidth="1"/>
    <col min="7424" max="7424" width="9.33203125" bestFit="1" customWidth="1"/>
    <col min="7425" max="7431" width="6.109375" bestFit="1" customWidth="1"/>
    <col min="7432" max="7432" width="2.33203125" bestFit="1" customWidth="1"/>
    <col min="7433" max="7433" width="3.109375" bestFit="1" customWidth="1"/>
    <col min="7678" max="7678" width="6.109375" bestFit="1" customWidth="1"/>
    <col min="7679" max="7679" width="8.44140625" customWidth="1"/>
    <col min="7680" max="7680" width="9.33203125" bestFit="1" customWidth="1"/>
    <col min="7681" max="7687" width="6.109375" bestFit="1" customWidth="1"/>
    <col min="7688" max="7688" width="2.33203125" bestFit="1" customWidth="1"/>
    <col min="7689" max="7689" width="3.109375" bestFit="1" customWidth="1"/>
    <col min="7934" max="7934" width="6.109375" bestFit="1" customWidth="1"/>
    <col min="7935" max="7935" width="8.44140625" customWidth="1"/>
    <col min="7936" max="7936" width="9.33203125" bestFit="1" customWidth="1"/>
    <col min="7937" max="7943" width="6.109375" bestFit="1" customWidth="1"/>
    <col min="7944" max="7944" width="2.33203125" bestFit="1" customWidth="1"/>
    <col min="7945" max="7945" width="3.109375" bestFit="1" customWidth="1"/>
    <col min="8190" max="8190" width="6.109375" bestFit="1" customWidth="1"/>
    <col min="8191" max="8191" width="8.44140625" customWidth="1"/>
    <col min="8192" max="8192" width="9.33203125" bestFit="1" customWidth="1"/>
    <col min="8193" max="8199" width="6.109375" bestFit="1" customWidth="1"/>
    <col min="8200" max="8200" width="2.33203125" bestFit="1" customWidth="1"/>
    <col min="8201" max="8201" width="3.109375" bestFit="1" customWidth="1"/>
    <col min="8446" max="8446" width="6.109375" bestFit="1" customWidth="1"/>
    <col min="8447" max="8447" width="8.44140625" customWidth="1"/>
    <col min="8448" max="8448" width="9.33203125" bestFit="1" customWidth="1"/>
    <col min="8449" max="8455" width="6.109375" bestFit="1" customWidth="1"/>
    <col min="8456" max="8456" width="2.33203125" bestFit="1" customWidth="1"/>
    <col min="8457" max="8457" width="3.109375" bestFit="1" customWidth="1"/>
    <col min="8702" max="8702" width="6.109375" bestFit="1" customWidth="1"/>
    <col min="8703" max="8703" width="8.44140625" customWidth="1"/>
    <col min="8704" max="8704" width="9.33203125" bestFit="1" customWidth="1"/>
    <col min="8705" max="8711" width="6.109375" bestFit="1" customWidth="1"/>
    <col min="8712" max="8712" width="2.33203125" bestFit="1" customWidth="1"/>
    <col min="8713" max="8713" width="3.109375" bestFit="1" customWidth="1"/>
    <col min="8958" max="8958" width="6.109375" bestFit="1" customWidth="1"/>
    <col min="8959" max="8959" width="8.44140625" customWidth="1"/>
    <col min="8960" max="8960" width="9.33203125" bestFit="1" customWidth="1"/>
    <col min="8961" max="8967" width="6.109375" bestFit="1" customWidth="1"/>
    <col min="8968" max="8968" width="2.33203125" bestFit="1" customWidth="1"/>
    <col min="8969" max="8969" width="3.109375" bestFit="1" customWidth="1"/>
    <col min="9214" max="9214" width="6.109375" bestFit="1" customWidth="1"/>
    <col min="9215" max="9215" width="8.44140625" customWidth="1"/>
    <col min="9216" max="9216" width="9.33203125" bestFit="1" customWidth="1"/>
    <col min="9217" max="9223" width="6.109375" bestFit="1" customWidth="1"/>
    <col min="9224" max="9224" width="2.33203125" bestFit="1" customWidth="1"/>
    <col min="9225" max="9225" width="3.109375" bestFit="1" customWidth="1"/>
    <col min="9470" max="9470" width="6.109375" bestFit="1" customWidth="1"/>
    <col min="9471" max="9471" width="8.44140625" customWidth="1"/>
    <col min="9472" max="9472" width="9.33203125" bestFit="1" customWidth="1"/>
    <col min="9473" max="9479" width="6.109375" bestFit="1" customWidth="1"/>
    <col min="9480" max="9480" width="2.33203125" bestFit="1" customWidth="1"/>
    <col min="9481" max="9481" width="3.109375" bestFit="1" customWidth="1"/>
    <col min="9726" max="9726" width="6.109375" bestFit="1" customWidth="1"/>
    <col min="9727" max="9727" width="8.44140625" customWidth="1"/>
    <col min="9728" max="9728" width="9.33203125" bestFit="1" customWidth="1"/>
    <col min="9729" max="9735" width="6.109375" bestFit="1" customWidth="1"/>
    <col min="9736" max="9736" width="2.33203125" bestFit="1" customWidth="1"/>
    <col min="9737" max="9737" width="3.109375" bestFit="1" customWidth="1"/>
    <col min="9982" max="9982" width="6.109375" bestFit="1" customWidth="1"/>
    <col min="9983" max="9983" width="8.44140625" customWidth="1"/>
    <col min="9984" max="9984" width="9.33203125" bestFit="1" customWidth="1"/>
    <col min="9985" max="9991" width="6.109375" bestFit="1" customWidth="1"/>
    <col min="9992" max="9992" width="2.33203125" bestFit="1" customWidth="1"/>
    <col min="9993" max="9993" width="3.109375" bestFit="1" customWidth="1"/>
    <col min="10238" max="10238" width="6.109375" bestFit="1" customWidth="1"/>
    <col min="10239" max="10239" width="8.44140625" customWidth="1"/>
    <col min="10240" max="10240" width="9.33203125" bestFit="1" customWidth="1"/>
    <col min="10241" max="10247" width="6.109375" bestFit="1" customWidth="1"/>
    <col min="10248" max="10248" width="2.33203125" bestFit="1" customWidth="1"/>
    <col min="10249" max="10249" width="3.109375" bestFit="1" customWidth="1"/>
    <col min="10494" max="10494" width="6.109375" bestFit="1" customWidth="1"/>
    <col min="10495" max="10495" width="8.44140625" customWidth="1"/>
    <col min="10496" max="10496" width="9.33203125" bestFit="1" customWidth="1"/>
    <col min="10497" max="10503" width="6.109375" bestFit="1" customWidth="1"/>
    <col min="10504" max="10504" width="2.33203125" bestFit="1" customWidth="1"/>
    <col min="10505" max="10505" width="3.109375" bestFit="1" customWidth="1"/>
    <col min="10750" max="10750" width="6.109375" bestFit="1" customWidth="1"/>
    <col min="10751" max="10751" width="8.44140625" customWidth="1"/>
    <col min="10752" max="10752" width="9.33203125" bestFit="1" customWidth="1"/>
    <col min="10753" max="10759" width="6.109375" bestFit="1" customWidth="1"/>
    <col min="10760" max="10760" width="2.33203125" bestFit="1" customWidth="1"/>
    <col min="10761" max="10761" width="3.109375" bestFit="1" customWidth="1"/>
    <col min="11006" max="11006" width="6.109375" bestFit="1" customWidth="1"/>
    <col min="11007" max="11007" width="8.44140625" customWidth="1"/>
    <col min="11008" max="11008" width="9.33203125" bestFit="1" customWidth="1"/>
    <col min="11009" max="11015" width="6.109375" bestFit="1" customWidth="1"/>
    <col min="11016" max="11016" width="2.33203125" bestFit="1" customWidth="1"/>
    <col min="11017" max="11017" width="3.109375" bestFit="1" customWidth="1"/>
    <col min="11262" max="11262" width="6.109375" bestFit="1" customWidth="1"/>
    <col min="11263" max="11263" width="8.44140625" customWidth="1"/>
    <col min="11264" max="11264" width="9.33203125" bestFit="1" customWidth="1"/>
    <col min="11265" max="11271" width="6.109375" bestFit="1" customWidth="1"/>
    <col min="11272" max="11272" width="2.33203125" bestFit="1" customWidth="1"/>
    <col min="11273" max="11273" width="3.109375" bestFit="1" customWidth="1"/>
    <col min="11518" max="11518" width="6.109375" bestFit="1" customWidth="1"/>
    <col min="11519" max="11519" width="8.44140625" customWidth="1"/>
    <col min="11520" max="11520" width="9.33203125" bestFit="1" customWidth="1"/>
    <col min="11521" max="11527" width="6.109375" bestFit="1" customWidth="1"/>
    <col min="11528" max="11528" width="2.33203125" bestFit="1" customWidth="1"/>
    <col min="11529" max="11529" width="3.109375" bestFit="1" customWidth="1"/>
    <col min="11774" max="11774" width="6.109375" bestFit="1" customWidth="1"/>
    <col min="11775" max="11775" width="8.44140625" customWidth="1"/>
    <col min="11776" max="11776" width="9.33203125" bestFit="1" customWidth="1"/>
    <col min="11777" max="11783" width="6.109375" bestFit="1" customWidth="1"/>
    <col min="11784" max="11784" width="2.33203125" bestFit="1" customWidth="1"/>
    <col min="11785" max="11785" width="3.109375" bestFit="1" customWidth="1"/>
    <col min="12030" max="12030" width="6.109375" bestFit="1" customWidth="1"/>
    <col min="12031" max="12031" width="8.44140625" customWidth="1"/>
    <col min="12032" max="12032" width="9.33203125" bestFit="1" customWidth="1"/>
    <col min="12033" max="12039" width="6.109375" bestFit="1" customWidth="1"/>
    <col min="12040" max="12040" width="2.33203125" bestFit="1" customWidth="1"/>
    <col min="12041" max="12041" width="3.109375" bestFit="1" customWidth="1"/>
    <col min="12286" max="12286" width="6.109375" bestFit="1" customWidth="1"/>
    <col min="12287" max="12287" width="8.44140625" customWidth="1"/>
    <col min="12288" max="12288" width="9.33203125" bestFit="1" customWidth="1"/>
    <col min="12289" max="12295" width="6.109375" bestFit="1" customWidth="1"/>
    <col min="12296" max="12296" width="2.33203125" bestFit="1" customWidth="1"/>
    <col min="12297" max="12297" width="3.109375" bestFit="1" customWidth="1"/>
    <col min="12542" max="12542" width="6.109375" bestFit="1" customWidth="1"/>
    <col min="12543" max="12543" width="8.44140625" customWidth="1"/>
    <col min="12544" max="12544" width="9.33203125" bestFit="1" customWidth="1"/>
    <col min="12545" max="12551" width="6.109375" bestFit="1" customWidth="1"/>
    <col min="12552" max="12552" width="2.33203125" bestFit="1" customWidth="1"/>
    <col min="12553" max="12553" width="3.109375" bestFit="1" customWidth="1"/>
    <col min="12798" max="12798" width="6.109375" bestFit="1" customWidth="1"/>
    <col min="12799" max="12799" width="8.44140625" customWidth="1"/>
    <col min="12800" max="12800" width="9.33203125" bestFit="1" customWidth="1"/>
    <col min="12801" max="12807" width="6.109375" bestFit="1" customWidth="1"/>
    <col min="12808" max="12808" width="2.33203125" bestFit="1" customWidth="1"/>
    <col min="12809" max="12809" width="3.109375" bestFit="1" customWidth="1"/>
    <col min="13054" max="13054" width="6.109375" bestFit="1" customWidth="1"/>
    <col min="13055" max="13055" width="8.44140625" customWidth="1"/>
    <col min="13056" max="13056" width="9.33203125" bestFit="1" customWidth="1"/>
    <col min="13057" max="13063" width="6.109375" bestFit="1" customWidth="1"/>
    <col min="13064" max="13064" width="2.33203125" bestFit="1" customWidth="1"/>
    <col min="13065" max="13065" width="3.109375" bestFit="1" customWidth="1"/>
    <col min="13310" max="13310" width="6.109375" bestFit="1" customWidth="1"/>
    <col min="13311" max="13311" width="8.44140625" customWidth="1"/>
    <col min="13312" max="13312" width="9.33203125" bestFit="1" customWidth="1"/>
    <col min="13313" max="13319" width="6.109375" bestFit="1" customWidth="1"/>
    <col min="13320" max="13320" width="2.33203125" bestFit="1" customWidth="1"/>
    <col min="13321" max="13321" width="3.109375" bestFit="1" customWidth="1"/>
    <col min="13566" max="13566" width="6.109375" bestFit="1" customWidth="1"/>
    <col min="13567" max="13567" width="8.44140625" customWidth="1"/>
    <col min="13568" max="13568" width="9.33203125" bestFit="1" customWidth="1"/>
    <col min="13569" max="13575" width="6.109375" bestFit="1" customWidth="1"/>
    <col min="13576" max="13576" width="2.33203125" bestFit="1" customWidth="1"/>
    <col min="13577" max="13577" width="3.109375" bestFit="1" customWidth="1"/>
    <col min="13822" max="13822" width="6.109375" bestFit="1" customWidth="1"/>
    <col min="13823" max="13823" width="8.44140625" customWidth="1"/>
    <col min="13824" max="13824" width="9.33203125" bestFit="1" customWidth="1"/>
    <col min="13825" max="13831" width="6.109375" bestFit="1" customWidth="1"/>
    <col min="13832" max="13832" width="2.33203125" bestFit="1" customWidth="1"/>
    <col min="13833" max="13833" width="3.109375" bestFit="1" customWidth="1"/>
    <col min="14078" max="14078" width="6.109375" bestFit="1" customWidth="1"/>
    <col min="14079" max="14079" width="8.44140625" customWidth="1"/>
    <col min="14080" max="14080" width="9.33203125" bestFit="1" customWidth="1"/>
    <col min="14081" max="14087" width="6.109375" bestFit="1" customWidth="1"/>
    <col min="14088" max="14088" width="2.33203125" bestFit="1" customWidth="1"/>
    <col min="14089" max="14089" width="3.109375" bestFit="1" customWidth="1"/>
    <col min="14334" max="14334" width="6.109375" bestFit="1" customWidth="1"/>
    <col min="14335" max="14335" width="8.44140625" customWidth="1"/>
    <col min="14336" max="14336" width="9.33203125" bestFit="1" customWidth="1"/>
    <col min="14337" max="14343" width="6.109375" bestFit="1" customWidth="1"/>
    <col min="14344" max="14344" width="2.33203125" bestFit="1" customWidth="1"/>
    <col min="14345" max="14345" width="3.109375" bestFit="1" customWidth="1"/>
    <col min="14590" max="14590" width="6.109375" bestFit="1" customWidth="1"/>
    <col min="14591" max="14591" width="8.44140625" customWidth="1"/>
    <col min="14592" max="14592" width="9.33203125" bestFit="1" customWidth="1"/>
    <col min="14593" max="14599" width="6.109375" bestFit="1" customWidth="1"/>
    <col min="14600" max="14600" width="2.33203125" bestFit="1" customWidth="1"/>
    <col min="14601" max="14601" width="3.109375" bestFit="1" customWidth="1"/>
    <col min="14846" max="14846" width="6.109375" bestFit="1" customWidth="1"/>
    <col min="14847" max="14847" width="8.44140625" customWidth="1"/>
    <col min="14848" max="14848" width="9.33203125" bestFit="1" customWidth="1"/>
    <col min="14849" max="14855" width="6.109375" bestFit="1" customWidth="1"/>
    <col min="14856" max="14856" width="2.33203125" bestFit="1" customWidth="1"/>
    <col min="14857" max="14857" width="3.109375" bestFit="1" customWidth="1"/>
    <col min="15102" max="15102" width="6.109375" bestFit="1" customWidth="1"/>
    <col min="15103" max="15103" width="8.44140625" customWidth="1"/>
    <col min="15104" max="15104" width="9.33203125" bestFit="1" customWidth="1"/>
    <col min="15105" max="15111" width="6.109375" bestFit="1" customWidth="1"/>
    <col min="15112" max="15112" width="2.33203125" bestFit="1" customWidth="1"/>
    <col min="15113" max="15113" width="3.109375" bestFit="1" customWidth="1"/>
    <col min="15358" max="15358" width="6.109375" bestFit="1" customWidth="1"/>
    <col min="15359" max="15359" width="8.44140625" customWidth="1"/>
    <col min="15360" max="15360" width="9.33203125" bestFit="1" customWidth="1"/>
    <col min="15361" max="15367" width="6.109375" bestFit="1" customWidth="1"/>
    <col min="15368" max="15368" width="2.33203125" bestFit="1" customWidth="1"/>
    <col min="15369" max="15369" width="3.109375" bestFit="1" customWidth="1"/>
    <col min="15614" max="15614" width="6.109375" bestFit="1" customWidth="1"/>
    <col min="15615" max="15615" width="8.44140625" customWidth="1"/>
    <col min="15616" max="15616" width="9.33203125" bestFit="1" customWidth="1"/>
    <col min="15617" max="15623" width="6.109375" bestFit="1" customWidth="1"/>
    <col min="15624" max="15624" width="2.33203125" bestFit="1" customWidth="1"/>
    <col min="15625" max="15625" width="3.109375" bestFit="1" customWidth="1"/>
    <col min="15870" max="15870" width="6.109375" bestFit="1" customWidth="1"/>
    <col min="15871" max="15871" width="8.44140625" customWidth="1"/>
    <col min="15872" max="15872" width="9.33203125" bestFit="1" customWidth="1"/>
    <col min="15873" max="15879" width="6.109375" bestFit="1" customWidth="1"/>
    <col min="15880" max="15880" width="2.33203125" bestFit="1" customWidth="1"/>
    <col min="15881" max="15881" width="3.109375" bestFit="1" customWidth="1"/>
    <col min="16126" max="16126" width="6.109375" bestFit="1" customWidth="1"/>
    <col min="16127" max="16127" width="8.44140625" customWidth="1"/>
    <col min="16128" max="16128" width="9.33203125" bestFit="1" customWidth="1"/>
    <col min="16129" max="16135" width="6.109375" bestFit="1" customWidth="1"/>
    <col min="16136" max="16136" width="2.33203125" bestFit="1" customWidth="1"/>
    <col min="16137" max="16137" width="3.109375" bestFit="1" customWidth="1"/>
  </cols>
  <sheetData>
    <row r="2" spans="2:10" x14ac:dyDescent="0.3">
      <c r="B2" t="s">
        <v>19</v>
      </c>
    </row>
    <row r="3" spans="2:10" x14ac:dyDescent="0.3">
      <c r="C3" s="1" t="str">
        <f t="array" ref="C3:J3">TRANSPOSE(B4:B11)</f>
        <v>DFW</v>
      </c>
      <c r="D3" s="1" t="str">
        <v>HNL</v>
      </c>
      <c r="E3" s="1" t="str">
        <v>LAX</v>
      </c>
      <c r="F3" s="1" t="str">
        <v>LGA</v>
      </c>
      <c r="G3" s="1" t="str">
        <v>MIA</v>
      </c>
      <c r="H3" s="1" t="str">
        <v>ORD</v>
      </c>
      <c r="I3" s="1" t="str">
        <v>PVD</v>
      </c>
      <c r="J3" s="1" t="str">
        <v>SFO</v>
      </c>
    </row>
    <row r="4" spans="2:10" x14ac:dyDescent="0.3">
      <c r="B4" t="s">
        <v>20</v>
      </c>
      <c r="C4" s="2" t="s">
        <v>9</v>
      </c>
      <c r="D4" s="3" t="s">
        <v>9</v>
      </c>
      <c r="E4" s="3">
        <v>1233</v>
      </c>
      <c r="F4" s="3">
        <v>1387</v>
      </c>
      <c r="G4" s="3">
        <v>1120</v>
      </c>
      <c r="H4" s="3">
        <v>802</v>
      </c>
      <c r="I4" s="3" t="s">
        <v>9</v>
      </c>
      <c r="J4" s="4" t="s">
        <v>9</v>
      </c>
    </row>
    <row r="5" spans="2:10" x14ac:dyDescent="0.3">
      <c r="B5" t="s">
        <v>21</v>
      </c>
      <c r="C5" s="5" t="s">
        <v>9</v>
      </c>
      <c r="D5" s="1" t="s">
        <v>9</v>
      </c>
      <c r="E5" s="1">
        <v>2555</v>
      </c>
      <c r="F5" s="1" t="s">
        <v>9</v>
      </c>
      <c r="G5" s="1" t="s">
        <v>9</v>
      </c>
      <c r="H5" s="1" t="s">
        <v>9</v>
      </c>
      <c r="I5" s="1" t="s">
        <v>9</v>
      </c>
      <c r="J5" s="6" t="s">
        <v>9</v>
      </c>
    </row>
    <row r="6" spans="2:10" x14ac:dyDescent="0.3">
      <c r="B6" t="s">
        <v>22</v>
      </c>
      <c r="C6" s="5">
        <v>1233</v>
      </c>
      <c r="D6" s="1">
        <v>2555</v>
      </c>
      <c r="E6" s="1" t="s">
        <v>9</v>
      </c>
      <c r="F6" s="1" t="s">
        <v>9</v>
      </c>
      <c r="G6" s="1" t="s">
        <v>9</v>
      </c>
      <c r="H6" s="1">
        <v>1743</v>
      </c>
      <c r="I6" s="1" t="s">
        <v>9</v>
      </c>
      <c r="J6" s="6">
        <v>337</v>
      </c>
    </row>
    <row r="7" spans="2:10" x14ac:dyDescent="0.3">
      <c r="B7" t="s">
        <v>23</v>
      </c>
      <c r="C7" s="5">
        <v>1387</v>
      </c>
      <c r="D7" s="1" t="s">
        <v>9</v>
      </c>
      <c r="E7" s="1" t="s">
        <v>9</v>
      </c>
      <c r="F7" s="1" t="s">
        <v>9</v>
      </c>
      <c r="G7" s="1">
        <v>1099</v>
      </c>
      <c r="H7" s="1" t="s">
        <v>9</v>
      </c>
      <c r="I7" s="1">
        <v>142</v>
      </c>
      <c r="J7" s="6" t="s">
        <v>9</v>
      </c>
    </row>
    <row r="8" spans="2:10" x14ac:dyDescent="0.3">
      <c r="B8" t="s">
        <v>24</v>
      </c>
      <c r="C8" s="5">
        <v>1120</v>
      </c>
      <c r="D8" s="1" t="s">
        <v>9</v>
      </c>
      <c r="E8" s="1" t="s">
        <v>9</v>
      </c>
      <c r="F8" s="1">
        <v>1099</v>
      </c>
      <c r="G8" s="1" t="s">
        <v>9</v>
      </c>
      <c r="H8" s="1" t="s">
        <v>9</v>
      </c>
      <c r="I8" s="1">
        <v>1205</v>
      </c>
      <c r="J8" s="6" t="s">
        <v>9</v>
      </c>
    </row>
    <row r="9" spans="2:10" x14ac:dyDescent="0.3">
      <c r="B9" t="s">
        <v>25</v>
      </c>
      <c r="C9" s="5">
        <v>802</v>
      </c>
      <c r="D9" s="1" t="s">
        <v>9</v>
      </c>
      <c r="E9" s="1">
        <v>1743</v>
      </c>
      <c r="F9" s="1" t="s">
        <v>9</v>
      </c>
      <c r="G9" s="1" t="s">
        <v>9</v>
      </c>
      <c r="H9" s="1" t="s">
        <v>9</v>
      </c>
      <c r="I9" s="1">
        <v>849</v>
      </c>
      <c r="J9" s="6">
        <v>1843</v>
      </c>
    </row>
    <row r="10" spans="2:10" x14ac:dyDescent="0.3">
      <c r="B10" t="s">
        <v>26</v>
      </c>
      <c r="C10" s="5" t="s">
        <v>9</v>
      </c>
      <c r="D10" s="1" t="s">
        <v>9</v>
      </c>
      <c r="E10" s="1" t="s">
        <v>9</v>
      </c>
      <c r="F10" s="1">
        <v>142</v>
      </c>
      <c r="G10" s="1">
        <v>1205</v>
      </c>
      <c r="H10" s="1">
        <v>849</v>
      </c>
      <c r="I10" s="1" t="s">
        <v>9</v>
      </c>
      <c r="J10" s="6" t="s">
        <v>9</v>
      </c>
    </row>
    <row r="11" spans="2:10" x14ac:dyDescent="0.3">
      <c r="B11" t="s">
        <v>27</v>
      </c>
      <c r="C11" s="7" t="s">
        <v>9</v>
      </c>
      <c r="D11" s="8" t="s">
        <v>9</v>
      </c>
      <c r="E11" s="8">
        <v>337</v>
      </c>
      <c r="F11" s="8" t="s">
        <v>9</v>
      </c>
      <c r="G11" s="8" t="s">
        <v>9</v>
      </c>
      <c r="H11" s="8">
        <v>1843</v>
      </c>
      <c r="I11" s="8" t="s">
        <v>9</v>
      </c>
      <c r="J11" s="9" t="s">
        <v>9</v>
      </c>
    </row>
    <row r="13" spans="2:10" x14ac:dyDescent="0.3">
      <c r="B13" t="s">
        <v>10</v>
      </c>
      <c r="C13" t="s">
        <v>11</v>
      </c>
      <c r="D13" t="s">
        <v>28</v>
      </c>
      <c r="F13" t="s">
        <v>52</v>
      </c>
    </row>
    <row r="14" spans="2:10" x14ac:dyDescent="0.3">
      <c r="B14" t="s">
        <v>20</v>
      </c>
      <c r="C14" t="s">
        <v>22</v>
      </c>
      <c r="D14">
        <f t="shared" ref="D14:D37" si="0">INDEX($C$4:$J$11,MATCH($B14,$B$4:$B$11,0),MATCH($C14,$C$3:$J$3,0))</f>
        <v>1233</v>
      </c>
      <c r="F14" t="str">
        <f>_xlfn.CONCAT("('",B14,"','",C14,"') : ",D14,", ")</f>
        <v xml:space="preserve">('DFW','LAX') : 1233, </v>
      </c>
    </row>
    <row r="15" spans="2:10" x14ac:dyDescent="0.3">
      <c r="B15" t="s">
        <v>20</v>
      </c>
      <c r="C15" t="s">
        <v>23</v>
      </c>
      <c r="D15">
        <f t="shared" si="0"/>
        <v>1387</v>
      </c>
      <c r="F15" t="str">
        <f t="shared" ref="F15:F37" si="1">_xlfn.CONCAT("('",B15,"','",C15,"') : ",D15,", ")</f>
        <v xml:space="preserve">('DFW','LGA') : 1387, </v>
      </c>
    </row>
    <row r="16" spans="2:10" x14ac:dyDescent="0.3">
      <c r="B16" t="s">
        <v>20</v>
      </c>
      <c r="C16" t="s">
        <v>24</v>
      </c>
      <c r="D16">
        <f t="shared" si="0"/>
        <v>1120</v>
      </c>
      <c r="F16" t="str">
        <f t="shared" si="1"/>
        <v xml:space="preserve">('DFW','MIA') : 1120, </v>
      </c>
    </row>
    <row r="17" spans="2:6" x14ac:dyDescent="0.3">
      <c r="B17" t="s">
        <v>20</v>
      </c>
      <c r="C17" t="s">
        <v>25</v>
      </c>
      <c r="D17">
        <f t="shared" si="0"/>
        <v>802</v>
      </c>
      <c r="F17" t="str">
        <f t="shared" si="1"/>
        <v xml:space="preserve">('DFW','ORD') : 802, </v>
      </c>
    </row>
    <row r="18" spans="2:6" x14ac:dyDescent="0.3">
      <c r="B18" t="s">
        <v>21</v>
      </c>
      <c r="C18" t="s">
        <v>22</v>
      </c>
      <c r="D18">
        <f t="shared" si="0"/>
        <v>2555</v>
      </c>
      <c r="F18" t="str">
        <f t="shared" si="1"/>
        <v xml:space="preserve">('HNL','LAX') : 2555, </v>
      </c>
    </row>
    <row r="19" spans="2:6" x14ac:dyDescent="0.3">
      <c r="B19" t="s">
        <v>22</v>
      </c>
      <c r="C19" t="s">
        <v>20</v>
      </c>
      <c r="D19">
        <f t="shared" si="0"/>
        <v>1233</v>
      </c>
      <c r="F19" t="str">
        <f t="shared" si="1"/>
        <v xml:space="preserve">('LAX','DFW') : 1233, </v>
      </c>
    </row>
    <row r="20" spans="2:6" x14ac:dyDescent="0.3">
      <c r="B20" t="s">
        <v>22</v>
      </c>
      <c r="C20" t="s">
        <v>21</v>
      </c>
      <c r="D20">
        <f t="shared" si="0"/>
        <v>2555</v>
      </c>
      <c r="F20" t="str">
        <f t="shared" si="1"/>
        <v xml:space="preserve">('LAX','HNL') : 2555, </v>
      </c>
    </row>
    <row r="21" spans="2:6" x14ac:dyDescent="0.3">
      <c r="B21" t="s">
        <v>22</v>
      </c>
      <c r="C21" t="s">
        <v>25</v>
      </c>
      <c r="D21">
        <f t="shared" si="0"/>
        <v>1743</v>
      </c>
      <c r="F21" t="str">
        <f t="shared" si="1"/>
        <v xml:space="preserve">('LAX','ORD') : 1743, </v>
      </c>
    </row>
    <row r="22" spans="2:6" x14ac:dyDescent="0.3">
      <c r="B22" t="s">
        <v>22</v>
      </c>
      <c r="C22" t="s">
        <v>27</v>
      </c>
      <c r="D22">
        <f t="shared" si="0"/>
        <v>337</v>
      </c>
      <c r="F22" t="str">
        <f t="shared" si="1"/>
        <v xml:space="preserve">('LAX','SFO') : 337, </v>
      </c>
    </row>
    <row r="23" spans="2:6" x14ac:dyDescent="0.3">
      <c r="B23" t="s">
        <v>23</v>
      </c>
      <c r="C23" t="s">
        <v>20</v>
      </c>
      <c r="D23">
        <f t="shared" si="0"/>
        <v>1387</v>
      </c>
      <c r="F23" t="str">
        <f t="shared" si="1"/>
        <v xml:space="preserve">('LGA','DFW') : 1387, </v>
      </c>
    </row>
    <row r="24" spans="2:6" x14ac:dyDescent="0.3">
      <c r="B24" t="s">
        <v>23</v>
      </c>
      <c r="C24" t="s">
        <v>24</v>
      </c>
      <c r="D24">
        <f t="shared" si="0"/>
        <v>1099</v>
      </c>
      <c r="F24" t="str">
        <f t="shared" si="1"/>
        <v xml:space="preserve">('LGA','MIA') : 1099, </v>
      </c>
    </row>
    <row r="25" spans="2:6" x14ac:dyDescent="0.3">
      <c r="B25" t="s">
        <v>23</v>
      </c>
      <c r="C25" t="s">
        <v>26</v>
      </c>
      <c r="D25">
        <f t="shared" si="0"/>
        <v>142</v>
      </c>
      <c r="F25" t="str">
        <f t="shared" si="1"/>
        <v xml:space="preserve">('LGA','PVD') : 142, </v>
      </c>
    </row>
    <row r="26" spans="2:6" x14ac:dyDescent="0.3">
      <c r="B26" t="s">
        <v>24</v>
      </c>
      <c r="C26" t="s">
        <v>20</v>
      </c>
      <c r="D26">
        <f t="shared" si="0"/>
        <v>1120</v>
      </c>
      <c r="F26" t="str">
        <f t="shared" si="1"/>
        <v xml:space="preserve">('MIA','DFW') : 1120, </v>
      </c>
    </row>
    <row r="27" spans="2:6" x14ac:dyDescent="0.3">
      <c r="B27" t="s">
        <v>24</v>
      </c>
      <c r="C27" t="s">
        <v>23</v>
      </c>
      <c r="D27">
        <f t="shared" si="0"/>
        <v>1099</v>
      </c>
      <c r="F27" t="str">
        <f t="shared" si="1"/>
        <v xml:space="preserve">('MIA','LGA') : 1099, </v>
      </c>
    </row>
    <row r="28" spans="2:6" x14ac:dyDescent="0.3">
      <c r="B28" t="s">
        <v>24</v>
      </c>
      <c r="C28" t="s">
        <v>26</v>
      </c>
      <c r="D28">
        <f t="shared" si="0"/>
        <v>1205</v>
      </c>
      <c r="F28" t="str">
        <f t="shared" si="1"/>
        <v xml:space="preserve">('MIA','PVD') : 1205, </v>
      </c>
    </row>
    <row r="29" spans="2:6" x14ac:dyDescent="0.3">
      <c r="B29" t="s">
        <v>25</v>
      </c>
      <c r="C29" t="s">
        <v>20</v>
      </c>
      <c r="D29">
        <f t="shared" si="0"/>
        <v>802</v>
      </c>
      <c r="F29" t="str">
        <f t="shared" si="1"/>
        <v xml:space="preserve">('ORD','DFW') : 802, </v>
      </c>
    </row>
    <row r="30" spans="2:6" x14ac:dyDescent="0.3">
      <c r="B30" t="s">
        <v>25</v>
      </c>
      <c r="C30" t="s">
        <v>22</v>
      </c>
      <c r="D30">
        <f t="shared" si="0"/>
        <v>1743</v>
      </c>
      <c r="F30" t="str">
        <f t="shared" si="1"/>
        <v xml:space="preserve">('ORD','LAX') : 1743, </v>
      </c>
    </row>
    <row r="31" spans="2:6" x14ac:dyDescent="0.3">
      <c r="B31" t="s">
        <v>25</v>
      </c>
      <c r="C31" t="s">
        <v>26</v>
      </c>
      <c r="D31">
        <f t="shared" si="0"/>
        <v>849</v>
      </c>
      <c r="F31" t="str">
        <f t="shared" si="1"/>
        <v xml:space="preserve">('ORD','PVD') : 849, </v>
      </c>
    </row>
    <row r="32" spans="2:6" x14ac:dyDescent="0.3">
      <c r="B32" t="s">
        <v>25</v>
      </c>
      <c r="C32" t="s">
        <v>27</v>
      </c>
      <c r="D32">
        <f t="shared" si="0"/>
        <v>1843</v>
      </c>
      <c r="F32" t="str">
        <f t="shared" si="1"/>
        <v xml:space="preserve">('ORD','SFO') : 1843, </v>
      </c>
    </row>
    <row r="33" spans="2:6" x14ac:dyDescent="0.3">
      <c r="B33" t="s">
        <v>26</v>
      </c>
      <c r="C33" t="s">
        <v>23</v>
      </c>
      <c r="D33">
        <f t="shared" si="0"/>
        <v>142</v>
      </c>
      <c r="F33" t="str">
        <f t="shared" si="1"/>
        <v xml:space="preserve">('PVD','LGA') : 142, </v>
      </c>
    </row>
    <row r="34" spans="2:6" x14ac:dyDescent="0.3">
      <c r="B34" t="s">
        <v>26</v>
      </c>
      <c r="C34" t="s">
        <v>24</v>
      </c>
      <c r="D34">
        <f t="shared" si="0"/>
        <v>1205</v>
      </c>
      <c r="F34" t="str">
        <f t="shared" si="1"/>
        <v xml:space="preserve">('PVD','MIA') : 1205, </v>
      </c>
    </row>
    <row r="35" spans="2:6" x14ac:dyDescent="0.3">
      <c r="B35" t="s">
        <v>26</v>
      </c>
      <c r="C35" t="s">
        <v>25</v>
      </c>
      <c r="D35">
        <f t="shared" si="0"/>
        <v>849</v>
      </c>
      <c r="F35" t="str">
        <f t="shared" si="1"/>
        <v xml:space="preserve">('PVD','ORD') : 849, </v>
      </c>
    </row>
    <row r="36" spans="2:6" x14ac:dyDescent="0.3">
      <c r="B36" t="s">
        <v>27</v>
      </c>
      <c r="C36" t="s">
        <v>22</v>
      </c>
      <c r="D36">
        <f t="shared" si="0"/>
        <v>337</v>
      </c>
      <c r="F36" t="str">
        <f t="shared" si="1"/>
        <v xml:space="preserve">('SFO','LAX') : 337, </v>
      </c>
    </row>
    <row r="37" spans="2:6" x14ac:dyDescent="0.3">
      <c r="B37" t="s">
        <v>27</v>
      </c>
      <c r="C37" t="s">
        <v>25</v>
      </c>
      <c r="D37">
        <f t="shared" si="0"/>
        <v>1843</v>
      </c>
      <c r="F37" t="str">
        <f t="shared" si="1"/>
        <v xml:space="preserve">('SFO','ORD') : 1843, </v>
      </c>
    </row>
    <row r="38" spans="2:6" x14ac:dyDescent="0.3">
      <c r="F38" t="s">
        <v>18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62B3-8E16-4B39-AB12-F13FC40A62FB}">
  <dimension ref="B2:O38"/>
  <sheetViews>
    <sheetView zoomScaleNormal="100" workbookViewId="0"/>
  </sheetViews>
  <sheetFormatPr defaultColWidth="12.5546875" defaultRowHeight="14.4" x14ac:dyDescent="0.3"/>
  <cols>
    <col min="1" max="1" width="6.109375" bestFit="1" customWidth="1"/>
    <col min="2" max="2" width="8.44140625" customWidth="1"/>
    <col min="3" max="10" width="7" customWidth="1"/>
    <col min="254" max="254" width="6.109375" bestFit="1" customWidth="1"/>
    <col min="255" max="255" width="8.44140625" customWidth="1"/>
    <col min="256" max="256" width="9.33203125" bestFit="1" customWidth="1"/>
    <col min="257" max="263" width="6.109375" bestFit="1" customWidth="1"/>
    <col min="264" max="264" width="2.33203125" bestFit="1" customWidth="1"/>
    <col min="265" max="265" width="3.109375" bestFit="1" customWidth="1"/>
    <col min="510" max="510" width="6.109375" bestFit="1" customWidth="1"/>
    <col min="511" max="511" width="8.44140625" customWidth="1"/>
    <col min="512" max="512" width="9.33203125" bestFit="1" customWidth="1"/>
    <col min="513" max="519" width="6.109375" bestFit="1" customWidth="1"/>
    <col min="520" max="520" width="2.33203125" bestFit="1" customWidth="1"/>
    <col min="521" max="521" width="3.109375" bestFit="1" customWidth="1"/>
    <col min="766" max="766" width="6.109375" bestFit="1" customWidth="1"/>
    <col min="767" max="767" width="8.44140625" customWidth="1"/>
    <col min="768" max="768" width="9.33203125" bestFit="1" customWidth="1"/>
    <col min="769" max="775" width="6.109375" bestFit="1" customWidth="1"/>
    <col min="776" max="776" width="2.33203125" bestFit="1" customWidth="1"/>
    <col min="777" max="777" width="3.109375" bestFit="1" customWidth="1"/>
    <col min="1022" max="1022" width="6.109375" bestFit="1" customWidth="1"/>
    <col min="1023" max="1023" width="8.44140625" customWidth="1"/>
    <col min="1024" max="1024" width="9.33203125" bestFit="1" customWidth="1"/>
    <col min="1025" max="1031" width="6.109375" bestFit="1" customWidth="1"/>
    <col min="1032" max="1032" width="2.33203125" bestFit="1" customWidth="1"/>
    <col min="1033" max="1033" width="3.109375" bestFit="1" customWidth="1"/>
    <col min="1278" max="1278" width="6.109375" bestFit="1" customWidth="1"/>
    <col min="1279" max="1279" width="8.44140625" customWidth="1"/>
    <col min="1280" max="1280" width="9.33203125" bestFit="1" customWidth="1"/>
    <col min="1281" max="1287" width="6.109375" bestFit="1" customWidth="1"/>
    <col min="1288" max="1288" width="2.33203125" bestFit="1" customWidth="1"/>
    <col min="1289" max="1289" width="3.109375" bestFit="1" customWidth="1"/>
    <col min="1534" max="1534" width="6.109375" bestFit="1" customWidth="1"/>
    <col min="1535" max="1535" width="8.44140625" customWidth="1"/>
    <col min="1536" max="1536" width="9.33203125" bestFit="1" customWidth="1"/>
    <col min="1537" max="1543" width="6.109375" bestFit="1" customWidth="1"/>
    <col min="1544" max="1544" width="2.33203125" bestFit="1" customWidth="1"/>
    <col min="1545" max="1545" width="3.109375" bestFit="1" customWidth="1"/>
    <col min="1790" max="1790" width="6.109375" bestFit="1" customWidth="1"/>
    <col min="1791" max="1791" width="8.44140625" customWidth="1"/>
    <col min="1792" max="1792" width="9.33203125" bestFit="1" customWidth="1"/>
    <col min="1793" max="1799" width="6.109375" bestFit="1" customWidth="1"/>
    <col min="1800" max="1800" width="2.33203125" bestFit="1" customWidth="1"/>
    <col min="1801" max="1801" width="3.109375" bestFit="1" customWidth="1"/>
    <col min="2046" max="2046" width="6.109375" bestFit="1" customWidth="1"/>
    <col min="2047" max="2047" width="8.44140625" customWidth="1"/>
    <col min="2048" max="2048" width="9.33203125" bestFit="1" customWidth="1"/>
    <col min="2049" max="2055" width="6.109375" bestFit="1" customWidth="1"/>
    <col min="2056" max="2056" width="2.33203125" bestFit="1" customWidth="1"/>
    <col min="2057" max="2057" width="3.109375" bestFit="1" customWidth="1"/>
    <col min="2302" max="2302" width="6.109375" bestFit="1" customWidth="1"/>
    <col min="2303" max="2303" width="8.44140625" customWidth="1"/>
    <col min="2304" max="2304" width="9.33203125" bestFit="1" customWidth="1"/>
    <col min="2305" max="2311" width="6.109375" bestFit="1" customWidth="1"/>
    <col min="2312" max="2312" width="2.33203125" bestFit="1" customWidth="1"/>
    <col min="2313" max="2313" width="3.109375" bestFit="1" customWidth="1"/>
    <col min="2558" max="2558" width="6.109375" bestFit="1" customWidth="1"/>
    <col min="2559" max="2559" width="8.44140625" customWidth="1"/>
    <col min="2560" max="2560" width="9.33203125" bestFit="1" customWidth="1"/>
    <col min="2561" max="2567" width="6.109375" bestFit="1" customWidth="1"/>
    <col min="2568" max="2568" width="2.33203125" bestFit="1" customWidth="1"/>
    <col min="2569" max="2569" width="3.109375" bestFit="1" customWidth="1"/>
    <col min="2814" max="2814" width="6.109375" bestFit="1" customWidth="1"/>
    <col min="2815" max="2815" width="8.44140625" customWidth="1"/>
    <col min="2816" max="2816" width="9.33203125" bestFit="1" customWidth="1"/>
    <col min="2817" max="2823" width="6.109375" bestFit="1" customWidth="1"/>
    <col min="2824" max="2824" width="2.33203125" bestFit="1" customWidth="1"/>
    <col min="2825" max="2825" width="3.109375" bestFit="1" customWidth="1"/>
    <col min="3070" max="3070" width="6.109375" bestFit="1" customWidth="1"/>
    <col min="3071" max="3071" width="8.44140625" customWidth="1"/>
    <col min="3072" max="3072" width="9.33203125" bestFit="1" customWidth="1"/>
    <col min="3073" max="3079" width="6.109375" bestFit="1" customWidth="1"/>
    <col min="3080" max="3080" width="2.33203125" bestFit="1" customWidth="1"/>
    <col min="3081" max="3081" width="3.109375" bestFit="1" customWidth="1"/>
    <col min="3326" max="3326" width="6.109375" bestFit="1" customWidth="1"/>
    <col min="3327" max="3327" width="8.44140625" customWidth="1"/>
    <col min="3328" max="3328" width="9.33203125" bestFit="1" customWidth="1"/>
    <col min="3329" max="3335" width="6.109375" bestFit="1" customWidth="1"/>
    <col min="3336" max="3336" width="2.33203125" bestFit="1" customWidth="1"/>
    <col min="3337" max="3337" width="3.109375" bestFit="1" customWidth="1"/>
    <col min="3582" max="3582" width="6.109375" bestFit="1" customWidth="1"/>
    <col min="3583" max="3583" width="8.44140625" customWidth="1"/>
    <col min="3584" max="3584" width="9.33203125" bestFit="1" customWidth="1"/>
    <col min="3585" max="3591" width="6.109375" bestFit="1" customWidth="1"/>
    <col min="3592" max="3592" width="2.33203125" bestFit="1" customWidth="1"/>
    <col min="3593" max="3593" width="3.109375" bestFit="1" customWidth="1"/>
    <col min="3838" max="3838" width="6.109375" bestFit="1" customWidth="1"/>
    <col min="3839" max="3839" width="8.44140625" customWidth="1"/>
    <col min="3840" max="3840" width="9.33203125" bestFit="1" customWidth="1"/>
    <col min="3841" max="3847" width="6.109375" bestFit="1" customWidth="1"/>
    <col min="3848" max="3848" width="2.33203125" bestFit="1" customWidth="1"/>
    <col min="3849" max="3849" width="3.109375" bestFit="1" customWidth="1"/>
    <col min="4094" max="4094" width="6.109375" bestFit="1" customWidth="1"/>
    <col min="4095" max="4095" width="8.44140625" customWidth="1"/>
    <col min="4096" max="4096" width="9.33203125" bestFit="1" customWidth="1"/>
    <col min="4097" max="4103" width="6.109375" bestFit="1" customWidth="1"/>
    <col min="4104" max="4104" width="2.33203125" bestFit="1" customWidth="1"/>
    <col min="4105" max="4105" width="3.109375" bestFit="1" customWidth="1"/>
    <col min="4350" max="4350" width="6.109375" bestFit="1" customWidth="1"/>
    <col min="4351" max="4351" width="8.44140625" customWidth="1"/>
    <col min="4352" max="4352" width="9.33203125" bestFit="1" customWidth="1"/>
    <col min="4353" max="4359" width="6.109375" bestFit="1" customWidth="1"/>
    <col min="4360" max="4360" width="2.33203125" bestFit="1" customWidth="1"/>
    <col min="4361" max="4361" width="3.109375" bestFit="1" customWidth="1"/>
    <col min="4606" max="4606" width="6.109375" bestFit="1" customWidth="1"/>
    <col min="4607" max="4607" width="8.44140625" customWidth="1"/>
    <col min="4608" max="4608" width="9.33203125" bestFit="1" customWidth="1"/>
    <col min="4609" max="4615" width="6.109375" bestFit="1" customWidth="1"/>
    <col min="4616" max="4616" width="2.33203125" bestFit="1" customWidth="1"/>
    <col min="4617" max="4617" width="3.109375" bestFit="1" customWidth="1"/>
    <col min="4862" max="4862" width="6.109375" bestFit="1" customWidth="1"/>
    <col min="4863" max="4863" width="8.44140625" customWidth="1"/>
    <col min="4864" max="4864" width="9.33203125" bestFit="1" customWidth="1"/>
    <col min="4865" max="4871" width="6.109375" bestFit="1" customWidth="1"/>
    <col min="4872" max="4872" width="2.33203125" bestFit="1" customWidth="1"/>
    <col min="4873" max="4873" width="3.109375" bestFit="1" customWidth="1"/>
    <col min="5118" max="5118" width="6.109375" bestFit="1" customWidth="1"/>
    <col min="5119" max="5119" width="8.44140625" customWidth="1"/>
    <col min="5120" max="5120" width="9.33203125" bestFit="1" customWidth="1"/>
    <col min="5121" max="5127" width="6.109375" bestFit="1" customWidth="1"/>
    <col min="5128" max="5128" width="2.33203125" bestFit="1" customWidth="1"/>
    <col min="5129" max="5129" width="3.109375" bestFit="1" customWidth="1"/>
    <col min="5374" max="5374" width="6.109375" bestFit="1" customWidth="1"/>
    <col min="5375" max="5375" width="8.44140625" customWidth="1"/>
    <col min="5376" max="5376" width="9.33203125" bestFit="1" customWidth="1"/>
    <col min="5377" max="5383" width="6.109375" bestFit="1" customWidth="1"/>
    <col min="5384" max="5384" width="2.33203125" bestFit="1" customWidth="1"/>
    <col min="5385" max="5385" width="3.109375" bestFit="1" customWidth="1"/>
    <col min="5630" max="5630" width="6.109375" bestFit="1" customWidth="1"/>
    <col min="5631" max="5631" width="8.44140625" customWidth="1"/>
    <col min="5632" max="5632" width="9.33203125" bestFit="1" customWidth="1"/>
    <col min="5633" max="5639" width="6.109375" bestFit="1" customWidth="1"/>
    <col min="5640" max="5640" width="2.33203125" bestFit="1" customWidth="1"/>
    <col min="5641" max="5641" width="3.109375" bestFit="1" customWidth="1"/>
    <col min="5886" max="5886" width="6.109375" bestFit="1" customWidth="1"/>
    <col min="5887" max="5887" width="8.44140625" customWidth="1"/>
    <col min="5888" max="5888" width="9.33203125" bestFit="1" customWidth="1"/>
    <col min="5889" max="5895" width="6.109375" bestFit="1" customWidth="1"/>
    <col min="5896" max="5896" width="2.33203125" bestFit="1" customWidth="1"/>
    <col min="5897" max="5897" width="3.109375" bestFit="1" customWidth="1"/>
    <col min="6142" max="6142" width="6.109375" bestFit="1" customWidth="1"/>
    <col min="6143" max="6143" width="8.44140625" customWidth="1"/>
    <col min="6144" max="6144" width="9.33203125" bestFit="1" customWidth="1"/>
    <col min="6145" max="6151" width="6.109375" bestFit="1" customWidth="1"/>
    <col min="6152" max="6152" width="2.33203125" bestFit="1" customWidth="1"/>
    <col min="6153" max="6153" width="3.109375" bestFit="1" customWidth="1"/>
    <col min="6398" max="6398" width="6.109375" bestFit="1" customWidth="1"/>
    <col min="6399" max="6399" width="8.44140625" customWidth="1"/>
    <col min="6400" max="6400" width="9.33203125" bestFit="1" customWidth="1"/>
    <col min="6401" max="6407" width="6.109375" bestFit="1" customWidth="1"/>
    <col min="6408" max="6408" width="2.33203125" bestFit="1" customWidth="1"/>
    <col min="6409" max="6409" width="3.109375" bestFit="1" customWidth="1"/>
    <col min="6654" max="6654" width="6.109375" bestFit="1" customWidth="1"/>
    <col min="6655" max="6655" width="8.44140625" customWidth="1"/>
    <col min="6656" max="6656" width="9.33203125" bestFit="1" customWidth="1"/>
    <col min="6657" max="6663" width="6.109375" bestFit="1" customWidth="1"/>
    <col min="6664" max="6664" width="2.33203125" bestFit="1" customWidth="1"/>
    <col min="6665" max="6665" width="3.109375" bestFit="1" customWidth="1"/>
    <col min="6910" max="6910" width="6.109375" bestFit="1" customWidth="1"/>
    <col min="6911" max="6911" width="8.44140625" customWidth="1"/>
    <col min="6912" max="6912" width="9.33203125" bestFit="1" customWidth="1"/>
    <col min="6913" max="6919" width="6.109375" bestFit="1" customWidth="1"/>
    <col min="6920" max="6920" width="2.33203125" bestFit="1" customWidth="1"/>
    <col min="6921" max="6921" width="3.109375" bestFit="1" customWidth="1"/>
    <col min="7166" max="7166" width="6.109375" bestFit="1" customWidth="1"/>
    <col min="7167" max="7167" width="8.44140625" customWidth="1"/>
    <col min="7168" max="7168" width="9.33203125" bestFit="1" customWidth="1"/>
    <col min="7169" max="7175" width="6.109375" bestFit="1" customWidth="1"/>
    <col min="7176" max="7176" width="2.33203125" bestFit="1" customWidth="1"/>
    <col min="7177" max="7177" width="3.109375" bestFit="1" customWidth="1"/>
    <col min="7422" max="7422" width="6.109375" bestFit="1" customWidth="1"/>
    <col min="7423" max="7423" width="8.44140625" customWidth="1"/>
    <col min="7424" max="7424" width="9.33203125" bestFit="1" customWidth="1"/>
    <col min="7425" max="7431" width="6.109375" bestFit="1" customWidth="1"/>
    <col min="7432" max="7432" width="2.33203125" bestFit="1" customWidth="1"/>
    <col min="7433" max="7433" width="3.109375" bestFit="1" customWidth="1"/>
    <col min="7678" max="7678" width="6.109375" bestFit="1" customWidth="1"/>
    <col min="7679" max="7679" width="8.44140625" customWidth="1"/>
    <col min="7680" max="7680" width="9.33203125" bestFit="1" customWidth="1"/>
    <col min="7681" max="7687" width="6.109375" bestFit="1" customWidth="1"/>
    <col min="7688" max="7688" width="2.33203125" bestFit="1" customWidth="1"/>
    <col min="7689" max="7689" width="3.109375" bestFit="1" customWidth="1"/>
    <col min="7934" max="7934" width="6.109375" bestFit="1" customWidth="1"/>
    <col min="7935" max="7935" width="8.44140625" customWidth="1"/>
    <col min="7936" max="7936" width="9.33203125" bestFit="1" customWidth="1"/>
    <col min="7937" max="7943" width="6.109375" bestFit="1" customWidth="1"/>
    <col min="7944" max="7944" width="2.33203125" bestFit="1" customWidth="1"/>
    <col min="7945" max="7945" width="3.109375" bestFit="1" customWidth="1"/>
    <col min="8190" max="8190" width="6.109375" bestFit="1" customWidth="1"/>
    <col min="8191" max="8191" width="8.44140625" customWidth="1"/>
    <col min="8192" max="8192" width="9.33203125" bestFit="1" customWidth="1"/>
    <col min="8193" max="8199" width="6.109375" bestFit="1" customWidth="1"/>
    <col min="8200" max="8200" width="2.33203125" bestFit="1" customWidth="1"/>
    <col min="8201" max="8201" width="3.109375" bestFit="1" customWidth="1"/>
    <col min="8446" max="8446" width="6.109375" bestFit="1" customWidth="1"/>
    <col min="8447" max="8447" width="8.44140625" customWidth="1"/>
    <col min="8448" max="8448" width="9.33203125" bestFit="1" customWidth="1"/>
    <col min="8449" max="8455" width="6.109375" bestFit="1" customWidth="1"/>
    <col min="8456" max="8456" width="2.33203125" bestFit="1" customWidth="1"/>
    <col min="8457" max="8457" width="3.109375" bestFit="1" customWidth="1"/>
    <col min="8702" max="8702" width="6.109375" bestFit="1" customWidth="1"/>
    <col min="8703" max="8703" width="8.44140625" customWidth="1"/>
    <col min="8704" max="8704" width="9.33203125" bestFit="1" customWidth="1"/>
    <col min="8705" max="8711" width="6.109375" bestFit="1" customWidth="1"/>
    <col min="8712" max="8712" width="2.33203125" bestFit="1" customWidth="1"/>
    <col min="8713" max="8713" width="3.109375" bestFit="1" customWidth="1"/>
    <col min="8958" max="8958" width="6.109375" bestFit="1" customWidth="1"/>
    <col min="8959" max="8959" width="8.44140625" customWidth="1"/>
    <col min="8960" max="8960" width="9.33203125" bestFit="1" customWidth="1"/>
    <col min="8961" max="8967" width="6.109375" bestFit="1" customWidth="1"/>
    <col min="8968" max="8968" width="2.33203125" bestFit="1" customWidth="1"/>
    <col min="8969" max="8969" width="3.109375" bestFit="1" customWidth="1"/>
    <col min="9214" max="9214" width="6.109375" bestFit="1" customWidth="1"/>
    <col min="9215" max="9215" width="8.44140625" customWidth="1"/>
    <col min="9216" max="9216" width="9.33203125" bestFit="1" customWidth="1"/>
    <col min="9217" max="9223" width="6.109375" bestFit="1" customWidth="1"/>
    <col min="9224" max="9224" width="2.33203125" bestFit="1" customWidth="1"/>
    <col min="9225" max="9225" width="3.109375" bestFit="1" customWidth="1"/>
    <col min="9470" max="9470" width="6.109375" bestFit="1" customWidth="1"/>
    <col min="9471" max="9471" width="8.44140625" customWidth="1"/>
    <col min="9472" max="9472" width="9.33203125" bestFit="1" customWidth="1"/>
    <col min="9473" max="9479" width="6.109375" bestFit="1" customWidth="1"/>
    <col min="9480" max="9480" width="2.33203125" bestFit="1" customWidth="1"/>
    <col min="9481" max="9481" width="3.109375" bestFit="1" customWidth="1"/>
    <col min="9726" max="9726" width="6.109375" bestFit="1" customWidth="1"/>
    <col min="9727" max="9727" width="8.44140625" customWidth="1"/>
    <col min="9728" max="9728" width="9.33203125" bestFit="1" customWidth="1"/>
    <col min="9729" max="9735" width="6.109375" bestFit="1" customWidth="1"/>
    <col min="9736" max="9736" width="2.33203125" bestFit="1" customWidth="1"/>
    <col min="9737" max="9737" width="3.109375" bestFit="1" customWidth="1"/>
    <col min="9982" max="9982" width="6.109375" bestFit="1" customWidth="1"/>
    <col min="9983" max="9983" width="8.44140625" customWidth="1"/>
    <col min="9984" max="9984" width="9.33203125" bestFit="1" customWidth="1"/>
    <col min="9985" max="9991" width="6.109375" bestFit="1" customWidth="1"/>
    <col min="9992" max="9992" width="2.33203125" bestFit="1" customWidth="1"/>
    <col min="9993" max="9993" width="3.109375" bestFit="1" customWidth="1"/>
    <col min="10238" max="10238" width="6.109375" bestFit="1" customWidth="1"/>
    <col min="10239" max="10239" width="8.44140625" customWidth="1"/>
    <col min="10240" max="10240" width="9.33203125" bestFit="1" customWidth="1"/>
    <col min="10241" max="10247" width="6.109375" bestFit="1" customWidth="1"/>
    <col min="10248" max="10248" width="2.33203125" bestFit="1" customWidth="1"/>
    <col min="10249" max="10249" width="3.109375" bestFit="1" customWidth="1"/>
    <col min="10494" max="10494" width="6.109375" bestFit="1" customWidth="1"/>
    <col min="10495" max="10495" width="8.44140625" customWidth="1"/>
    <col min="10496" max="10496" width="9.33203125" bestFit="1" customWidth="1"/>
    <col min="10497" max="10503" width="6.109375" bestFit="1" customWidth="1"/>
    <col min="10504" max="10504" width="2.33203125" bestFit="1" customWidth="1"/>
    <col min="10505" max="10505" width="3.109375" bestFit="1" customWidth="1"/>
    <col min="10750" max="10750" width="6.109375" bestFit="1" customWidth="1"/>
    <col min="10751" max="10751" width="8.44140625" customWidth="1"/>
    <col min="10752" max="10752" width="9.33203125" bestFit="1" customWidth="1"/>
    <col min="10753" max="10759" width="6.109375" bestFit="1" customWidth="1"/>
    <col min="10760" max="10760" width="2.33203125" bestFit="1" customWidth="1"/>
    <col min="10761" max="10761" width="3.109375" bestFit="1" customWidth="1"/>
    <col min="11006" max="11006" width="6.109375" bestFit="1" customWidth="1"/>
    <col min="11007" max="11007" width="8.44140625" customWidth="1"/>
    <col min="11008" max="11008" width="9.33203125" bestFit="1" customWidth="1"/>
    <col min="11009" max="11015" width="6.109375" bestFit="1" customWidth="1"/>
    <col min="11016" max="11016" width="2.33203125" bestFit="1" customWidth="1"/>
    <col min="11017" max="11017" width="3.109375" bestFit="1" customWidth="1"/>
    <col min="11262" max="11262" width="6.109375" bestFit="1" customWidth="1"/>
    <col min="11263" max="11263" width="8.44140625" customWidth="1"/>
    <col min="11264" max="11264" width="9.33203125" bestFit="1" customWidth="1"/>
    <col min="11265" max="11271" width="6.109375" bestFit="1" customWidth="1"/>
    <col min="11272" max="11272" width="2.33203125" bestFit="1" customWidth="1"/>
    <col min="11273" max="11273" width="3.109375" bestFit="1" customWidth="1"/>
    <col min="11518" max="11518" width="6.109375" bestFit="1" customWidth="1"/>
    <col min="11519" max="11519" width="8.44140625" customWidth="1"/>
    <col min="11520" max="11520" width="9.33203125" bestFit="1" customWidth="1"/>
    <col min="11521" max="11527" width="6.109375" bestFit="1" customWidth="1"/>
    <col min="11528" max="11528" width="2.33203125" bestFit="1" customWidth="1"/>
    <col min="11529" max="11529" width="3.109375" bestFit="1" customWidth="1"/>
    <col min="11774" max="11774" width="6.109375" bestFit="1" customWidth="1"/>
    <col min="11775" max="11775" width="8.44140625" customWidth="1"/>
    <col min="11776" max="11776" width="9.33203125" bestFit="1" customWidth="1"/>
    <col min="11777" max="11783" width="6.109375" bestFit="1" customWidth="1"/>
    <col min="11784" max="11784" width="2.33203125" bestFit="1" customWidth="1"/>
    <col min="11785" max="11785" width="3.109375" bestFit="1" customWidth="1"/>
    <col min="12030" max="12030" width="6.109375" bestFit="1" customWidth="1"/>
    <col min="12031" max="12031" width="8.44140625" customWidth="1"/>
    <col min="12032" max="12032" width="9.33203125" bestFit="1" customWidth="1"/>
    <col min="12033" max="12039" width="6.109375" bestFit="1" customWidth="1"/>
    <col min="12040" max="12040" width="2.33203125" bestFit="1" customWidth="1"/>
    <col min="12041" max="12041" width="3.109375" bestFit="1" customWidth="1"/>
    <col min="12286" max="12286" width="6.109375" bestFit="1" customWidth="1"/>
    <col min="12287" max="12287" width="8.44140625" customWidth="1"/>
    <col min="12288" max="12288" width="9.33203125" bestFit="1" customWidth="1"/>
    <col min="12289" max="12295" width="6.109375" bestFit="1" customWidth="1"/>
    <col min="12296" max="12296" width="2.33203125" bestFit="1" customWidth="1"/>
    <col min="12297" max="12297" width="3.109375" bestFit="1" customWidth="1"/>
    <col min="12542" max="12542" width="6.109375" bestFit="1" customWidth="1"/>
    <col min="12543" max="12543" width="8.44140625" customWidth="1"/>
    <col min="12544" max="12544" width="9.33203125" bestFit="1" customWidth="1"/>
    <col min="12545" max="12551" width="6.109375" bestFit="1" customWidth="1"/>
    <col min="12552" max="12552" width="2.33203125" bestFit="1" customWidth="1"/>
    <col min="12553" max="12553" width="3.109375" bestFit="1" customWidth="1"/>
    <col min="12798" max="12798" width="6.109375" bestFit="1" customWidth="1"/>
    <col min="12799" max="12799" width="8.44140625" customWidth="1"/>
    <col min="12800" max="12800" width="9.33203125" bestFit="1" customWidth="1"/>
    <col min="12801" max="12807" width="6.109375" bestFit="1" customWidth="1"/>
    <col min="12808" max="12808" width="2.33203125" bestFit="1" customWidth="1"/>
    <col min="12809" max="12809" width="3.109375" bestFit="1" customWidth="1"/>
    <col min="13054" max="13054" width="6.109375" bestFit="1" customWidth="1"/>
    <col min="13055" max="13055" width="8.44140625" customWidth="1"/>
    <col min="13056" max="13056" width="9.33203125" bestFit="1" customWidth="1"/>
    <col min="13057" max="13063" width="6.109375" bestFit="1" customWidth="1"/>
    <col min="13064" max="13064" width="2.33203125" bestFit="1" customWidth="1"/>
    <col min="13065" max="13065" width="3.109375" bestFit="1" customWidth="1"/>
    <col min="13310" max="13310" width="6.109375" bestFit="1" customWidth="1"/>
    <col min="13311" max="13311" width="8.44140625" customWidth="1"/>
    <col min="13312" max="13312" width="9.33203125" bestFit="1" customWidth="1"/>
    <col min="13313" max="13319" width="6.109375" bestFit="1" customWidth="1"/>
    <col min="13320" max="13320" width="2.33203125" bestFit="1" customWidth="1"/>
    <col min="13321" max="13321" width="3.109375" bestFit="1" customWidth="1"/>
    <col min="13566" max="13566" width="6.109375" bestFit="1" customWidth="1"/>
    <col min="13567" max="13567" width="8.44140625" customWidth="1"/>
    <col min="13568" max="13568" width="9.33203125" bestFit="1" customWidth="1"/>
    <col min="13569" max="13575" width="6.109375" bestFit="1" customWidth="1"/>
    <col min="13576" max="13576" width="2.33203125" bestFit="1" customWidth="1"/>
    <col min="13577" max="13577" width="3.109375" bestFit="1" customWidth="1"/>
    <col min="13822" max="13822" width="6.109375" bestFit="1" customWidth="1"/>
    <col min="13823" max="13823" width="8.44140625" customWidth="1"/>
    <col min="13824" max="13824" width="9.33203125" bestFit="1" customWidth="1"/>
    <col min="13825" max="13831" width="6.109375" bestFit="1" customWidth="1"/>
    <col min="13832" max="13832" width="2.33203125" bestFit="1" customWidth="1"/>
    <col min="13833" max="13833" width="3.109375" bestFit="1" customWidth="1"/>
    <col min="14078" max="14078" width="6.109375" bestFit="1" customWidth="1"/>
    <col min="14079" max="14079" width="8.44140625" customWidth="1"/>
    <col min="14080" max="14080" width="9.33203125" bestFit="1" customWidth="1"/>
    <col min="14081" max="14087" width="6.109375" bestFit="1" customWidth="1"/>
    <col min="14088" max="14088" width="2.33203125" bestFit="1" customWidth="1"/>
    <col min="14089" max="14089" width="3.109375" bestFit="1" customWidth="1"/>
    <col min="14334" max="14334" width="6.109375" bestFit="1" customWidth="1"/>
    <col min="14335" max="14335" width="8.44140625" customWidth="1"/>
    <col min="14336" max="14336" width="9.33203125" bestFit="1" customWidth="1"/>
    <col min="14337" max="14343" width="6.109375" bestFit="1" customWidth="1"/>
    <col min="14344" max="14344" width="2.33203125" bestFit="1" customWidth="1"/>
    <col min="14345" max="14345" width="3.109375" bestFit="1" customWidth="1"/>
    <col min="14590" max="14590" width="6.109375" bestFit="1" customWidth="1"/>
    <col min="14591" max="14591" width="8.44140625" customWidth="1"/>
    <col min="14592" max="14592" width="9.33203125" bestFit="1" customWidth="1"/>
    <col min="14593" max="14599" width="6.109375" bestFit="1" customWidth="1"/>
    <col min="14600" max="14600" width="2.33203125" bestFit="1" customWidth="1"/>
    <col min="14601" max="14601" width="3.109375" bestFit="1" customWidth="1"/>
    <col min="14846" max="14846" width="6.109375" bestFit="1" customWidth="1"/>
    <col min="14847" max="14847" width="8.44140625" customWidth="1"/>
    <col min="14848" max="14848" width="9.33203125" bestFit="1" customWidth="1"/>
    <col min="14849" max="14855" width="6.109375" bestFit="1" customWidth="1"/>
    <col min="14856" max="14856" width="2.33203125" bestFit="1" customWidth="1"/>
    <col min="14857" max="14857" width="3.109375" bestFit="1" customWidth="1"/>
    <col min="15102" max="15102" width="6.109375" bestFit="1" customWidth="1"/>
    <col min="15103" max="15103" width="8.44140625" customWidth="1"/>
    <col min="15104" max="15104" width="9.33203125" bestFit="1" customWidth="1"/>
    <col min="15105" max="15111" width="6.109375" bestFit="1" customWidth="1"/>
    <col min="15112" max="15112" width="2.33203125" bestFit="1" customWidth="1"/>
    <col min="15113" max="15113" width="3.109375" bestFit="1" customWidth="1"/>
    <col min="15358" max="15358" width="6.109375" bestFit="1" customWidth="1"/>
    <col min="15359" max="15359" width="8.44140625" customWidth="1"/>
    <col min="15360" max="15360" width="9.33203125" bestFit="1" customWidth="1"/>
    <col min="15361" max="15367" width="6.109375" bestFit="1" customWidth="1"/>
    <col min="15368" max="15368" width="2.33203125" bestFit="1" customWidth="1"/>
    <col min="15369" max="15369" width="3.109375" bestFit="1" customWidth="1"/>
    <col min="15614" max="15614" width="6.109375" bestFit="1" customWidth="1"/>
    <col min="15615" max="15615" width="8.44140625" customWidth="1"/>
    <col min="15616" max="15616" width="9.33203125" bestFit="1" customWidth="1"/>
    <col min="15617" max="15623" width="6.109375" bestFit="1" customWidth="1"/>
    <col min="15624" max="15624" width="2.33203125" bestFit="1" customWidth="1"/>
    <col min="15625" max="15625" width="3.109375" bestFit="1" customWidth="1"/>
    <col min="15870" max="15870" width="6.109375" bestFit="1" customWidth="1"/>
    <col min="15871" max="15871" width="8.44140625" customWidth="1"/>
    <col min="15872" max="15872" width="9.33203125" bestFit="1" customWidth="1"/>
    <col min="15873" max="15879" width="6.109375" bestFit="1" customWidth="1"/>
    <col min="15880" max="15880" width="2.33203125" bestFit="1" customWidth="1"/>
    <col min="15881" max="15881" width="3.109375" bestFit="1" customWidth="1"/>
    <col min="16126" max="16126" width="6.109375" bestFit="1" customWidth="1"/>
    <col min="16127" max="16127" width="8.44140625" customWidth="1"/>
    <col min="16128" max="16128" width="9.33203125" bestFit="1" customWidth="1"/>
    <col min="16129" max="16135" width="6.109375" bestFit="1" customWidth="1"/>
    <col min="16136" max="16136" width="2.33203125" bestFit="1" customWidth="1"/>
    <col min="16137" max="16137" width="3.109375" bestFit="1" customWidth="1"/>
  </cols>
  <sheetData>
    <row r="2" spans="2:15" x14ac:dyDescent="0.3">
      <c r="B2" t="s">
        <v>19</v>
      </c>
    </row>
    <row r="3" spans="2:15" x14ac:dyDescent="0.3">
      <c r="C3" s="1" t="str">
        <f t="array" ref="C3:J3">TRANSPOSE(B4:B11)</f>
        <v>DFW</v>
      </c>
      <c r="D3" s="1" t="str">
        <v>HNL</v>
      </c>
      <c r="E3" s="1" t="str">
        <v>LAX</v>
      </c>
      <c r="F3" s="1" t="str">
        <v>LGA</v>
      </c>
      <c r="G3" s="1" t="str">
        <v>MIA</v>
      </c>
      <c r="H3" s="1" t="str">
        <v>ORD</v>
      </c>
      <c r="I3" s="1" t="str">
        <v>PVD</v>
      </c>
      <c r="J3" s="1" t="str">
        <v>SFO</v>
      </c>
      <c r="L3" t="s">
        <v>30</v>
      </c>
      <c r="N3" t="s">
        <v>42</v>
      </c>
      <c r="O3" t="s">
        <v>43</v>
      </c>
    </row>
    <row r="4" spans="2:15" x14ac:dyDescent="0.3">
      <c r="B4" t="s">
        <v>20</v>
      </c>
      <c r="C4" s="2" t="s">
        <v>9</v>
      </c>
      <c r="D4" s="3" t="s">
        <v>9</v>
      </c>
      <c r="E4" s="3">
        <v>1233</v>
      </c>
      <c r="F4" s="3">
        <v>1387</v>
      </c>
      <c r="G4" s="3">
        <v>1120</v>
      </c>
      <c r="H4" s="3">
        <v>802</v>
      </c>
      <c r="I4" s="3" t="s">
        <v>9</v>
      </c>
      <c r="J4" s="4" t="s">
        <v>9</v>
      </c>
      <c r="L4" t="str">
        <f>_xlfn.CONCAT("'",B4, "', ")</f>
        <v xml:space="preserve">'DFW', </v>
      </c>
      <c r="N4">
        <v>0</v>
      </c>
      <c r="O4" t="str">
        <f>_xlfn.CONCAT("'",B4,"' : ",N4,", ")</f>
        <v xml:space="preserve">'DFW' : 0, </v>
      </c>
    </row>
    <row r="5" spans="2:15" x14ac:dyDescent="0.3">
      <c r="B5" t="s">
        <v>21</v>
      </c>
      <c r="C5" s="5" t="s">
        <v>9</v>
      </c>
      <c r="D5" s="1" t="s">
        <v>9</v>
      </c>
      <c r="E5" s="1">
        <v>2555</v>
      </c>
      <c r="F5" s="1" t="s">
        <v>9</v>
      </c>
      <c r="G5" s="1" t="s">
        <v>9</v>
      </c>
      <c r="H5" s="1" t="s">
        <v>9</v>
      </c>
      <c r="I5" s="1" t="s">
        <v>9</v>
      </c>
      <c r="J5" s="6" t="s">
        <v>9</v>
      </c>
      <c r="L5" t="str">
        <f t="shared" ref="L5:L11" si="0">_xlfn.CONCAT("'",B5, "', ")</f>
        <v xml:space="preserve">'HNL', </v>
      </c>
      <c r="N5">
        <v>1</v>
      </c>
      <c r="O5" t="str">
        <f t="shared" ref="O5:O11" si="1">_xlfn.CONCAT("'",B5,"' : ",N5,", ")</f>
        <v xml:space="preserve">'HNL' : 1, </v>
      </c>
    </row>
    <row r="6" spans="2:15" x14ac:dyDescent="0.3">
      <c r="B6" t="s">
        <v>22</v>
      </c>
      <c r="C6" s="5">
        <v>1233</v>
      </c>
      <c r="D6" s="1">
        <v>2555</v>
      </c>
      <c r="E6" s="1" t="s">
        <v>9</v>
      </c>
      <c r="F6" s="1" t="s">
        <v>9</v>
      </c>
      <c r="G6" s="1" t="s">
        <v>9</v>
      </c>
      <c r="H6" s="1">
        <v>1743</v>
      </c>
      <c r="I6" s="1" t="s">
        <v>9</v>
      </c>
      <c r="J6" s="6">
        <v>337</v>
      </c>
      <c r="L6" t="str">
        <f t="shared" si="0"/>
        <v xml:space="preserve">'LAX', </v>
      </c>
      <c r="N6">
        <v>0</v>
      </c>
      <c r="O6" t="str">
        <f t="shared" si="1"/>
        <v xml:space="preserve">'LAX' : 0, </v>
      </c>
    </row>
    <row r="7" spans="2:15" x14ac:dyDescent="0.3">
      <c r="B7" t="s">
        <v>23</v>
      </c>
      <c r="C7" s="5">
        <v>1387</v>
      </c>
      <c r="D7" s="1" t="s">
        <v>9</v>
      </c>
      <c r="E7" s="1" t="s">
        <v>9</v>
      </c>
      <c r="F7" s="1" t="s">
        <v>9</v>
      </c>
      <c r="G7" s="1">
        <v>1099</v>
      </c>
      <c r="H7" s="1" t="s">
        <v>9</v>
      </c>
      <c r="I7" s="1">
        <v>142</v>
      </c>
      <c r="J7" s="6" t="s">
        <v>9</v>
      </c>
      <c r="L7" t="str">
        <f t="shared" si="0"/>
        <v xml:space="preserve">'LGA', </v>
      </c>
      <c r="N7">
        <v>0</v>
      </c>
      <c r="O7" t="str">
        <f t="shared" si="1"/>
        <v xml:space="preserve">'LGA' : 0, </v>
      </c>
    </row>
    <row r="8" spans="2:15" x14ac:dyDescent="0.3">
      <c r="B8" t="s">
        <v>24</v>
      </c>
      <c r="C8" s="5">
        <v>1120</v>
      </c>
      <c r="D8" s="1" t="s">
        <v>9</v>
      </c>
      <c r="E8" s="1" t="s">
        <v>9</v>
      </c>
      <c r="F8" s="1">
        <v>1099</v>
      </c>
      <c r="G8" s="1" t="s">
        <v>9</v>
      </c>
      <c r="H8" s="1" t="s">
        <v>9</v>
      </c>
      <c r="I8" s="1">
        <v>1205</v>
      </c>
      <c r="J8" s="6" t="s">
        <v>9</v>
      </c>
      <c r="L8" t="str">
        <f t="shared" si="0"/>
        <v xml:space="preserve">'MIA', </v>
      </c>
      <c r="N8">
        <v>0</v>
      </c>
      <c r="O8" t="str">
        <f t="shared" si="1"/>
        <v xml:space="preserve">'MIA' : 0, </v>
      </c>
    </row>
    <row r="9" spans="2:15" x14ac:dyDescent="0.3">
      <c r="B9" t="s">
        <v>25</v>
      </c>
      <c r="C9" s="5">
        <v>802</v>
      </c>
      <c r="D9" s="1" t="s">
        <v>9</v>
      </c>
      <c r="E9" s="1">
        <v>1743</v>
      </c>
      <c r="F9" s="1" t="s">
        <v>9</v>
      </c>
      <c r="G9" s="1" t="s">
        <v>9</v>
      </c>
      <c r="H9" s="1" t="s">
        <v>9</v>
      </c>
      <c r="I9" s="1">
        <v>849</v>
      </c>
      <c r="J9" s="6">
        <v>1843</v>
      </c>
      <c r="L9" t="str">
        <f t="shared" si="0"/>
        <v xml:space="preserve">'ORD', </v>
      </c>
      <c r="N9">
        <v>0</v>
      </c>
      <c r="O9" t="str">
        <f t="shared" si="1"/>
        <v xml:space="preserve">'ORD' : 0, </v>
      </c>
    </row>
    <row r="10" spans="2:15" x14ac:dyDescent="0.3">
      <c r="B10" t="s">
        <v>26</v>
      </c>
      <c r="C10" s="5" t="s">
        <v>9</v>
      </c>
      <c r="D10" s="1" t="s">
        <v>9</v>
      </c>
      <c r="E10" s="1" t="s">
        <v>9</v>
      </c>
      <c r="F10" s="1">
        <v>142</v>
      </c>
      <c r="G10" s="1">
        <v>1205</v>
      </c>
      <c r="H10" s="1">
        <v>849</v>
      </c>
      <c r="I10" s="1" t="s">
        <v>9</v>
      </c>
      <c r="J10" s="6" t="s">
        <v>9</v>
      </c>
      <c r="L10" t="str">
        <f t="shared" si="0"/>
        <v xml:space="preserve">'PVD', </v>
      </c>
      <c r="N10">
        <v>-1</v>
      </c>
      <c r="O10" t="str">
        <f t="shared" si="1"/>
        <v xml:space="preserve">'PVD' : -1, </v>
      </c>
    </row>
    <row r="11" spans="2:15" x14ac:dyDescent="0.3">
      <c r="B11" t="s">
        <v>27</v>
      </c>
      <c r="C11" s="7" t="s">
        <v>9</v>
      </c>
      <c r="D11" s="8" t="s">
        <v>9</v>
      </c>
      <c r="E11" s="8">
        <v>337</v>
      </c>
      <c r="F11" s="8" t="s">
        <v>9</v>
      </c>
      <c r="G11" s="8" t="s">
        <v>9</v>
      </c>
      <c r="H11" s="8">
        <v>1843</v>
      </c>
      <c r="I11" s="8" t="s">
        <v>9</v>
      </c>
      <c r="J11" s="9" t="s">
        <v>9</v>
      </c>
      <c r="L11" t="str">
        <f t="shared" si="0"/>
        <v xml:space="preserve">'SFO', </v>
      </c>
      <c r="N11">
        <v>0</v>
      </c>
      <c r="O11" t="str">
        <f t="shared" si="1"/>
        <v xml:space="preserve">'SFO' : 0, </v>
      </c>
    </row>
    <row r="12" spans="2:15" x14ac:dyDescent="0.3">
      <c r="L12" t="s">
        <v>18</v>
      </c>
      <c r="O12" t="s">
        <v>18</v>
      </c>
    </row>
    <row r="13" spans="2:15" x14ac:dyDescent="0.3">
      <c r="B13" t="s">
        <v>10</v>
      </c>
      <c r="C13" t="s">
        <v>11</v>
      </c>
      <c r="D13" t="s">
        <v>28</v>
      </c>
      <c r="F13" t="s">
        <v>31</v>
      </c>
      <c r="L13" t="str">
        <f>_xlfn.CONCAT(L3:L12)</f>
        <v>Nodes = { 'DFW', 'HNL', 'LAX', 'LGA', 'MIA', 'ORD', 'PVD', 'SFO', }</v>
      </c>
    </row>
    <row r="14" spans="2:15" x14ac:dyDescent="0.3">
      <c r="B14" t="s">
        <v>20</v>
      </c>
      <c r="C14" t="s">
        <v>22</v>
      </c>
      <c r="D14">
        <f t="shared" ref="D14:D37" si="2">INDEX($C$4:$J$11,MATCH($B14,$B$4:$B$11,0),MATCH($C14,$C$3:$J$3,0))</f>
        <v>1233</v>
      </c>
      <c r="F14" t="str">
        <f>_xlfn.CONCAT("('",B14,"','",C14,"') : ",D14,", ")</f>
        <v xml:space="preserve">('DFW','LAX') : 1233, </v>
      </c>
      <c r="L14" t="str">
        <f>_xlfn.CONCAT(F13:F38)</f>
        <v>Distances = { ('DFW','LAX') : 1233, ('DFW','LGA') : 1387, ('DFW','MIA') : 1120, ('DFW','ORD') : 802, ('HNL','LAX') : 2555, ('LAX','DFW') : 1233, ('LAX','HNL') : 2555, ('LAX','ORD') : 1743, ('LAX','SFO') : 337, ('LGA','DFW') : 1387, ('LGA','MIA') : 1099, ('LGA','PVD') : 142, ('MIA','DFW') : 1120, ('MIA','LGA') : 1099, ('MIA','PVD') : 1205, ('ORD','DFW') : 802, ('ORD','LAX') : 1743, ('ORD','PVD') : 849, ('ORD','SFO') : 1843, ('PVD','LGA') : 142, ('PVD','MIA') : 1205, ('PVD','ORD') : 849, ('SFO','LAX') : 337, ('SFO','ORD') : 1843, }</v>
      </c>
    </row>
    <row r="15" spans="2:15" x14ac:dyDescent="0.3">
      <c r="B15" t="s">
        <v>20</v>
      </c>
      <c r="C15" t="s">
        <v>23</v>
      </c>
      <c r="D15">
        <f t="shared" si="2"/>
        <v>1387</v>
      </c>
      <c r="F15" t="str">
        <f t="shared" ref="F15:F37" si="3">_xlfn.CONCAT("('",B15,"','",C15,"') : ",D15,", ")</f>
        <v xml:space="preserve">('DFW','LGA') : 1387, </v>
      </c>
      <c r="L15" t="str">
        <f>_xlfn.CONCAT(O3:O12)</f>
        <v>Supply = {'DFW' : 0, 'HNL' : 1, 'LAX' : 0, 'LGA' : 0, 'MIA' : 0, 'ORD' : 0, 'PVD' : -1, 'SFO' : 0, }</v>
      </c>
    </row>
    <row r="16" spans="2:15" x14ac:dyDescent="0.3">
      <c r="B16" t="s">
        <v>20</v>
      </c>
      <c r="C16" t="s">
        <v>24</v>
      </c>
      <c r="D16">
        <f t="shared" si="2"/>
        <v>1120</v>
      </c>
      <c r="F16" t="str">
        <f t="shared" si="3"/>
        <v xml:space="preserve">('DFW','MIA') : 1120, </v>
      </c>
    </row>
    <row r="17" spans="2:6" x14ac:dyDescent="0.3">
      <c r="B17" t="s">
        <v>20</v>
      </c>
      <c r="C17" t="s">
        <v>25</v>
      </c>
      <c r="D17">
        <f t="shared" si="2"/>
        <v>802</v>
      </c>
      <c r="F17" t="str">
        <f t="shared" si="3"/>
        <v xml:space="preserve">('DFW','ORD') : 802, </v>
      </c>
    </row>
    <row r="18" spans="2:6" x14ac:dyDescent="0.3">
      <c r="B18" t="s">
        <v>21</v>
      </c>
      <c r="C18" t="s">
        <v>22</v>
      </c>
      <c r="D18">
        <f t="shared" si="2"/>
        <v>2555</v>
      </c>
      <c r="F18" t="str">
        <f t="shared" si="3"/>
        <v xml:space="preserve">('HNL','LAX') : 2555, </v>
      </c>
    </row>
    <row r="19" spans="2:6" x14ac:dyDescent="0.3">
      <c r="B19" t="s">
        <v>22</v>
      </c>
      <c r="C19" t="s">
        <v>20</v>
      </c>
      <c r="D19">
        <f t="shared" si="2"/>
        <v>1233</v>
      </c>
      <c r="F19" t="str">
        <f t="shared" si="3"/>
        <v xml:space="preserve">('LAX','DFW') : 1233, </v>
      </c>
    </row>
    <row r="20" spans="2:6" x14ac:dyDescent="0.3">
      <c r="B20" t="s">
        <v>22</v>
      </c>
      <c r="C20" t="s">
        <v>21</v>
      </c>
      <c r="D20">
        <f t="shared" si="2"/>
        <v>2555</v>
      </c>
      <c r="F20" t="str">
        <f t="shared" si="3"/>
        <v xml:space="preserve">('LAX','HNL') : 2555, </v>
      </c>
    </row>
    <row r="21" spans="2:6" x14ac:dyDescent="0.3">
      <c r="B21" t="s">
        <v>22</v>
      </c>
      <c r="C21" t="s">
        <v>25</v>
      </c>
      <c r="D21">
        <f t="shared" si="2"/>
        <v>1743</v>
      </c>
      <c r="F21" t="str">
        <f t="shared" si="3"/>
        <v xml:space="preserve">('LAX','ORD') : 1743, </v>
      </c>
    </row>
    <row r="22" spans="2:6" x14ac:dyDescent="0.3">
      <c r="B22" t="s">
        <v>22</v>
      </c>
      <c r="C22" t="s">
        <v>27</v>
      </c>
      <c r="D22">
        <f t="shared" si="2"/>
        <v>337</v>
      </c>
      <c r="F22" t="str">
        <f t="shared" si="3"/>
        <v xml:space="preserve">('LAX','SFO') : 337, </v>
      </c>
    </row>
    <row r="23" spans="2:6" x14ac:dyDescent="0.3">
      <c r="B23" t="s">
        <v>23</v>
      </c>
      <c r="C23" t="s">
        <v>20</v>
      </c>
      <c r="D23">
        <f t="shared" si="2"/>
        <v>1387</v>
      </c>
      <c r="F23" t="str">
        <f t="shared" si="3"/>
        <v xml:space="preserve">('LGA','DFW') : 1387, </v>
      </c>
    </row>
    <row r="24" spans="2:6" x14ac:dyDescent="0.3">
      <c r="B24" t="s">
        <v>23</v>
      </c>
      <c r="C24" t="s">
        <v>24</v>
      </c>
      <c r="D24">
        <f t="shared" si="2"/>
        <v>1099</v>
      </c>
      <c r="F24" t="str">
        <f t="shared" si="3"/>
        <v xml:space="preserve">('LGA','MIA') : 1099, </v>
      </c>
    </row>
    <row r="25" spans="2:6" x14ac:dyDescent="0.3">
      <c r="B25" t="s">
        <v>23</v>
      </c>
      <c r="C25" t="s">
        <v>26</v>
      </c>
      <c r="D25">
        <f t="shared" si="2"/>
        <v>142</v>
      </c>
      <c r="F25" t="str">
        <f t="shared" si="3"/>
        <v xml:space="preserve">('LGA','PVD') : 142, </v>
      </c>
    </row>
    <row r="26" spans="2:6" x14ac:dyDescent="0.3">
      <c r="B26" t="s">
        <v>24</v>
      </c>
      <c r="C26" t="s">
        <v>20</v>
      </c>
      <c r="D26">
        <f t="shared" si="2"/>
        <v>1120</v>
      </c>
      <c r="F26" t="str">
        <f t="shared" si="3"/>
        <v xml:space="preserve">('MIA','DFW') : 1120, </v>
      </c>
    </row>
    <row r="27" spans="2:6" x14ac:dyDescent="0.3">
      <c r="B27" t="s">
        <v>24</v>
      </c>
      <c r="C27" t="s">
        <v>23</v>
      </c>
      <c r="D27">
        <f t="shared" si="2"/>
        <v>1099</v>
      </c>
      <c r="F27" t="str">
        <f t="shared" si="3"/>
        <v xml:space="preserve">('MIA','LGA') : 1099, </v>
      </c>
    </row>
    <row r="28" spans="2:6" x14ac:dyDescent="0.3">
      <c r="B28" t="s">
        <v>24</v>
      </c>
      <c r="C28" t="s">
        <v>26</v>
      </c>
      <c r="D28">
        <f t="shared" si="2"/>
        <v>1205</v>
      </c>
      <c r="F28" t="str">
        <f t="shared" si="3"/>
        <v xml:space="preserve">('MIA','PVD') : 1205, </v>
      </c>
    </row>
    <row r="29" spans="2:6" x14ac:dyDescent="0.3">
      <c r="B29" t="s">
        <v>25</v>
      </c>
      <c r="C29" t="s">
        <v>20</v>
      </c>
      <c r="D29">
        <f t="shared" si="2"/>
        <v>802</v>
      </c>
      <c r="F29" t="str">
        <f t="shared" si="3"/>
        <v xml:space="preserve">('ORD','DFW') : 802, </v>
      </c>
    </row>
    <row r="30" spans="2:6" x14ac:dyDescent="0.3">
      <c r="B30" t="s">
        <v>25</v>
      </c>
      <c r="C30" t="s">
        <v>22</v>
      </c>
      <c r="D30">
        <f t="shared" si="2"/>
        <v>1743</v>
      </c>
      <c r="F30" t="str">
        <f t="shared" si="3"/>
        <v xml:space="preserve">('ORD','LAX') : 1743, </v>
      </c>
    </row>
    <row r="31" spans="2:6" x14ac:dyDescent="0.3">
      <c r="B31" t="s">
        <v>25</v>
      </c>
      <c r="C31" t="s">
        <v>26</v>
      </c>
      <c r="D31">
        <f t="shared" si="2"/>
        <v>849</v>
      </c>
      <c r="F31" t="str">
        <f t="shared" si="3"/>
        <v xml:space="preserve">('ORD','PVD') : 849, </v>
      </c>
    </row>
    <row r="32" spans="2:6" x14ac:dyDescent="0.3">
      <c r="B32" t="s">
        <v>25</v>
      </c>
      <c r="C32" t="s">
        <v>27</v>
      </c>
      <c r="D32">
        <f t="shared" si="2"/>
        <v>1843</v>
      </c>
      <c r="F32" t="str">
        <f t="shared" si="3"/>
        <v xml:space="preserve">('ORD','SFO') : 1843, </v>
      </c>
    </row>
    <row r="33" spans="2:6" x14ac:dyDescent="0.3">
      <c r="B33" t="s">
        <v>26</v>
      </c>
      <c r="C33" t="s">
        <v>23</v>
      </c>
      <c r="D33">
        <f t="shared" si="2"/>
        <v>142</v>
      </c>
      <c r="F33" t="str">
        <f t="shared" si="3"/>
        <v xml:space="preserve">('PVD','LGA') : 142, </v>
      </c>
    </row>
    <row r="34" spans="2:6" x14ac:dyDescent="0.3">
      <c r="B34" t="s">
        <v>26</v>
      </c>
      <c r="C34" t="s">
        <v>24</v>
      </c>
      <c r="D34">
        <f t="shared" si="2"/>
        <v>1205</v>
      </c>
      <c r="F34" t="str">
        <f t="shared" si="3"/>
        <v xml:space="preserve">('PVD','MIA') : 1205, </v>
      </c>
    </row>
    <row r="35" spans="2:6" x14ac:dyDescent="0.3">
      <c r="B35" t="s">
        <v>26</v>
      </c>
      <c r="C35" t="s">
        <v>25</v>
      </c>
      <c r="D35">
        <f t="shared" si="2"/>
        <v>849</v>
      </c>
      <c r="F35" t="str">
        <f t="shared" si="3"/>
        <v xml:space="preserve">('PVD','ORD') : 849, </v>
      </c>
    </row>
    <row r="36" spans="2:6" x14ac:dyDescent="0.3">
      <c r="B36" t="s">
        <v>27</v>
      </c>
      <c r="C36" t="s">
        <v>22</v>
      </c>
      <c r="D36">
        <f t="shared" si="2"/>
        <v>337</v>
      </c>
      <c r="F36" t="str">
        <f t="shared" si="3"/>
        <v xml:space="preserve">('SFO','LAX') : 337, </v>
      </c>
    </row>
    <row r="37" spans="2:6" x14ac:dyDescent="0.3">
      <c r="B37" t="s">
        <v>27</v>
      </c>
      <c r="C37" t="s">
        <v>25</v>
      </c>
      <c r="D37">
        <f t="shared" si="2"/>
        <v>1843</v>
      </c>
      <c r="F37" t="str">
        <f t="shared" si="3"/>
        <v xml:space="preserve">('SFO','ORD') : 1843, </v>
      </c>
    </row>
    <row r="38" spans="2:6" x14ac:dyDescent="0.3">
      <c r="F38" t="s">
        <v>18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7A4D-582E-49E9-8B84-56AD20DEEC8D}">
  <dimension ref="B1:I23"/>
  <sheetViews>
    <sheetView workbookViewId="0"/>
  </sheetViews>
  <sheetFormatPr defaultRowHeight="14.4" x14ac:dyDescent="0.3"/>
  <cols>
    <col min="2" max="2" width="9.33203125" bestFit="1" customWidth="1"/>
    <col min="3" max="3" width="10.109375" bestFit="1" customWidth="1"/>
  </cols>
  <sheetData>
    <row r="1" spans="2:9" x14ac:dyDescent="0.3">
      <c r="D1" s="1"/>
      <c r="E1" s="1"/>
      <c r="F1" s="1"/>
      <c r="G1" s="1"/>
      <c r="H1" s="1"/>
      <c r="I1" s="1"/>
    </row>
    <row r="2" spans="2:9" x14ac:dyDescent="0.3">
      <c r="B2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</row>
    <row r="3" spans="2:9" x14ac:dyDescent="0.3">
      <c r="C3" t="s">
        <v>33</v>
      </c>
      <c r="D3" s="2">
        <v>0</v>
      </c>
      <c r="E3" s="3">
        <v>800</v>
      </c>
      <c r="F3" s="3">
        <v>700</v>
      </c>
      <c r="G3" s="3">
        <v>650</v>
      </c>
      <c r="H3" s="3">
        <v>0</v>
      </c>
      <c r="I3" s="4">
        <v>0</v>
      </c>
    </row>
    <row r="4" spans="2:9" x14ac:dyDescent="0.3">
      <c r="C4" t="s">
        <v>34</v>
      </c>
      <c r="D4" s="5">
        <v>0</v>
      </c>
      <c r="E4" s="1">
        <v>0</v>
      </c>
      <c r="F4" s="1">
        <v>725</v>
      </c>
      <c r="G4" s="1">
        <v>0</v>
      </c>
      <c r="H4" s="1">
        <v>700</v>
      </c>
      <c r="I4" s="6">
        <v>0</v>
      </c>
    </row>
    <row r="5" spans="2:9" x14ac:dyDescent="0.3">
      <c r="C5" t="s">
        <v>35</v>
      </c>
      <c r="D5" s="5">
        <v>0</v>
      </c>
      <c r="E5" s="1">
        <v>0</v>
      </c>
      <c r="F5" s="1">
        <v>0</v>
      </c>
      <c r="G5" s="1">
        <v>0</v>
      </c>
      <c r="H5" s="1">
        <v>0</v>
      </c>
      <c r="I5" s="6">
        <v>725</v>
      </c>
    </row>
    <row r="6" spans="2:9" x14ac:dyDescent="0.3">
      <c r="C6" t="s">
        <v>36</v>
      </c>
      <c r="D6" s="5">
        <v>0</v>
      </c>
      <c r="E6" s="1">
        <v>0</v>
      </c>
      <c r="F6" s="1">
        <v>625</v>
      </c>
      <c r="G6" s="1">
        <v>0</v>
      </c>
      <c r="H6" s="1">
        <v>750</v>
      </c>
      <c r="I6" s="6">
        <v>500</v>
      </c>
    </row>
    <row r="7" spans="2:9" x14ac:dyDescent="0.3">
      <c r="C7" t="s">
        <v>37</v>
      </c>
      <c r="D7" s="5">
        <v>0</v>
      </c>
      <c r="E7" s="1">
        <v>0</v>
      </c>
      <c r="F7" s="1">
        <v>0</v>
      </c>
      <c r="G7" s="1">
        <v>0</v>
      </c>
      <c r="H7" s="1">
        <v>0</v>
      </c>
      <c r="I7" s="6">
        <v>900</v>
      </c>
    </row>
    <row r="8" spans="2:9" x14ac:dyDescent="0.3">
      <c r="C8" t="s">
        <v>38</v>
      </c>
      <c r="D8" s="7">
        <v>1000000</v>
      </c>
      <c r="E8" s="8">
        <v>0</v>
      </c>
      <c r="F8" s="8">
        <v>0</v>
      </c>
      <c r="G8" s="8">
        <v>0</v>
      </c>
      <c r="H8" s="8">
        <v>0</v>
      </c>
      <c r="I8" s="9">
        <v>0</v>
      </c>
    </row>
    <row r="9" spans="2:9" x14ac:dyDescent="0.3">
      <c r="D9" s="1"/>
      <c r="E9" s="1"/>
      <c r="F9" s="1"/>
      <c r="G9" s="1"/>
      <c r="H9" s="1"/>
      <c r="I9" s="1"/>
    </row>
    <row r="10" spans="2:9" x14ac:dyDescent="0.3">
      <c r="D10" s="1"/>
      <c r="E10" s="1"/>
      <c r="F10" s="1"/>
      <c r="G10" s="1"/>
      <c r="H10" s="1"/>
      <c r="I10" s="1"/>
    </row>
    <row r="11" spans="2:9" x14ac:dyDescent="0.3">
      <c r="D11" s="1"/>
      <c r="E11" s="1"/>
      <c r="F11" s="1"/>
      <c r="G11" s="1"/>
      <c r="H11" s="1"/>
      <c r="I11" s="1"/>
    </row>
    <row r="12" spans="2:9" x14ac:dyDescent="0.3">
      <c r="D12" s="1" t="s">
        <v>39</v>
      </c>
      <c r="E12" s="1" t="s">
        <v>1</v>
      </c>
      <c r="F12" s="1" t="s">
        <v>40</v>
      </c>
      <c r="G12" s="1"/>
      <c r="H12" s="1"/>
      <c r="I12" s="1"/>
    </row>
    <row r="13" spans="2:9" x14ac:dyDescent="0.3">
      <c r="D13" s="1" t="s">
        <v>33</v>
      </c>
      <c r="E13" s="1" t="s">
        <v>34</v>
      </c>
      <c r="F13" s="1">
        <v>800</v>
      </c>
      <c r="G13" s="1"/>
      <c r="H13" s="1"/>
      <c r="I13" s="1"/>
    </row>
    <row r="14" spans="2:9" x14ac:dyDescent="0.3">
      <c r="D14" s="1" t="s">
        <v>33</v>
      </c>
      <c r="E14" s="1" t="s">
        <v>35</v>
      </c>
      <c r="F14" s="1">
        <v>700</v>
      </c>
      <c r="G14" s="1"/>
      <c r="H14" s="1"/>
      <c r="I14" s="1"/>
    </row>
    <row r="15" spans="2:9" x14ac:dyDescent="0.3">
      <c r="D15" s="1" t="s">
        <v>33</v>
      </c>
      <c r="E15" s="1" t="s">
        <v>36</v>
      </c>
      <c r="F15" s="1">
        <v>650</v>
      </c>
      <c r="G15" s="1"/>
      <c r="H15" s="1"/>
      <c r="I15" s="1"/>
    </row>
    <row r="16" spans="2:9" x14ac:dyDescent="0.3">
      <c r="D16" s="1" t="s">
        <v>34</v>
      </c>
      <c r="E16" s="1" t="s">
        <v>35</v>
      </c>
      <c r="F16" s="1">
        <v>725</v>
      </c>
      <c r="G16" s="1"/>
      <c r="H16" s="1"/>
      <c r="I16" s="1"/>
    </row>
    <row r="17" spans="4:9" x14ac:dyDescent="0.3">
      <c r="D17" s="1" t="s">
        <v>34</v>
      </c>
      <c r="E17" s="1" t="s">
        <v>37</v>
      </c>
      <c r="F17" s="1">
        <v>700</v>
      </c>
      <c r="G17" s="1"/>
      <c r="H17" s="1"/>
      <c r="I17" s="1"/>
    </row>
    <row r="18" spans="4:9" x14ac:dyDescent="0.3">
      <c r="D18" s="1" t="s">
        <v>36</v>
      </c>
      <c r="E18" s="1" t="s">
        <v>35</v>
      </c>
      <c r="F18" s="1">
        <v>625</v>
      </c>
      <c r="G18" s="1"/>
      <c r="H18" s="1"/>
      <c r="I18" s="1"/>
    </row>
    <row r="19" spans="4:9" x14ac:dyDescent="0.3">
      <c r="D19" s="1" t="s">
        <v>36</v>
      </c>
      <c r="E19" s="1" t="s">
        <v>37</v>
      </c>
      <c r="F19" s="1">
        <v>750</v>
      </c>
      <c r="G19" s="1"/>
      <c r="H19" s="1"/>
      <c r="I19" s="1"/>
    </row>
    <row r="20" spans="4:9" x14ac:dyDescent="0.3">
      <c r="D20" s="1" t="s">
        <v>36</v>
      </c>
      <c r="E20" s="1" t="s">
        <v>38</v>
      </c>
      <c r="F20" s="1">
        <v>500</v>
      </c>
      <c r="G20" s="1"/>
      <c r="H20" s="1"/>
      <c r="I20" s="1"/>
    </row>
    <row r="21" spans="4:9" x14ac:dyDescent="0.3">
      <c r="D21" s="1" t="s">
        <v>37</v>
      </c>
      <c r="E21" s="1" t="s">
        <v>38</v>
      </c>
      <c r="F21" s="1">
        <v>900</v>
      </c>
      <c r="G21" s="1"/>
      <c r="H21" s="1"/>
      <c r="I21" s="1"/>
    </row>
    <row r="22" spans="4:9" x14ac:dyDescent="0.3">
      <c r="D22" s="1" t="s">
        <v>35</v>
      </c>
      <c r="E22" s="1" t="s">
        <v>38</v>
      </c>
      <c r="F22" s="1">
        <v>725</v>
      </c>
      <c r="G22" s="1"/>
      <c r="H22" s="1"/>
      <c r="I22" s="1"/>
    </row>
    <row r="23" spans="4:9" x14ac:dyDescent="0.3">
      <c r="D23" s="1" t="s">
        <v>38</v>
      </c>
      <c r="E23" s="1" t="s">
        <v>33</v>
      </c>
      <c r="F23" s="1">
        <v>10000000</v>
      </c>
      <c r="G23" s="1"/>
      <c r="H23" s="1"/>
      <c r="I2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C0D6-32BF-4D95-B3DF-4A8ED86FF2D6}">
  <dimension ref="B1:N24"/>
  <sheetViews>
    <sheetView workbookViewId="0"/>
  </sheetViews>
  <sheetFormatPr defaultRowHeight="14.4" x14ac:dyDescent="0.3"/>
  <cols>
    <col min="2" max="2" width="9.33203125" bestFit="1" customWidth="1"/>
    <col min="3" max="3" width="10.109375" bestFit="1" customWidth="1"/>
  </cols>
  <sheetData>
    <row r="1" spans="2:14" x14ac:dyDescent="0.3">
      <c r="D1" s="1"/>
      <c r="E1" s="1"/>
      <c r="F1" s="1"/>
      <c r="G1" s="1"/>
      <c r="H1" s="1"/>
      <c r="I1" s="1"/>
    </row>
    <row r="2" spans="2:14" x14ac:dyDescent="0.3">
      <c r="B2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L2" s="1" t="s">
        <v>29</v>
      </c>
      <c r="N2" t="s">
        <v>43</v>
      </c>
    </row>
    <row r="3" spans="2:14" x14ac:dyDescent="0.3">
      <c r="C3" t="s">
        <v>33</v>
      </c>
      <c r="D3" s="2">
        <v>0</v>
      </c>
      <c r="E3" s="3">
        <v>800</v>
      </c>
      <c r="F3" s="3">
        <v>700</v>
      </c>
      <c r="G3" s="3">
        <v>650</v>
      </c>
      <c r="H3" s="3">
        <v>0</v>
      </c>
      <c r="I3" s="4">
        <v>0</v>
      </c>
      <c r="L3" t="str">
        <f>_xlfn.CONCAT("'",C3,"', ")</f>
        <v xml:space="preserve">'Wash, DC', </v>
      </c>
      <c r="N3" t="str">
        <f>_xlfn.CONCAT("'",C3,"' : 0, ")</f>
        <v xml:space="preserve">'Wash, DC' : 0, </v>
      </c>
    </row>
    <row r="4" spans="2:14" x14ac:dyDescent="0.3">
      <c r="C4" t="s">
        <v>34</v>
      </c>
      <c r="D4" s="5">
        <v>0</v>
      </c>
      <c r="E4" s="1">
        <v>0</v>
      </c>
      <c r="F4" s="1">
        <v>725</v>
      </c>
      <c r="G4" s="1">
        <v>0</v>
      </c>
      <c r="H4" s="1">
        <v>700</v>
      </c>
      <c r="I4" s="6">
        <v>0</v>
      </c>
      <c r="L4" t="str">
        <f t="shared" ref="L4:L8" si="0">_xlfn.CONCAT("'",C4,"', ")</f>
        <v xml:space="preserve">'Chicago', </v>
      </c>
      <c r="N4" t="str">
        <f t="shared" ref="N4:N8" si="1">_xlfn.CONCAT("'",C4,"' : 0, ")</f>
        <v xml:space="preserve">'Chicago' : 0, </v>
      </c>
    </row>
    <row r="5" spans="2:14" x14ac:dyDescent="0.3">
      <c r="C5" t="s">
        <v>35</v>
      </c>
      <c r="D5" s="5">
        <v>0</v>
      </c>
      <c r="E5" s="1">
        <v>0</v>
      </c>
      <c r="F5" s="1">
        <v>0</v>
      </c>
      <c r="G5" s="1">
        <v>0</v>
      </c>
      <c r="H5" s="1">
        <v>0</v>
      </c>
      <c r="I5" s="6">
        <v>725</v>
      </c>
      <c r="L5" t="str">
        <f t="shared" si="0"/>
        <v xml:space="preserve">'Dallas', </v>
      </c>
      <c r="N5" t="str">
        <f t="shared" si="1"/>
        <v xml:space="preserve">'Dallas' : 0, </v>
      </c>
    </row>
    <row r="6" spans="2:14" x14ac:dyDescent="0.3">
      <c r="C6" t="s">
        <v>36</v>
      </c>
      <c r="D6" s="5">
        <v>0</v>
      </c>
      <c r="E6" s="1">
        <v>0</v>
      </c>
      <c r="F6" s="1">
        <v>625</v>
      </c>
      <c r="G6" s="1">
        <v>0</v>
      </c>
      <c r="H6" s="1">
        <v>750</v>
      </c>
      <c r="I6" s="6">
        <v>500</v>
      </c>
      <c r="L6" t="str">
        <f t="shared" si="0"/>
        <v xml:space="preserve">'Kansas City', </v>
      </c>
      <c r="N6" t="str">
        <f t="shared" si="1"/>
        <v xml:space="preserve">'Kansas City' : 0, </v>
      </c>
    </row>
    <row r="7" spans="2:14" x14ac:dyDescent="0.3">
      <c r="C7" t="s">
        <v>37</v>
      </c>
      <c r="D7" s="5">
        <v>0</v>
      </c>
      <c r="E7" s="1">
        <v>0</v>
      </c>
      <c r="F7" s="1">
        <v>0</v>
      </c>
      <c r="G7" s="1">
        <v>0</v>
      </c>
      <c r="H7" s="1">
        <v>0</v>
      </c>
      <c r="I7" s="6">
        <v>900</v>
      </c>
      <c r="L7" t="str">
        <f t="shared" si="0"/>
        <v xml:space="preserve">'Denver', </v>
      </c>
      <c r="N7" t="str">
        <f t="shared" si="1"/>
        <v xml:space="preserve">'Denver' : 0, </v>
      </c>
    </row>
    <row r="8" spans="2:14" x14ac:dyDescent="0.3">
      <c r="C8" t="s">
        <v>38</v>
      </c>
      <c r="D8" s="7">
        <v>1000000</v>
      </c>
      <c r="E8" s="8">
        <v>0</v>
      </c>
      <c r="F8" s="8">
        <v>0</v>
      </c>
      <c r="G8" s="8">
        <v>0</v>
      </c>
      <c r="H8" s="8">
        <v>0</v>
      </c>
      <c r="I8" s="9">
        <v>0</v>
      </c>
      <c r="L8" t="str">
        <f t="shared" si="0"/>
        <v xml:space="preserve">'San Fran.', </v>
      </c>
      <c r="N8" t="str">
        <f t="shared" si="1"/>
        <v xml:space="preserve">'San Fran.' : 0, </v>
      </c>
    </row>
    <row r="9" spans="2:14" x14ac:dyDescent="0.3">
      <c r="D9" s="1"/>
      <c r="E9" s="1"/>
      <c r="F9" s="1"/>
      <c r="G9" s="1"/>
      <c r="H9" s="1"/>
      <c r="I9" s="1"/>
      <c r="L9" t="s">
        <v>18</v>
      </c>
      <c r="N9" t="s">
        <v>18</v>
      </c>
    </row>
    <row r="10" spans="2:14" x14ac:dyDescent="0.3">
      <c r="D10" s="1"/>
      <c r="E10" s="1"/>
      <c r="F10" s="1"/>
      <c r="G10" s="1"/>
      <c r="H10" s="1"/>
      <c r="I10" s="1"/>
      <c r="L10" t="str">
        <f>_xlfn.CONCAT(L2:L9)</f>
        <v>Nodes = {'Wash, DC', 'Chicago', 'Dallas', 'Kansas City', 'Denver', 'San Fran.', }</v>
      </c>
    </row>
    <row r="11" spans="2:14" x14ac:dyDescent="0.3">
      <c r="D11" s="1"/>
      <c r="E11" s="1"/>
      <c r="F11" s="1"/>
      <c r="G11" s="1"/>
      <c r="H11" s="1"/>
      <c r="I11" s="1"/>
      <c r="L11" t="str">
        <f>_xlfn.CONCAT(N2:N9)</f>
        <v>Supply = {'Wash, DC' : 0, 'Chicago' : 0, 'Dallas' : 0, 'Kansas City' : 0, 'Denver' : 0, 'San Fran.' : 0, }</v>
      </c>
    </row>
    <row r="12" spans="2:14" x14ac:dyDescent="0.3">
      <c r="D12" s="1" t="s">
        <v>39</v>
      </c>
      <c r="E12" s="1" t="s">
        <v>1</v>
      </c>
      <c r="F12" s="1" t="s">
        <v>40</v>
      </c>
      <c r="G12" s="1"/>
      <c r="H12" s="10" t="s">
        <v>41</v>
      </c>
      <c r="I12" s="1"/>
      <c r="L12" s="10" t="str">
        <f>_xlfn.CONCAT(H12:H24)</f>
        <v>Capacity = { ('Wash, DC','Chicago') : 800, ('Wash, DC','Dallas') : 700, ('Wash, DC','Kansas City') : 650, ('Chicago','Dallas') : 725, ('Chicago','Denver') : 700, ('Kansas City','Dallas') : 625, ('Kansas City','Denver') : 750, ('Kansas City','San Fran.') : 500, ('Denver','San Fran.') : 900, ('Dallas','San Fran.') : 725, ('San Fran.','Wash, DC') : 10000000, }</v>
      </c>
    </row>
    <row r="13" spans="2:14" x14ac:dyDescent="0.3">
      <c r="D13" s="1" t="s">
        <v>33</v>
      </c>
      <c r="E13" s="1" t="s">
        <v>34</v>
      </c>
      <c r="F13" s="1">
        <v>800</v>
      </c>
      <c r="G13" s="1"/>
      <c r="H13" s="10" t="str">
        <f>_xlfn.CONCAT("('",D13,"','",E13,"') : ",F13,", ")</f>
        <v xml:space="preserve">('Wash, DC','Chicago') : 800, </v>
      </c>
      <c r="I13" s="1"/>
    </row>
    <row r="14" spans="2:14" x14ac:dyDescent="0.3">
      <c r="D14" s="1" t="s">
        <v>33</v>
      </c>
      <c r="E14" s="1" t="s">
        <v>35</v>
      </c>
      <c r="F14" s="1">
        <v>700</v>
      </c>
      <c r="G14" s="1"/>
      <c r="H14" s="10" t="str">
        <f t="shared" ref="H14:H23" si="2">_xlfn.CONCAT("('",D14,"','",E14,"') : ",F14,", ")</f>
        <v xml:space="preserve">('Wash, DC','Dallas') : 700, </v>
      </c>
      <c r="I14" s="1"/>
    </row>
    <row r="15" spans="2:14" x14ac:dyDescent="0.3">
      <c r="D15" s="1" t="s">
        <v>33</v>
      </c>
      <c r="E15" s="1" t="s">
        <v>36</v>
      </c>
      <c r="F15" s="1">
        <v>650</v>
      </c>
      <c r="G15" s="1"/>
      <c r="H15" s="10" t="str">
        <f t="shared" si="2"/>
        <v xml:space="preserve">('Wash, DC','Kansas City') : 650, </v>
      </c>
      <c r="I15" s="1"/>
    </row>
    <row r="16" spans="2:14" x14ac:dyDescent="0.3">
      <c r="D16" s="1" t="s">
        <v>34</v>
      </c>
      <c r="E16" s="1" t="s">
        <v>35</v>
      </c>
      <c r="F16" s="1">
        <v>725</v>
      </c>
      <c r="G16" s="1"/>
      <c r="H16" s="10" t="str">
        <f t="shared" si="2"/>
        <v xml:space="preserve">('Chicago','Dallas') : 725, </v>
      </c>
      <c r="I16" s="1"/>
    </row>
    <row r="17" spans="4:9" x14ac:dyDescent="0.3">
      <c r="D17" s="1" t="s">
        <v>34</v>
      </c>
      <c r="E17" s="1" t="s">
        <v>37</v>
      </c>
      <c r="F17" s="1">
        <v>700</v>
      </c>
      <c r="G17" s="1"/>
      <c r="H17" s="10" t="str">
        <f t="shared" si="2"/>
        <v xml:space="preserve">('Chicago','Denver') : 700, </v>
      </c>
      <c r="I17" s="1"/>
    </row>
    <row r="18" spans="4:9" x14ac:dyDescent="0.3">
      <c r="D18" s="1" t="s">
        <v>36</v>
      </c>
      <c r="E18" s="1" t="s">
        <v>35</v>
      </c>
      <c r="F18" s="1">
        <v>625</v>
      </c>
      <c r="G18" s="1"/>
      <c r="H18" s="10" t="str">
        <f t="shared" si="2"/>
        <v xml:space="preserve">('Kansas City','Dallas') : 625, </v>
      </c>
      <c r="I18" s="1"/>
    </row>
    <row r="19" spans="4:9" x14ac:dyDescent="0.3">
      <c r="D19" s="1" t="s">
        <v>36</v>
      </c>
      <c r="E19" s="1" t="s">
        <v>37</v>
      </c>
      <c r="F19" s="1">
        <v>750</v>
      </c>
      <c r="G19" s="1"/>
      <c r="H19" s="10" t="str">
        <f t="shared" si="2"/>
        <v xml:space="preserve">('Kansas City','Denver') : 750, </v>
      </c>
      <c r="I19" s="1"/>
    </row>
    <row r="20" spans="4:9" x14ac:dyDescent="0.3">
      <c r="D20" s="1" t="s">
        <v>36</v>
      </c>
      <c r="E20" s="1" t="s">
        <v>38</v>
      </c>
      <c r="F20" s="1">
        <v>500</v>
      </c>
      <c r="G20" s="1"/>
      <c r="H20" s="10" t="str">
        <f t="shared" si="2"/>
        <v xml:space="preserve">('Kansas City','San Fran.') : 500, </v>
      </c>
      <c r="I20" s="1"/>
    </row>
    <row r="21" spans="4:9" x14ac:dyDescent="0.3">
      <c r="D21" s="1" t="s">
        <v>37</v>
      </c>
      <c r="E21" s="1" t="s">
        <v>38</v>
      </c>
      <c r="F21" s="1">
        <v>900</v>
      </c>
      <c r="G21" s="1"/>
      <c r="H21" s="10" t="str">
        <f t="shared" si="2"/>
        <v xml:space="preserve">('Denver','San Fran.') : 900, </v>
      </c>
      <c r="I21" s="1"/>
    </row>
    <row r="22" spans="4:9" x14ac:dyDescent="0.3">
      <c r="D22" s="1" t="s">
        <v>35</v>
      </c>
      <c r="E22" s="1" t="s">
        <v>38</v>
      </c>
      <c r="F22" s="1">
        <v>725</v>
      </c>
      <c r="G22" s="1"/>
      <c r="H22" s="10" t="str">
        <f t="shared" si="2"/>
        <v xml:space="preserve">('Dallas','San Fran.') : 725, </v>
      </c>
      <c r="I22" s="1"/>
    </row>
    <row r="23" spans="4:9" x14ac:dyDescent="0.3">
      <c r="D23" s="1" t="s">
        <v>38</v>
      </c>
      <c r="E23" s="1" t="s">
        <v>33</v>
      </c>
      <c r="F23" s="1">
        <v>10000000</v>
      </c>
      <c r="G23" s="1"/>
      <c r="H23" s="10" t="str">
        <f t="shared" si="2"/>
        <v xml:space="preserve">('San Fran.','Wash, DC') : 10000000, </v>
      </c>
      <c r="I23" s="1"/>
    </row>
    <row r="24" spans="4:9" x14ac:dyDescent="0.3">
      <c r="H24" s="10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0B43-DDDA-4520-B4EC-71EDB428D1CB}">
  <dimension ref="B2:J26"/>
  <sheetViews>
    <sheetView workbookViewId="0"/>
  </sheetViews>
  <sheetFormatPr defaultRowHeight="14.4" x14ac:dyDescent="0.3"/>
  <cols>
    <col min="7" max="7" width="10.44140625" bestFit="1" customWidth="1"/>
  </cols>
  <sheetData>
    <row r="2" spans="2:10" x14ac:dyDescent="0.3">
      <c r="B2" t="s">
        <v>4</v>
      </c>
      <c r="C2" t="s">
        <v>1</v>
      </c>
      <c r="D2" t="s">
        <v>40</v>
      </c>
      <c r="E2" t="s">
        <v>14</v>
      </c>
      <c r="G2" t="s">
        <v>44</v>
      </c>
      <c r="H2" t="s">
        <v>45</v>
      </c>
      <c r="I2" t="s">
        <v>46</v>
      </c>
      <c r="J2" t="s">
        <v>47</v>
      </c>
    </row>
    <row r="3" spans="2:10" x14ac:dyDescent="0.3">
      <c r="B3">
        <v>1</v>
      </c>
      <c r="C3">
        <v>3</v>
      </c>
      <c r="D3">
        <v>300</v>
      </c>
      <c r="E3">
        <v>20</v>
      </c>
      <c r="G3" t="s">
        <v>48</v>
      </c>
      <c r="H3">
        <v>1</v>
      </c>
      <c r="I3">
        <v>7</v>
      </c>
      <c r="J3">
        <v>200</v>
      </c>
    </row>
    <row r="4" spans="2:10" x14ac:dyDescent="0.3">
      <c r="B4">
        <v>1</v>
      </c>
      <c r="C4">
        <v>4</v>
      </c>
      <c r="D4">
        <v>300</v>
      </c>
      <c r="E4">
        <v>35</v>
      </c>
      <c r="G4" t="s">
        <v>49</v>
      </c>
      <c r="H4">
        <v>1</v>
      </c>
      <c r="I4">
        <v>6</v>
      </c>
      <c r="J4">
        <v>300</v>
      </c>
    </row>
    <row r="5" spans="2:10" x14ac:dyDescent="0.3">
      <c r="B5">
        <v>2</v>
      </c>
      <c r="C5">
        <v>3</v>
      </c>
      <c r="D5">
        <v>300</v>
      </c>
      <c r="E5">
        <v>45</v>
      </c>
      <c r="G5" t="s">
        <v>50</v>
      </c>
      <c r="H5">
        <v>2</v>
      </c>
      <c r="I5">
        <v>7</v>
      </c>
      <c r="J5">
        <v>150</v>
      </c>
    </row>
    <row r="6" spans="2:10" x14ac:dyDescent="0.3">
      <c r="B6">
        <v>2</v>
      </c>
      <c r="C6">
        <v>4</v>
      </c>
      <c r="D6">
        <v>300</v>
      </c>
      <c r="E6">
        <v>30</v>
      </c>
      <c r="G6" t="s">
        <v>51</v>
      </c>
      <c r="H6">
        <v>2</v>
      </c>
      <c r="I6">
        <v>8</v>
      </c>
      <c r="J6">
        <v>240</v>
      </c>
    </row>
    <row r="7" spans="2:10" x14ac:dyDescent="0.3">
      <c r="B7">
        <v>3</v>
      </c>
      <c r="C7">
        <v>4</v>
      </c>
      <c r="D7">
        <v>300</v>
      </c>
      <c r="E7">
        <v>25</v>
      </c>
    </row>
    <row r="8" spans="2:10" x14ac:dyDescent="0.3">
      <c r="B8">
        <v>3</v>
      </c>
      <c r="C8">
        <v>5</v>
      </c>
      <c r="D8">
        <v>300</v>
      </c>
      <c r="E8">
        <v>25</v>
      </c>
    </row>
    <row r="9" spans="2:10" x14ac:dyDescent="0.3">
      <c r="B9">
        <v>3</v>
      </c>
      <c r="C9">
        <v>6</v>
      </c>
      <c r="D9">
        <v>300</v>
      </c>
      <c r="E9">
        <v>34</v>
      </c>
    </row>
    <row r="10" spans="2:10" x14ac:dyDescent="0.3">
      <c r="B10">
        <v>4</v>
      </c>
      <c r="C10">
        <v>3</v>
      </c>
      <c r="D10">
        <v>300</v>
      </c>
      <c r="E10">
        <v>25</v>
      </c>
    </row>
    <row r="11" spans="2:10" x14ac:dyDescent="0.3">
      <c r="B11">
        <v>4</v>
      </c>
      <c r="C11">
        <v>5</v>
      </c>
      <c r="D11">
        <v>300</v>
      </c>
      <c r="E11">
        <v>26</v>
      </c>
    </row>
    <row r="12" spans="2:10" x14ac:dyDescent="0.3">
      <c r="B12">
        <v>4</v>
      </c>
      <c r="C12">
        <v>7</v>
      </c>
      <c r="D12">
        <v>300</v>
      </c>
      <c r="E12">
        <v>31</v>
      </c>
    </row>
    <row r="13" spans="2:10" x14ac:dyDescent="0.3">
      <c r="B13">
        <v>5</v>
      </c>
      <c r="C13">
        <v>3</v>
      </c>
      <c r="D13">
        <v>300</v>
      </c>
      <c r="E13">
        <v>25</v>
      </c>
    </row>
    <row r="14" spans="2:10" x14ac:dyDescent="0.3">
      <c r="B14">
        <v>5</v>
      </c>
      <c r="C14">
        <v>4</v>
      </c>
      <c r="D14">
        <v>300</v>
      </c>
      <c r="E14">
        <v>26</v>
      </c>
    </row>
    <row r="15" spans="2:10" x14ac:dyDescent="0.3">
      <c r="B15">
        <v>5</v>
      </c>
      <c r="C15">
        <v>6</v>
      </c>
      <c r="D15">
        <v>300</v>
      </c>
      <c r="E15">
        <v>29</v>
      </c>
    </row>
    <row r="16" spans="2:10" x14ac:dyDescent="0.3">
      <c r="B16">
        <v>5</v>
      </c>
      <c r="C16">
        <v>7</v>
      </c>
      <c r="D16">
        <v>300</v>
      </c>
      <c r="E16">
        <v>26</v>
      </c>
    </row>
    <row r="17" spans="2:5" x14ac:dyDescent="0.3">
      <c r="B17">
        <v>5</v>
      </c>
      <c r="C17">
        <v>8</v>
      </c>
      <c r="D17">
        <v>300</v>
      </c>
      <c r="E17">
        <v>28</v>
      </c>
    </row>
    <row r="18" spans="2:5" x14ac:dyDescent="0.3">
      <c r="B18">
        <v>6</v>
      </c>
      <c r="C18">
        <v>3</v>
      </c>
      <c r="D18">
        <v>300</v>
      </c>
      <c r="E18">
        <v>34</v>
      </c>
    </row>
    <row r="19" spans="2:5" x14ac:dyDescent="0.3">
      <c r="B19">
        <v>6</v>
      </c>
      <c r="C19">
        <v>5</v>
      </c>
      <c r="D19">
        <v>300</v>
      </c>
      <c r="E19">
        <v>29</v>
      </c>
    </row>
    <row r="20" spans="2:5" x14ac:dyDescent="0.3">
      <c r="B20">
        <v>6</v>
      </c>
      <c r="C20">
        <v>8</v>
      </c>
      <c r="D20">
        <v>300</v>
      </c>
      <c r="E20">
        <v>37</v>
      </c>
    </row>
    <row r="21" spans="2:5" x14ac:dyDescent="0.3">
      <c r="B21">
        <v>7</v>
      </c>
      <c r="C21">
        <v>4</v>
      </c>
      <c r="D21">
        <v>300</v>
      </c>
      <c r="E21">
        <v>31</v>
      </c>
    </row>
    <row r="22" spans="2:5" x14ac:dyDescent="0.3">
      <c r="B22">
        <v>7</v>
      </c>
      <c r="C22">
        <v>5</v>
      </c>
      <c r="D22">
        <v>300</v>
      </c>
      <c r="E22">
        <v>26</v>
      </c>
    </row>
    <row r="23" spans="2:5" x14ac:dyDescent="0.3">
      <c r="B23">
        <v>7</v>
      </c>
      <c r="C23">
        <v>8</v>
      </c>
      <c r="D23">
        <v>300</v>
      </c>
      <c r="E23">
        <v>40</v>
      </c>
    </row>
    <row r="24" spans="2:5" x14ac:dyDescent="0.3">
      <c r="B24">
        <v>8</v>
      </c>
      <c r="C24">
        <v>5</v>
      </c>
      <c r="D24">
        <v>300</v>
      </c>
      <c r="E24">
        <v>28</v>
      </c>
    </row>
    <row r="25" spans="2:5" x14ac:dyDescent="0.3">
      <c r="B25">
        <v>8</v>
      </c>
      <c r="C25">
        <v>6</v>
      </c>
      <c r="D25">
        <v>300</v>
      </c>
      <c r="E25">
        <v>37</v>
      </c>
    </row>
    <row r="26" spans="2:5" x14ac:dyDescent="0.3">
      <c r="B26">
        <v>8</v>
      </c>
      <c r="C26">
        <v>7</v>
      </c>
      <c r="D26">
        <v>300</v>
      </c>
      <c r="E26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D7FA-B9E0-4491-A8E1-01AEAB88BA90}">
  <dimension ref="B2:R30"/>
  <sheetViews>
    <sheetView workbookViewId="0"/>
  </sheetViews>
  <sheetFormatPr defaultRowHeight="14.4" x14ac:dyDescent="0.3"/>
  <cols>
    <col min="7" max="8" width="11" bestFit="1" customWidth="1"/>
  </cols>
  <sheetData>
    <row r="2" spans="2:18" x14ac:dyDescent="0.3">
      <c r="B2" t="s">
        <v>4</v>
      </c>
      <c r="C2" t="s">
        <v>1</v>
      </c>
      <c r="D2" t="s">
        <v>40</v>
      </c>
      <c r="E2" t="s">
        <v>14</v>
      </c>
      <c r="G2" t="str">
        <f>_xlfn.CONCAT(D2," = { ")</f>
        <v xml:space="preserve">Capacity = { </v>
      </c>
      <c r="H2" t="str">
        <f>_xlfn.CONCAT(E2," = { ")</f>
        <v xml:space="preserve">Cost = { </v>
      </c>
      <c r="K2" t="s">
        <v>44</v>
      </c>
      <c r="L2" t="s">
        <v>45</v>
      </c>
      <c r="M2" t="s">
        <v>46</v>
      </c>
      <c r="N2" t="s">
        <v>47</v>
      </c>
      <c r="P2" t="str">
        <f>_xlfn.CONCAT(L2," = { ")</f>
        <v xml:space="preserve">Origin = { </v>
      </c>
      <c r="Q2" t="str">
        <f t="shared" ref="Q2:R2" si="0">_xlfn.CONCAT(M2," = { ")</f>
        <v xml:space="preserve">Destination = { </v>
      </c>
      <c r="R2" t="str">
        <f t="shared" si="0"/>
        <v xml:space="preserve">Volume = { </v>
      </c>
    </row>
    <row r="3" spans="2:18" x14ac:dyDescent="0.3">
      <c r="B3">
        <v>1</v>
      </c>
      <c r="C3">
        <v>3</v>
      </c>
      <c r="D3">
        <v>300</v>
      </c>
      <c r="E3">
        <v>20</v>
      </c>
      <c r="G3" t="str">
        <f>_xlfn.CONCAT("(",$B3,",",$C3,") : ",D3,", ")</f>
        <v xml:space="preserve">(1,3) : 300, </v>
      </c>
      <c r="H3" t="str">
        <f>_xlfn.CONCAT("(",$B3,",",$C3,") : ",E3,", ")</f>
        <v xml:space="preserve">(1,3) : 20, </v>
      </c>
      <c r="K3" t="s">
        <v>48</v>
      </c>
      <c r="L3">
        <v>1</v>
      </c>
      <c r="M3">
        <v>7</v>
      </c>
      <c r="N3">
        <v>200</v>
      </c>
      <c r="P3" t="str">
        <f>_xlfn.CONCAT("'",$K3,"' : ",L3,", ")</f>
        <v xml:space="preserve">'C1' : 1, </v>
      </c>
      <c r="Q3" t="str">
        <f t="shared" ref="Q3:R6" si="1">_xlfn.CONCAT("'",$K3,"' : ",M3,", ")</f>
        <v xml:space="preserve">'C1' : 7, </v>
      </c>
      <c r="R3" t="str">
        <f t="shared" si="1"/>
        <v xml:space="preserve">'C1' : 200, </v>
      </c>
    </row>
    <row r="4" spans="2:18" x14ac:dyDescent="0.3">
      <c r="B4">
        <v>1</v>
      </c>
      <c r="C4">
        <v>4</v>
      </c>
      <c r="D4">
        <v>300</v>
      </c>
      <c r="E4">
        <v>35</v>
      </c>
      <c r="G4" t="str">
        <f t="shared" ref="G4:H26" si="2">_xlfn.CONCAT("(",$B4,",",$C4,") : ",D4,", ")</f>
        <v xml:space="preserve">(1,4) : 300, </v>
      </c>
      <c r="H4" t="str">
        <f t="shared" si="2"/>
        <v xml:space="preserve">(1,4) : 35, </v>
      </c>
      <c r="K4" t="s">
        <v>49</v>
      </c>
      <c r="L4">
        <v>1</v>
      </c>
      <c r="M4">
        <v>6</v>
      </c>
      <c r="N4">
        <v>300</v>
      </c>
      <c r="P4" t="str">
        <f t="shared" ref="P4:P6" si="3">_xlfn.CONCAT("'",$K4,"' : ",L4,", ")</f>
        <v xml:space="preserve">'C2' : 1, </v>
      </c>
      <c r="Q4" t="str">
        <f t="shared" si="1"/>
        <v xml:space="preserve">'C2' : 6, </v>
      </c>
      <c r="R4" t="str">
        <f t="shared" si="1"/>
        <v xml:space="preserve">'C2' : 300, </v>
      </c>
    </row>
    <row r="5" spans="2:18" x14ac:dyDescent="0.3">
      <c r="B5">
        <v>2</v>
      </c>
      <c r="C5">
        <v>3</v>
      </c>
      <c r="D5">
        <v>300</v>
      </c>
      <c r="E5">
        <v>45</v>
      </c>
      <c r="G5" t="str">
        <f t="shared" si="2"/>
        <v xml:space="preserve">(2,3) : 300, </v>
      </c>
      <c r="H5" t="str">
        <f t="shared" si="2"/>
        <v xml:space="preserve">(2,3) : 45, </v>
      </c>
      <c r="K5" t="s">
        <v>50</v>
      </c>
      <c r="L5">
        <v>2</v>
      </c>
      <c r="M5">
        <v>7</v>
      </c>
      <c r="N5">
        <v>150</v>
      </c>
      <c r="P5" t="str">
        <f t="shared" si="3"/>
        <v xml:space="preserve">'C3' : 2, </v>
      </c>
      <c r="Q5" t="str">
        <f t="shared" si="1"/>
        <v xml:space="preserve">'C3' : 7, </v>
      </c>
      <c r="R5" t="str">
        <f t="shared" si="1"/>
        <v xml:space="preserve">'C3' : 150, </v>
      </c>
    </row>
    <row r="6" spans="2:18" x14ac:dyDescent="0.3">
      <c r="B6">
        <v>2</v>
      </c>
      <c r="C6">
        <v>4</v>
      </c>
      <c r="D6">
        <v>300</v>
      </c>
      <c r="E6">
        <v>30</v>
      </c>
      <c r="G6" t="str">
        <f t="shared" si="2"/>
        <v xml:space="preserve">(2,4) : 300, </v>
      </c>
      <c r="H6" t="str">
        <f t="shared" si="2"/>
        <v xml:space="preserve">(2,4) : 30, </v>
      </c>
      <c r="K6" t="s">
        <v>51</v>
      </c>
      <c r="L6">
        <v>2</v>
      </c>
      <c r="M6">
        <v>8</v>
      </c>
      <c r="N6">
        <v>240</v>
      </c>
      <c r="P6" t="str">
        <f t="shared" si="3"/>
        <v xml:space="preserve">'C4' : 2, </v>
      </c>
      <c r="Q6" t="str">
        <f t="shared" si="1"/>
        <v xml:space="preserve">'C4' : 8, </v>
      </c>
      <c r="R6" t="str">
        <f t="shared" si="1"/>
        <v xml:space="preserve">'C4' : 240, </v>
      </c>
    </row>
    <row r="7" spans="2:18" x14ac:dyDescent="0.3">
      <c r="B7">
        <v>3</v>
      </c>
      <c r="C7">
        <v>4</v>
      </c>
      <c r="D7">
        <v>300</v>
      </c>
      <c r="E7">
        <v>25</v>
      </c>
      <c r="G7" t="str">
        <f t="shared" si="2"/>
        <v xml:space="preserve">(3,4) : 300, </v>
      </c>
      <c r="H7" t="str">
        <f t="shared" si="2"/>
        <v xml:space="preserve">(3,4) : 25, </v>
      </c>
      <c r="P7" t="s">
        <v>18</v>
      </c>
      <c r="Q7" t="s">
        <v>18</v>
      </c>
      <c r="R7" t="s">
        <v>18</v>
      </c>
    </row>
    <row r="8" spans="2:18" x14ac:dyDescent="0.3">
      <c r="B8">
        <v>3</v>
      </c>
      <c r="C8">
        <v>5</v>
      </c>
      <c r="D8">
        <v>300</v>
      </c>
      <c r="E8">
        <v>25</v>
      </c>
      <c r="G8" t="str">
        <f t="shared" si="2"/>
        <v xml:space="preserve">(3,5) : 300, </v>
      </c>
      <c r="H8" t="str">
        <f t="shared" si="2"/>
        <v xml:space="preserve">(3,5) : 25, </v>
      </c>
    </row>
    <row r="9" spans="2:18" x14ac:dyDescent="0.3">
      <c r="B9">
        <v>3</v>
      </c>
      <c r="C9">
        <v>6</v>
      </c>
      <c r="D9">
        <v>300</v>
      </c>
      <c r="E9">
        <v>34</v>
      </c>
      <c r="G9" t="str">
        <f t="shared" si="2"/>
        <v xml:space="preserve">(3,6) : 300, </v>
      </c>
      <c r="H9" t="str">
        <f t="shared" si="2"/>
        <v xml:space="preserve">(3,6) : 34, </v>
      </c>
      <c r="P9" t="str">
        <f>_xlfn.CONCAT(P2:P7)</f>
        <v>Origin = { 'C1' : 1, 'C2' : 1, 'C3' : 2, 'C4' : 2, }</v>
      </c>
    </row>
    <row r="10" spans="2:18" x14ac:dyDescent="0.3">
      <c r="B10">
        <v>4</v>
      </c>
      <c r="C10">
        <v>3</v>
      </c>
      <c r="D10">
        <v>300</v>
      </c>
      <c r="E10">
        <v>25</v>
      </c>
      <c r="G10" t="str">
        <f t="shared" si="2"/>
        <v xml:space="preserve">(4,3) : 300, </v>
      </c>
      <c r="H10" t="str">
        <f t="shared" si="2"/>
        <v xml:space="preserve">(4,3) : 25, </v>
      </c>
      <c r="P10" t="str">
        <f>_xlfn.CONCAT(Q2:Q7)</f>
        <v>Destination = { 'C1' : 7, 'C2' : 6, 'C3' : 7, 'C4' : 8, }</v>
      </c>
    </row>
    <row r="11" spans="2:18" x14ac:dyDescent="0.3">
      <c r="B11">
        <v>4</v>
      </c>
      <c r="C11">
        <v>5</v>
      </c>
      <c r="D11">
        <v>300</v>
      </c>
      <c r="E11">
        <v>26</v>
      </c>
      <c r="G11" t="str">
        <f t="shared" si="2"/>
        <v xml:space="preserve">(4,5) : 300, </v>
      </c>
      <c r="H11" t="str">
        <f t="shared" si="2"/>
        <v xml:space="preserve">(4,5) : 26, </v>
      </c>
      <c r="P11" t="str">
        <f>_xlfn.CONCAT(R2:R7)</f>
        <v>Volume = { 'C1' : 200, 'C2' : 300, 'C3' : 150, 'C4' : 240, }</v>
      </c>
    </row>
    <row r="12" spans="2:18" x14ac:dyDescent="0.3">
      <c r="B12">
        <v>4</v>
      </c>
      <c r="C12">
        <v>7</v>
      </c>
      <c r="D12">
        <v>300</v>
      </c>
      <c r="E12">
        <v>31</v>
      </c>
      <c r="G12" t="str">
        <f t="shared" si="2"/>
        <v xml:space="preserve">(4,7) : 300, </v>
      </c>
      <c r="H12" t="str">
        <f t="shared" si="2"/>
        <v xml:space="preserve">(4,7) : 31, </v>
      </c>
    </row>
    <row r="13" spans="2:18" x14ac:dyDescent="0.3">
      <c r="B13">
        <v>5</v>
      </c>
      <c r="C13">
        <v>3</v>
      </c>
      <c r="D13">
        <v>300</v>
      </c>
      <c r="E13">
        <v>25</v>
      </c>
      <c r="G13" t="str">
        <f t="shared" si="2"/>
        <v xml:space="preserve">(5,3) : 300, </v>
      </c>
      <c r="H13" t="str">
        <f t="shared" si="2"/>
        <v xml:space="preserve">(5,3) : 25, </v>
      </c>
    </row>
    <row r="14" spans="2:18" x14ac:dyDescent="0.3">
      <c r="B14">
        <v>5</v>
      </c>
      <c r="C14">
        <v>4</v>
      </c>
      <c r="D14">
        <v>300</v>
      </c>
      <c r="E14">
        <v>26</v>
      </c>
      <c r="G14" t="str">
        <f t="shared" si="2"/>
        <v xml:space="preserve">(5,4) : 300, </v>
      </c>
      <c r="H14" t="str">
        <f t="shared" si="2"/>
        <v xml:space="preserve">(5,4) : 26, </v>
      </c>
    </row>
    <row r="15" spans="2:18" x14ac:dyDescent="0.3">
      <c r="B15">
        <v>5</v>
      </c>
      <c r="C15">
        <v>6</v>
      </c>
      <c r="D15">
        <v>300</v>
      </c>
      <c r="E15">
        <v>29</v>
      </c>
      <c r="G15" t="str">
        <f t="shared" si="2"/>
        <v xml:space="preserve">(5,6) : 300, </v>
      </c>
      <c r="H15" t="str">
        <f t="shared" si="2"/>
        <v xml:space="preserve">(5,6) : 29, </v>
      </c>
    </row>
    <row r="16" spans="2:18" x14ac:dyDescent="0.3">
      <c r="B16">
        <v>5</v>
      </c>
      <c r="C16">
        <v>7</v>
      </c>
      <c r="D16">
        <v>300</v>
      </c>
      <c r="E16">
        <v>26</v>
      </c>
      <c r="G16" t="str">
        <f t="shared" si="2"/>
        <v xml:space="preserve">(5,7) : 300, </v>
      </c>
      <c r="H16" t="str">
        <f t="shared" si="2"/>
        <v xml:space="preserve">(5,7) : 26, </v>
      </c>
    </row>
    <row r="17" spans="2:8" x14ac:dyDescent="0.3">
      <c r="B17">
        <v>5</v>
      </c>
      <c r="C17">
        <v>8</v>
      </c>
      <c r="D17">
        <v>300</v>
      </c>
      <c r="E17">
        <v>28</v>
      </c>
      <c r="G17" t="str">
        <f t="shared" si="2"/>
        <v xml:space="preserve">(5,8) : 300, </v>
      </c>
      <c r="H17" t="str">
        <f t="shared" si="2"/>
        <v xml:space="preserve">(5,8) : 28, </v>
      </c>
    </row>
    <row r="18" spans="2:8" x14ac:dyDescent="0.3">
      <c r="B18">
        <v>6</v>
      </c>
      <c r="C18">
        <v>3</v>
      </c>
      <c r="D18">
        <v>300</v>
      </c>
      <c r="E18">
        <v>34</v>
      </c>
      <c r="G18" t="str">
        <f t="shared" si="2"/>
        <v xml:space="preserve">(6,3) : 300, </v>
      </c>
      <c r="H18" t="str">
        <f t="shared" si="2"/>
        <v xml:space="preserve">(6,3) : 34, </v>
      </c>
    </row>
    <row r="19" spans="2:8" x14ac:dyDescent="0.3">
      <c r="B19">
        <v>6</v>
      </c>
      <c r="C19">
        <v>5</v>
      </c>
      <c r="D19">
        <v>300</v>
      </c>
      <c r="E19">
        <v>29</v>
      </c>
      <c r="G19" t="str">
        <f t="shared" si="2"/>
        <v xml:space="preserve">(6,5) : 300, </v>
      </c>
      <c r="H19" t="str">
        <f t="shared" si="2"/>
        <v xml:space="preserve">(6,5) : 29, </v>
      </c>
    </row>
    <row r="20" spans="2:8" x14ac:dyDescent="0.3">
      <c r="B20">
        <v>6</v>
      </c>
      <c r="C20">
        <v>8</v>
      </c>
      <c r="D20">
        <v>300</v>
      </c>
      <c r="E20">
        <v>37</v>
      </c>
      <c r="G20" t="str">
        <f t="shared" si="2"/>
        <v xml:space="preserve">(6,8) : 300, </v>
      </c>
      <c r="H20" t="str">
        <f t="shared" si="2"/>
        <v xml:space="preserve">(6,8) : 37, </v>
      </c>
    </row>
    <row r="21" spans="2:8" x14ac:dyDescent="0.3">
      <c r="B21">
        <v>7</v>
      </c>
      <c r="C21">
        <v>4</v>
      </c>
      <c r="D21">
        <v>300</v>
      </c>
      <c r="E21">
        <v>31</v>
      </c>
      <c r="G21" t="str">
        <f t="shared" si="2"/>
        <v xml:space="preserve">(7,4) : 300, </v>
      </c>
      <c r="H21" t="str">
        <f t="shared" si="2"/>
        <v xml:space="preserve">(7,4) : 31, </v>
      </c>
    </row>
    <row r="22" spans="2:8" x14ac:dyDescent="0.3">
      <c r="B22">
        <v>7</v>
      </c>
      <c r="C22">
        <v>5</v>
      </c>
      <c r="D22">
        <v>300</v>
      </c>
      <c r="E22">
        <v>26</v>
      </c>
      <c r="G22" t="str">
        <f t="shared" si="2"/>
        <v xml:space="preserve">(7,5) : 300, </v>
      </c>
      <c r="H22" t="str">
        <f t="shared" si="2"/>
        <v xml:space="preserve">(7,5) : 26, </v>
      </c>
    </row>
    <row r="23" spans="2:8" x14ac:dyDescent="0.3">
      <c r="B23">
        <v>7</v>
      </c>
      <c r="C23">
        <v>8</v>
      </c>
      <c r="D23">
        <v>300</v>
      </c>
      <c r="E23">
        <v>40</v>
      </c>
      <c r="G23" t="str">
        <f t="shared" si="2"/>
        <v xml:space="preserve">(7,8) : 300, </v>
      </c>
      <c r="H23" t="str">
        <f t="shared" si="2"/>
        <v xml:space="preserve">(7,8) : 40, </v>
      </c>
    </row>
    <row r="24" spans="2:8" x14ac:dyDescent="0.3">
      <c r="B24">
        <v>8</v>
      </c>
      <c r="C24">
        <v>5</v>
      </c>
      <c r="D24">
        <v>300</v>
      </c>
      <c r="E24">
        <v>28</v>
      </c>
      <c r="G24" t="str">
        <f t="shared" si="2"/>
        <v xml:space="preserve">(8,5) : 300, </v>
      </c>
      <c r="H24" t="str">
        <f t="shared" si="2"/>
        <v xml:space="preserve">(8,5) : 28, </v>
      </c>
    </row>
    <row r="25" spans="2:8" x14ac:dyDescent="0.3">
      <c r="B25">
        <v>8</v>
      </c>
      <c r="C25">
        <v>6</v>
      </c>
      <c r="D25">
        <v>300</v>
      </c>
      <c r="E25">
        <v>37</v>
      </c>
      <c r="G25" t="str">
        <f t="shared" si="2"/>
        <v xml:space="preserve">(8,6) : 300, </v>
      </c>
      <c r="H25" t="str">
        <f t="shared" si="2"/>
        <v xml:space="preserve">(8,6) : 37, </v>
      </c>
    </row>
    <row r="26" spans="2:8" x14ac:dyDescent="0.3">
      <c r="B26">
        <v>8</v>
      </c>
      <c r="C26">
        <v>7</v>
      </c>
      <c r="D26">
        <v>300</v>
      </c>
      <c r="E26">
        <v>40</v>
      </c>
      <c r="G26" t="str">
        <f t="shared" si="2"/>
        <v xml:space="preserve">(8,7) : 300, </v>
      </c>
      <c r="H26" t="str">
        <f t="shared" si="2"/>
        <v xml:space="preserve">(8,7) : 40, </v>
      </c>
    </row>
    <row r="27" spans="2:8" x14ac:dyDescent="0.3">
      <c r="G27" t="s">
        <v>18</v>
      </c>
      <c r="H27" t="s">
        <v>18</v>
      </c>
    </row>
    <row r="29" spans="2:8" x14ac:dyDescent="0.3">
      <c r="G29" t="str">
        <f>_xlfn.CONCAT(G2:G27)</f>
        <v>Capacity = { (1,3) : 300, (1,4) : 300, (2,3) : 300, (2,4) : 300, (3,4) : 300, (3,5) : 300, (3,6) : 300, (4,3) : 300, (4,5) : 300, (4,7) : 300, (5,3) : 300, (5,4) : 300, (5,6) : 300, (5,7) : 300, (5,8) : 300, (6,3) : 300, (6,5) : 300, (6,8) : 300, (7,4) : 300, (7,5) : 300, (7,8) : 300, (8,5) : 300, (8,6) : 300, (8,7) : 300, }</v>
      </c>
    </row>
    <row r="30" spans="2:8" x14ac:dyDescent="0.3">
      <c r="G30" t="str">
        <f>_xlfn.CONCAT(H2:H27)</f>
        <v>Cost = { (1,3) : 20, (1,4) : 35, (2,3) : 45, (2,4) : 30, (3,4) : 25, (3,5) : 25, (3,6) : 34, (4,3) : 25, (4,5) : 26, (4,7) : 31, (5,3) : 25, (5,4) : 26, (5,6) : 29, (5,7) : 26, (5,8) : 28, (6,3) : 34, (6,5) : 29, (6,8) : 37, (7,4) : 31, (7,5) : 26, (7,8) : 40, (8,5) : 28, (8,6) : 37, (8,7) : 40, 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Transshipment</vt:lpstr>
      <vt:lpstr>Transshipment (Python)</vt:lpstr>
      <vt:lpstr>Distributor</vt:lpstr>
      <vt:lpstr>Distributor (Python)</vt:lpstr>
      <vt:lpstr>Flight</vt:lpstr>
      <vt:lpstr>Flight (Python)</vt:lpstr>
      <vt:lpstr>Max Flow</vt:lpstr>
      <vt:lpstr>Max Flow (Python)</vt:lpstr>
      <vt:lpstr>Multi-Commodity</vt:lpstr>
      <vt:lpstr>Multi-Commodity (Python)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2019-04-03T03:51:34Z</dcterms:modified>
</cp:coreProperties>
</file>