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filterPrivacy="1"/>
  <xr:revisionPtr revIDLastSave="0" documentId="13_ncr:1_{41887B58-08D7-458B-9464-2C46C394A12B}" xr6:coauthVersionLast="43" xr6:coauthVersionMax="43" xr10:uidLastSave="{00000000-0000-0000-0000-000000000000}"/>
  <bookViews>
    <workbookView xWindow="0" yWindow="0" windowWidth="23016" windowHeight="12960" xr2:uid="{00000000-000D-0000-FFFF-FFFF00000000}"/>
  </bookViews>
  <sheets>
    <sheet name="Data (I)" sheetId="7" r:id="rId1"/>
    <sheet name="Data (II)" sheetId="8" r:id="rId2"/>
    <sheet name="Pricing (I)" sheetId="6" r:id="rId3"/>
    <sheet name="Pricing (II)" sheetId="4" r:id="rId4"/>
  </sheets>
  <definedNames>
    <definedName name="solver_adj" localSheetId="2" hidden="1">'Pricing (I)'!$E$4:$E$13</definedName>
    <definedName name="solver_adj" localSheetId="3" hidden="1">'Pricing (II)'!$E$4:$E$103</definedName>
    <definedName name="solver_cvg" localSheetId="2" hidden="1">0.0001</definedName>
    <definedName name="solver_cvg" localSheetId="3" hidden="1">0.0001</definedName>
    <definedName name="solver_drv" localSheetId="2" hidden="1">1</definedName>
    <definedName name="solver_drv" localSheetId="3" hidden="1">1</definedName>
    <definedName name="solver_eng" localSheetId="2" hidden="1">3</definedName>
    <definedName name="solver_eng" localSheetId="3" hidden="1">3</definedName>
    <definedName name="solver_est" localSheetId="2" hidden="1">1</definedName>
    <definedName name="solver_est" localSheetId="3" hidden="1">1</definedName>
    <definedName name="solver_itr" localSheetId="2" hidden="1">2147483647</definedName>
    <definedName name="solver_itr" localSheetId="3" hidden="1">2147483647</definedName>
    <definedName name="solver_lhs1" localSheetId="2" hidden="1">'Pricing (I)'!$E$4:$E$13</definedName>
    <definedName name="solver_lhs1" localSheetId="3" hidden="1">'Pricing (II)'!$E$4:$E$103</definedName>
    <definedName name="solver_lhs2" localSheetId="2" hidden="1">'Pricing (I)'!$E$4:$E$13</definedName>
    <definedName name="solver_lhs2" localSheetId="3" hidden="1">'Pricing (II)'!$E$4:$E$103</definedName>
    <definedName name="solver_lhs3" localSheetId="2" hidden="1">'Pricing (I)'!$E$4:$E$13</definedName>
    <definedName name="solver_lhs3" localSheetId="3" hidden="1">'Pricing (II)'!$E$4:$E$103</definedName>
    <definedName name="solver_lhs4" localSheetId="2" hidden="1">'Pricing (I)'!$G$3</definedName>
    <definedName name="solver_lhs4" localSheetId="3" hidden="1">'Pricing (II)'!$G$3</definedName>
    <definedName name="solver_lhs5" localSheetId="2" hidden="1">'Pricing (I)'!$G$3</definedName>
    <definedName name="solver_lhs5" localSheetId="3" hidden="1">'Pricing (II)'!$G$3</definedName>
    <definedName name="solver_lhs6" localSheetId="2" hidden="1">'Pricing (I)'!$G$3</definedName>
    <definedName name="solver_lhs6" localSheetId="3" hidden="1">'Pricing (II)'!$G$3</definedName>
    <definedName name="solver_mip" localSheetId="2" hidden="1">2147483647</definedName>
    <definedName name="solver_mip" localSheetId="3" hidden="1">2147483647</definedName>
    <definedName name="solver_mni" localSheetId="2" hidden="1">30</definedName>
    <definedName name="solver_mni" localSheetId="3" hidden="1">30</definedName>
    <definedName name="solver_mrt" localSheetId="2" hidden="1">0.075</definedName>
    <definedName name="solver_mrt" localSheetId="3" hidden="1">0.075</definedName>
    <definedName name="solver_msl" localSheetId="2" hidden="1">2</definedName>
    <definedName name="solver_msl" localSheetId="3" hidden="1">2</definedName>
    <definedName name="solver_neg" localSheetId="2" hidden="1">1</definedName>
    <definedName name="solver_neg" localSheetId="3" hidden="1">1</definedName>
    <definedName name="solver_nod" localSheetId="2" hidden="1">2147483647</definedName>
    <definedName name="solver_nod" localSheetId="3" hidden="1">2147483647</definedName>
    <definedName name="solver_num" localSheetId="2" hidden="1">4</definedName>
    <definedName name="solver_num" localSheetId="3" hidden="1">4</definedName>
    <definedName name="solver_nwt" localSheetId="2" hidden="1">1</definedName>
    <definedName name="solver_nwt" localSheetId="3" hidden="1">1</definedName>
    <definedName name="solver_opt" localSheetId="2" hidden="1">'Pricing (I)'!$E$3</definedName>
    <definedName name="solver_opt" localSheetId="3" hidden="1">'Pricing (II)'!$E$3</definedName>
    <definedName name="solver_pre" localSheetId="2" hidden="1">0.000001</definedName>
    <definedName name="solver_pre" localSheetId="3" hidden="1">0.000001</definedName>
    <definedName name="solver_rbv" localSheetId="2" hidden="1">1</definedName>
    <definedName name="solver_rbv" localSheetId="3" hidden="1">1</definedName>
    <definedName name="solver_rel1" localSheetId="2" hidden="1">1</definedName>
    <definedName name="solver_rel1" localSheetId="3" hidden="1">1</definedName>
    <definedName name="solver_rel2" localSheetId="2" hidden="1">4</definedName>
    <definedName name="solver_rel2" localSheetId="3" hidden="1">4</definedName>
    <definedName name="solver_rel3" localSheetId="2" hidden="1">3</definedName>
    <definedName name="solver_rel3" localSheetId="3" hidden="1">3</definedName>
    <definedName name="solver_rel4" localSheetId="2" hidden="1">3</definedName>
    <definedName name="solver_rel4" localSheetId="3" hidden="1">3</definedName>
    <definedName name="solver_rel5" localSheetId="2" hidden="1">3</definedName>
    <definedName name="solver_rel5" localSheetId="3" hidden="1">3</definedName>
    <definedName name="solver_rel6" localSheetId="2" hidden="1">3</definedName>
    <definedName name="solver_rel6" localSheetId="3" hidden="1">3</definedName>
    <definedName name="solver_rhs1" localSheetId="2" hidden="1">25</definedName>
    <definedName name="solver_rhs1" localSheetId="3" hidden="1">25</definedName>
    <definedName name="solver_rhs2" localSheetId="2" hidden="1">integer</definedName>
    <definedName name="solver_rhs2" localSheetId="3" hidden="1">integer</definedName>
    <definedName name="solver_rhs3" localSheetId="2" hidden="1">1</definedName>
    <definedName name="solver_rhs3" localSheetId="3" hidden="1">1</definedName>
    <definedName name="solver_rhs4" localSheetId="2" hidden="1">'Pricing (I)'!$I$3</definedName>
    <definedName name="solver_rhs4" localSheetId="3" hidden="1">'Pricing (II)'!$I$3</definedName>
    <definedName name="solver_rhs5" localSheetId="2" hidden="1">'Pricing (I)'!$I$3</definedName>
    <definedName name="solver_rhs5" localSheetId="3" hidden="1">'Pricing (II)'!$I$3</definedName>
    <definedName name="solver_rhs6" localSheetId="2" hidden="1">'Pricing (I)'!$I$3</definedName>
    <definedName name="solver_rhs6" localSheetId="3" hidden="1">'Pricing (II)'!$I$3</definedName>
    <definedName name="solver_rlx" localSheetId="2" hidden="1">2</definedName>
    <definedName name="solver_rlx" localSheetId="3" hidden="1">2</definedName>
    <definedName name="solver_rsd" localSheetId="2" hidden="1">0</definedName>
    <definedName name="solver_rsd" localSheetId="3" hidden="1">0</definedName>
    <definedName name="solver_scl" localSheetId="2" hidden="1">1</definedName>
    <definedName name="solver_scl" localSheetId="3" hidden="1">1</definedName>
    <definedName name="solver_sho" localSheetId="2" hidden="1">2</definedName>
    <definedName name="solver_sho" localSheetId="3" hidden="1">2</definedName>
    <definedName name="solver_ssz" localSheetId="2" hidden="1">100</definedName>
    <definedName name="solver_ssz" localSheetId="3" hidden="1">100</definedName>
    <definedName name="solver_tim" localSheetId="2" hidden="1">2147483647</definedName>
    <definedName name="solver_tim" localSheetId="3" hidden="1">2147483647</definedName>
    <definedName name="solver_tol" localSheetId="2" hidden="1">0.01</definedName>
    <definedName name="solver_tol" localSheetId="3" hidden="1">0.01</definedName>
    <definedName name="solver_typ" localSheetId="2" hidden="1">2</definedName>
    <definedName name="solver_typ" localSheetId="3" hidden="1">2</definedName>
    <definedName name="solver_val" localSheetId="2" hidden="1">0</definedName>
    <definedName name="solver_val" localSheetId="3" hidden="1">0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6" l="1"/>
  <c r="F13" i="6" l="1"/>
  <c r="G13" i="6" s="1"/>
  <c r="F12" i="6"/>
  <c r="G12" i="6" s="1"/>
  <c r="F11" i="6"/>
  <c r="G11" i="6" s="1"/>
  <c r="F10" i="6"/>
  <c r="G10" i="6" s="1"/>
  <c r="F9" i="6"/>
  <c r="G9" i="6" s="1"/>
  <c r="F8" i="6"/>
  <c r="G8" i="6" s="1"/>
  <c r="F7" i="6"/>
  <c r="G7" i="6" s="1"/>
  <c r="F6" i="6"/>
  <c r="G6" i="6" s="1"/>
  <c r="F5" i="6"/>
  <c r="G5" i="6" s="1"/>
  <c r="F4" i="6"/>
  <c r="G4" i="6" s="1"/>
  <c r="E3" i="4"/>
  <c r="F103" i="4"/>
  <c r="G103" i="4" s="1"/>
  <c r="F102" i="4"/>
  <c r="G102" i="4" s="1"/>
  <c r="F101" i="4"/>
  <c r="G101" i="4" s="1"/>
  <c r="F100" i="4"/>
  <c r="G100" i="4" s="1"/>
  <c r="F99" i="4"/>
  <c r="G99" i="4" s="1"/>
  <c r="F98" i="4"/>
  <c r="G98" i="4" s="1"/>
  <c r="F97" i="4"/>
  <c r="G97" i="4" s="1"/>
  <c r="F96" i="4"/>
  <c r="G96" i="4" s="1"/>
  <c r="F95" i="4"/>
  <c r="G95" i="4" s="1"/>
  <c r="F94" i="4"/>
  <c r="G94" i="4" s="1"/>
  <c r="F93" i="4"/>
  <c r="G93" i="4" s="1"/>
  <c r="F92" i="4"/>
  <c r="G92" i="4" s="1"/>
  <c r="F91" i="4"/>
  <c r="G91" i="4" s="1"/>
  <c r="F90" i="4"/>
  <c r="G90" i="4" s="1"/>
  <c r="F89" i="4"/>
  <c r="G89" i="4" s="1"/>
  <c r="F88" i="4"/>
  <c r="G88" i="4" s="1"/>
  <c r="F87" i="4"/>
  <c r="G87" i="4" s="1"/>
  <c r="F86" i="4"/>
  <c r="G86" i="4" s="1"/>
  <c r="F85" i="4"/>
  <c r="G85" i="4" s="1"/>
  <c r="F84" i="4"/>
  <c r="G84" i="4" s="1"/>
  <c r="F83" i="4"/>
  <c r="G83" i="4" s="1"/>
  <c r="F82" i="4"/>
  <c r="G82" i="4" s="1"/>
  <c r="F81" i="4"/>
  <c r="G81" i="4" s="1"/>
  <c r="F80" i="4"/>
  <c r="G80" i="4" s="1"/>
  <c r="F79" i="4"/>
  <c r="G79" i="4" s="1"/>
  <c r="F78" i="4"/>
  <c r="G78" i="4" s="1"/>
  <c r="F77" i="4"/>
  <c r="G77" i="4" s="1"/>
  <c r="F76" i="4"/>
  <c r="G76" i="4" s="1"/>
  <c r="F75" i="4"/>
  <c r="G75" i="4" s="1"/>
  <c r="F74" i="4"/>
  <c r="G74" i="4" s="1"/>
  <c r="F73" i="4"/>
  <c r="G73" i="4" s="1"/>
  <c r="F72" i="4"/>
  <c r="G72" i="4" s="1"/>
  <c r="F71" i="4"/>
  <c r="G71" i="4" s="1"/>
  <c r="F70" i="4"/>
  <c r="G70" i="4" s="1"/>
  <c r="F69" i="4"/>
  <c r="G69" i="4" s="1"/>
  <c r="F68" i="4"/>
  <c r="G68" i="4" s="1"/>
  <c r="F67" i="4"/>
  <c r="G67" i="4" s="1"/>
  <c r="F66" i="4"/>
  <c r="G66" i="4" s="1"/>
  <c r="F65" i="4"/>
  <c r="G65" i="4" s="1"/>
  <c r="F64" i="4"/>
  <c r="G64" i="4" s="1"/>
  <c r="F63" i="4"/>
  <c r="G63" i="4" s="1"/>
  <c r="F62" i="4"/>
  <c r="G62" i="4" s="1"/>
  <c r="F61" i="4"/>
  <c r="G61" i="4" s="1"/>
  <c r="F60" i="4"/>
  <c r="G60" i="4" s="1"/>
  <c r="F59" i="4"/>
  <c r="G59" i="4" s="1"/>
  <c r="F58" i="4"/>
  <c r="G58" i="4" s="1"/>
  <c r="F57" i="4"/>
  <c r="G57" i="4" s="1"/>
  <c r="F56" i="4"/>
  <c r="G56" i="4" s="1"/>
  <c r="F55" i="4"/>
  <c r="G55" i="4" s="1"/>
  <c r="F54" i="4"/>
  <c r="G54" i="4" s="1"/>
  <c r="F53" i="4"/>
  <c r="G53" i="4" s="1"/>
  <c r="F52" i="4"/>
  <c r="G52" i="4" s="1"/>
  <c r="F51" i="4"/>
  <c r="G51" i="4" s="1"/>
  <c r="F50" i="4"/>
  <c r="G50" i="4" s="1"/>
  <c r="F49" i="4"/>
  <c r="G49" i="4" s="1"/>
  <c r="F48" i="4"/>
  <c r="G48" i="4" s="1"/>
  <c r="F47" i="4"/>
  <c r="G47" i="4" s="1"/>
  <c r="F46" i="4"/>
  <c r="G46" i="4" s="1"/>
  <c r="F45" i="4"/>
  <c r="G45" i="4" s="1"/>
  <c r="F44" i="4"/>
  <c r="G44" i="4" s="1"/>
  <c r="F43" i="4"/>
  <c r="G43" i="4" s="1"/>
  <c r="F42" i="4"/>
  <c r="G42" i="4" s="1"/>
  <c r="F41" i="4"/>
  <c r="G41" i="4" s="1"/>
  <c r="F40" i="4"/>
  <c r="G40" i="4" s="1"/>
  <c r="F39" i="4"/>
  <c r="G39" i="4" s="1"/>
  <c r="F38" i="4"/>
  <c r="G38" i="4" s="1"/>
  <c r="F37" i="4"/>
  <c r="G37" i="4" s="1"/>
  <c r="F36" i="4"/>
  <c r="G36" i="4" s="1"/>
  <c r="F35" i="4"/>
  <c r="G35" i="4" s="1"/>
  <c r="F34" i="4"/>
  <c r="G34" i="4" s="1"/>
  <c r="F33" i="4"/>
  <c r="G33" i="4" s="1"/>
  <c r="F32" i="4"/>
  <c r="G32" i="4" s="1"/>
  <c r="F31" i="4"/>
  <c r="G31" i="4" s="1"/>
  <c r="F30" i="4"/>
  <c r="G30" i="4" s="1"/>
  <c r="F29" i="4"/>
  <c r="G29" i="4" s="1"/>
  <c r="F28" i="4"/>
  <c r="G28" i="4" s="1"/>
  <c r="F27" i="4"/>
  <c r="G27" i="4" s="1"/>
  <c r="F26" i="4"/>
  <c r="G26" i="4" s="1"/>
  <c r="F25" i="4"/>
  <c r="G25" i="4" s="1"/>
  <c r="F24" i="4"/>
  <c r="G24" i="4" s="1"/>
  <c r="F23" i="4"/>
  <c r="G23" i="4" s="1"/>
  <c r="F22" i="4"/>
  <c r="G22" i="4" s="1"/>
  <c r="F21" i="4"/>
  <c r="G21" i="4" s="1"/>
  <c r="F20" i="4"/>
  <c r="G20" i="4" s="1"/>
  <c r="F19" i="4"/>
  <c r="G19" i="4" s="1"/>
  <c r="F18" i="4"/>
  <c r="G18" i="4" s="1"/>
  <c r="F17" i="4"/>
  <c r="G17" i="4" s="1"/>
  <c r="F16" i="4"/>
  <c r="G16" i="4" s="1"/>
  <c r="F15" i="4"/>
  <c r="G15" i="4" s="1"/>
  <c r="F14" i="4"/>
  <c r="G14" i="4" s="1"/>
  <c r="G3" i="6" l="1"/>
  <c r="F13" i="4"/>
  <c r="G13" i="4" s="1"/>
  <c r="F12" i="4"/>
  <c r="G12" i="4" s="1"/>
  <c r="F11" i="4"/>
  <c r="G11" i="4" s="1"/>
  <c r="F10" i="4"/>
  <c r="G10" i="4" s="1"/>
  <c r="F9" i="4"/>
  <c r="G9" i="4" s="1"/>
  <c r="F8" i="4"/>
  <c r="G8" i="4" s="1"/>
  <c r="F7" i="4"/>
  <c r="G7" i="4" s="1"/>
  <c r="F6" i="4"/>
  <c r="G6" i="4" s="1"/>
  <c r="F5" i="4"/>
  <c r="G5" i="4" s="1"/>
  <c r="F4" i="4"/>
  <c r="G4" i="4" s="1"/>
  <c r="G3" i="4" l="1"/>
</calcChain>
</file>

<file path=xl/sharedStrings.xml><?xml version="1.0" encoding="utf-8"?>
<sst xmlns="http://schemas.openxmlformats.org/spreadsheetml/2006/main" count="246" uniqueCount="111">
  <si>
    <t>Product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</si>
  <si>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</si>
  <si>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</si>
  <si>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</si>
  <si>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</si>
  <si>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</si>
  <si>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</si>
  <si>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</si>
  <si>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</si>
  <si>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</si>
  <si>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</si>
  <si>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a</t>
  </si>
  <si>
    <t>b</t>
  </si>
  <si>
    <t>Demand</t>
  </si>
  <si>
    <t>Price</t>
  </si>
  <si>
    <t>&gt;=</t>
  </si>
  <si>
    <t>demand = a*exp(-bx)</t>
  </si>
  <si>
    <t>Revenue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</si>
  <si>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</si>
  <si>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</si>
  <si>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</si>
  <si>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</si>
  <si>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</si>
  <si>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</si>
  <si>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</si>
  <si>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</si>
  <si>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</si>
  <si>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</si>
  <si>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</si>
  <si>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</si>
  <si>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</si>
  <si>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</si>
  <si>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</si>
  <si>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</si>
  <si>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</si>
  <si>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</si>
  <si>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</si>
  <si>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</si>
  <si>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</si>
  <si>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</si>
  <si>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</si>
  <si>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</si>
  <si>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</si>
  <si>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</si>
  <si>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</si>
  <si>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</si>
  <si>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</si>
  <si>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</si>
  <si>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</si>
  <si>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</si>
  <si>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</si>
  <si>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</si>
  <si>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</si>
  <si>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</si>
  <si>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</si>
  <si>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</si>
  <si>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</si>
  <si>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</si>
  <si>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</si>
  <si>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</si>
  <si>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</si>
  <si>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</si>
  <si>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</si>
  <si>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</si>
  <si>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</si>
  <si>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</si>
  <si>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</si>
  <si>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</si>
  <si>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</si>
  <si>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</si>
  <si>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</si>
  <si>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</si>
  <si>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</si>
  <si>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</si>
  <si>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</si>
  <si>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</si>
  <si>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</si>
  <si>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</si>
  <si>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</si>
  <si>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</si>
  <si>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</si>
  <si>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</si>
  <si>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</si>
  <si>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</si>
  <si>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</si>
  <si>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</si>
  <si>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</si>
  <si>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</si>
  <si>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</si>
  <si>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</si>
  <si>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</si>
  <si>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</si>
  <si>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</si>
  <si>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</si>
  <si>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</si>
  <si>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</si>
  <si>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</si>
  <si>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</si>
  <si>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</si>
  <si>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</si>
  <si>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</si>
  <si>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</si>
  <si>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</si>
  <si>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</si>
  <si>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</si>
  <si>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</si>
  <si>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</si>
  <si>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</si>
  <si>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 xml:space="preserve"> </t>
  </si>
  <si>
    <t>GRG</t>
  </si>
  <si>
    <t>Genetic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</si>
</sst>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5474-E79C-423D-A36B-E09F09EE222D}">
  <dimension ref="A1:C1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11</v>
      </c>
      <c r="C1" t="s">
        <v>12</v>
      </c>
    </row>
    <row r="2" spans="1:3" x14ac:dyDescent="0.3">
      <c r="A2" t="s">
        <v>1</v>
      </c>
      <c r="B2">
        <v>34.880000000000003</v>
      </c>
      <c r="C2">
        <v>-0.1124</v>
      </c>
    </row>
    <row r="3" spans="1:3" x14ac:dyDescent="0.3">
      <c r="A3" t="s">
        <v>2</v>
      </c>
      <c r="B3">
        <v>14.32</v>
      </c>
      <c r="C3">
        <v>-0.17949999999999999</v>
      </c>
    </row>
    <row r="4" spans="1:3" x14ac:dyDescent="0.3">
      <c r="A4" t="s">
        <v>3</v>
      </c>
      <c r="B4">
        <v>12.78</v>
      </c>
      <c r="C4">
        <v>-9.7600000000000006E-2</v>
      </c>
    </row>
    <row r="5" spans="1:3" x14ac:dyDescent="0.3">
      <c r="A5" t="s">
        <v>4</v>
      </c>
      <c r="B5">
        <v>9.08</v>
      </c>
      <c r="C5">
        <v>-4.5400000000000003E-2</v>
      </c>
    </row>
    <row r="6" spans="1:3" x14ac:dyDescent="0.3">
      <c r="A6" t="s">
        <v>5</v>
      </c>
      <c r="B6">
        <v>28.1</v>
      </c>
      <c r="C6">
        <v>-4.0000000000000002E-4</v>
      </c>
    </row>
    <row r="7" spans="1:3" x14ac:dyDescent="0.3">
      <c r="A7" t="s">
        <v>6</v>
      </c>
      <c r="B7">
        <v>30.75</v>
      </c>
      <c r="C7">
        <v>-3.04E-2</v>
      </c>
    </row>
    <row r="8" spans="1:3" x14ac:dyDescent="0.3">
      <c r="A8" t="s">
        <v>7</v>
      </c>
      <c r="B8">
        <v>30.4</v>
      </c>
      <c r="C8">
        <v>-0.1084</v>
      </c>
    </row>
    <row r="9" spans="1:3" x14ac:dyDescent="0.3">
      <c r="A9" t="s">
        <v>8</v>
      </c>
      <c r="B9">
        <v>40.97</v>
      </c>
      <c r="C9">
        <v>-0.1772</v>
      </c>
    </row>
    <row r="10" spans="1:3" x14ac:dyDescent="0.3">
      <c r="A10" t="s">
        <v>9</v>
      </c>
      <c r="B10">
        <v>28.53</v>
      </c>
      <c r="C10">
        <v>-0.16420000000000001</v>
      </c>
    </row>
    <row r="11" spans="1:3" x14ac:dyDescent="0.3">
      <c r="A11" t="s">
        <v>10</v>
      </c>
      <c r="B11">
        <v>36.25</v>
      </c>
      <c r="C11">
        <v>-1.7600000000000001E-2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4F1C-A9E7-4A84-ABEE-1388AC883C5C}">
  <dimension ref="A1:C1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11</v>
      </c>
      <c r="C1" t="s">
        <v>12</v>
      </c>
    </row>
    <row r="2" spans="1:3" x14ac:dyDescent="0.3">
      <c r="A2" t="s">
        <v>1</v>
      </c>
      <c r="B2">
        <v>34.880000000000003</v>
      </c>
      <c r="C2">
        <v>-0.1124</v>
      </c>
    </row>
    <row r="3" spans="1:3" x14ac:dyDescent="0.3">
      <c r="A3" t="s">
        <v>2</v>
      </c>
      <c r="B3">
        <v>14.32</v>
      </c>
      <c r="C3">
        <v>-0.17949999999999999</v>
      </c>
    </row>
    <row r="4" spans="1:3" x14ac:dyDescent="0.3">
      <c r="A4" t="s">
        <v>3</v>
      </c>
      <c r="B4">
        <v>12.78</v>
      </c>
      <c r="C4">
        <v>-9.7600000000000006E-2</v>
      </c>
    </row>
    <row r="5" spans="1:3" x14ac:dyDescent="0.3">
      <c r="A5" t="s">
        <v>4</v>
      </c>
      <c r="B5">
        <v>9.08</v>
      </c>
      <c r="C5">
        <v>-4.5400000000000003E-2</v>
      </c>
    </row>
    <row r="6" spans="1:3" x14ac:dyDescent="0.3">
      <c r="A6" t="s">
        <v>5</v>
      </c>
      <c r="B6">
        <v>28.1</v>
      </c>
      <c r="C6">
        <v>-4.0000000000000002E-4</v>
      </c>
    </row>
    <row r="7" spans="1:3" x14ac:dyDescent="0.3">
      <c r="A7" t="s">
        <v>6</v>
      </c>
      <c r="B7">
        <v>30.75</v>
      </c>
      <c r="C7">
        <v>-3.04E-2</v>
      </c>
    </row>
    <row r="8" spans="1:3" x14ac:dyDescent="0.3">
      <c r="A8" t="s">
        <v>7</v>
      </c>
      <c r="B8">
        <v>30.4</v>
      </c>
      <c r="C8">
        <v>-0.1084</v>
      </c>
    </row>
    <row r="9" spans="1:3" x14ac:dyDescent="0.3">
      <c r="A9" t="s">
        <v>8</v>
      </c>
      <c r="B9">
        <v>40.97</v>
      </c>
      <c r="C9">
        <v>-0.1772</v>
      </c>
    </row>
    <row r="10" spans="1:3" x14ac:dyDescent="0.3">
      <c r="A10" t="s">
        <v>9</v>
      </c>
      <c r="B10">
        <v>28.53</v>
      </c>
      <c r="C10">
        <v>-0.16420000000000001</v>
      </c>
    </row>
    <row r="11" spans="1:3" x14ac:dyDescent="0.3">
      <c r="A11" t="s">
        <v>10</v>
      </c>
      <c r="B11">
        <v>36.25</v>
      </c>
      <c r="C11">
        <v>-1.7600000000000001E-2</v>
      </c>
    </row>
    <row r="12" spans="1:3" x14ac:dyDescent="0.3">
      <c r="A12" t="s">
        <v>18</v>
      </c>
      <c r="B12">
        <v>15.14</v>
      </c>
      <c r="C12">
        <v>-0.1216</v>
      </c>
    </row>
    <row r="13" spans="1:3" x14ac:dyDescent="0.3">
      <c r="A13" t="s">
        <v>19</v>
      </c>
      <c r="B13">
        <v>14.58</v>
      </c>
      <c r="C13">
        <v>-9.9599999999999994E-2</v>
      </c>
    </row>
    <row r="14" spans="1:3" x14ac:dyDescent="0.3">
      <c r="A14" t="s">
        <v>20</v>
      </c>
      <c r="B14">
        <v>5.25</v>
      </c>
      <c r="C14">
        <v>-0.15129999999999999</v>
      </c>
    </row>
    <row r="15" spans="1:3" x14ac:dyDescent="0.3">
      <c r="A15" t="s">
        <v>21</v>
      </c>
      <c r="B15">
        <v>37.56</v>
      </c>
      <c r="C15">
        <v>-0.14169999999999999</v>
      </c>
    </row>
    <row r="16" spans="1:3" x14ac:dyDescent="0.3">
      <c r="A16" t="s">
        <v>22</v>
      </c>
      <c r="B16">
        <v>28.24</v>
      </c>
      <c r="C16">
        <v>-5.4000000000000003E-3</v>
      </c>
    </row>
    <row r="17" spans="1:3" x14ac:dyDescent="0.3">
      <c r="A17" t="s">
        <v>23</v>
      </c>
      <c r="B17">
        <v>31.57</v>
      </c>
      <c r="C17">
        <v>-0.14030000000000001</v>
      </c>
    </row>
    <row r="18" spans="1:3" x14ac:dyDescent="0.3">
      <c r="A18" t="s">
        <v>24</v>
      </c>
      <c r="B18">
        <v>37.229999999999997</v>
      </c>
      <c r="C18">
        <v>-0.17130000000000001</v>
      </c>
    </row>
    <row r="19" spans="1:3" x14ac:dyDescent="0.3">
      <c r="A19" t="s">
        <v>25</v>
      </c>
      <c r="B19">
        <v>20.309999999999999</v>
      </c>
      <c r="C19">
        <v>-0.1767</v>
      </c>
    </row>
    <row r="20" spans="1:3" x14ac:dyDescent="0.3">
      <c r="A20" t="s">
        <v>26</v>
      </c>
      <c r="B20">
        <v>16.03</v>
      </c>
      <c r="C20">
        <v>-4.2000000000000003E-2</v>
      </c>
    </row>
    <row r="21" spans="1:3" x14ac:dyDescent="0.3">
      <c r="A21" t="s">
        <v>27</v>
      </c>
      <c r="B21">
        <v>37.340000000000003</v>
      </c>
      <c r="C21">
        <v>-5.5800000000000002E-2</v>
      </c>
    </row>
    <row r="22" spans="1:3" x14ac:dyDescent="0.3">
      <c r="A22" t="s">
        <v>28</v>
      </c>
      <c r="B22">
        <v>17.89</v>
      </c>
      <c r="C22">
        <v>-0.15040000000000001</v>
      </c>
    </row>
    <row r="23" spans="1:3" x14ac:dyDescent="0.3">
      <c r="A23" t="s">
        <v>29</v>
      </c>
      <c r="B23">
        <v>17.100000000000001</v>
      </c>
      <c r="C23">
        <v>-0.1865</v>
      </c>
    </row>
    <row r="24" spans="1:3" x14ac:dyDescent="0.3">
      <c r="A24" t="s">
        <v>30</v>
      </c>
      <c r="B24">
        <v>7.9</v>
      </c>
      <c r="C24">
        <v>-0.15679999999999999</v>
      </c>
    </row>
    <row r="25" spans="1:3" x14ac:dyDescent="0.3">
      <c r="A25" t="s">
        <v>31</v>
      </c>
      <c r="B25">
        <v>43.26</v>
      </c>
      <c r="C25">
        <v>-0.14990000000000001</v>
      </c>
    </row>
    <row r="26" spans="1:3" x14ac:dyDescent="0.3">
      <c r="A26" t="s">
        <v>32</v>
      </c>
      <c r="B26">
        <v>11.12</v>
      </c>
      <c r="C26">
        <v>-0.14330000000000001</v>
      </c>
    </row>
    <row r="27" spans="1:3" x14ac:dyDescent="0.3">
      <c r="A27" t="s">
        <v>33</v>
      </c>
      <c r="B27">
        <v>31.01</v>
      </c>
      <c r="C27">
        <v>-3.6299999999999999E-2</v>
      </c>
    </row>
    <row r="28" spans="1:3" x14ac:dyDescent="0.3">
      <c r="A28" t="s">
        <v>34</v>
      </c>
      <c r="B28">
        <v>36.71</v>
      </c>
      <c r="C28">
        <v>-7.2499999999999995E-2</v>
      </c>
    </row>
    <row r="29" spans="1:3" x14ac:dyDescent="0.3">
      <c r="A29" t="s">
        <v>35</v>
      </c>
      <c r="B29">
        <v>42.05</v>
      </c>
      <c r="C29">
        <v>-0.1208</v>
      </c>
    </row>
    <row r="30" spans="1:3" x14ac:dyDescent="0.3">
      <c r="A30" t="s">
        <v>36</v>
      </c>
      <c r="B30">
        <v>10.62</v>
      </c>
      <c r="C30">
        <v>-9.1000000000000004E-3</v>
      </c>
    </row>
    <row r="31" spans="1:3" x14ac:dyDescent="0.3">
      <c r="A31" t="s">
        <v>37</v>
      </c>
      <c r="B31">
        <v>49</v>
      </c>
      <c r="C31">
        <v>-0.1777</v>
      </c>
    </row>
    <row r="32" spans="1:3" x14ac:dyDescent="0.3">
      <c r="A32" t="s">
        <v>38</v>
      </c>
      <c r="B32">
        <v>23.04</v>
      </c>
      <c r="C32">
        <v>-0.127</v>
      </c>
    </row>
    <row r="33" spans="1:3" x14ac:dyDescent="0.3">
      <c r="A33" t="s">
        <v>39</v>
      </c>
      <c r="B33">
        <v>27.39</v>
      </c>
      <c r="C33">
        <v>-5.9799999999999999E-2</v>
      </c>
    </row>
    <row r="34" spans="1:3" x14ac:dyDescent="0.3">
      <c r="A34" t="s">
        <v>40</v>
      </c>
      <c r="B34">
        <v>41.7</v>
      </c>
      <c r="C34">
        <v>-0.10249999999999999</v>
      </c>
    </row>
    <row r="35" spans="1:3" x14ac:dyDescent="0.3">
      <c r="A35" t="s">
        <v>41</v>
      </c>
      <c r="B35">
        <v>12.88</v>
      </c>
      <c r="C35">
        <v>-0.1103</v>
      </c>
    </row>
    <row r="36" spans="1:3" x14ac:dyDescent="0.3">
      <c r="A36" t="s">
        <v>42</v>
      </c>
      <c r="B36">
        <v>13.26</v>
      </c>
      <c r="C36">
        <v>-1.61E-2</v>
      </c>
    </row>
    <row r="37" spans="1:3" x14ac:dyDescent="0.3">
      <c r="A37" t="s">
        <v>43</v>
      </c>
      <c r="B37">
        <v>26.2</v>
      </c>
      <c r="C37">
        <v>-9.2899999999999996E-2</v>
      </c>
    </row>
    <row r="38" spans="1:3" x14ac:dyDescent="0.3">
      <c r="A38" t="s">
        <v>44</v>
      </c>
      <c r="B38">
        <v>15.4</v>
      </c>
      <c r="C38">
        <v>-0.1305</v>
      </c>
    </row>
    <row r="39" spans="1:3" x14ac:dyDescent="0.3">
      <c r="A39" t="s">
        <v>45</v>
      </c>
      <c r="B39">
        <v>34.880000000000003</v>
      </c>
      <c r="C39">
        <v>-6.5299999999999997E-2</v>
      </c>
    </row>
    <row r="40" spans="1:3" x14ac:dyDescent="0.3">
      <c r="A40" t="s">
        <v>46</v>
      </c>
      <c r="B40">
        <v>29.42</v>
      </c>
      <c r="C40">
        <v>-5.5500000000000001E-2</v>
      </c>
    </row>
    <row r="41" spans="1:3" x14ac:dyDescent="0.3">
      <c r="A41" t="s">
        <v>47</v>
      </c>
      <c r="B41">
        <v>39.46</v>
      </c>
      <c r="C41">
        <v>-4.6699999999999998E-2</v>
      </c>
    </row>
    <row r="42" spans="1:3" x14ac:dyDescent="0.3">
      <c r="A42" t="s">
        <v>48</v>
      </c>
      <c r="B42">
        <v>36.76</v>
      </c>
      <c r="C42">
        <v>-0.1991</v>
      </c>
    </row>
    <row r="43" spans="1:3" x14ac:dyDescent="0.3">
      <c r="A43" t="s">
        <v>49</v>
      </c>
      <c r="B43">
        <v>42.87</v>
      </c>
      <c r="C43">
        <v>-3.0200000000000001E-2</v>
      </c>
    </row>
    <row r="44" spans="1:3" x14ac:dyDescent="0.3">
      <c r="A44" t="s">
        <v>50</v>
      </c>
      <c r="B44">
        <v>44.79</v>
      </c>
      <c r="C44">
        <v>-7.4899999999999994E-2</v>
      </c>
    </row>
    <row r="45" spans="1:3" x14ac:dyDescent="0.3">
      <c r="A45" t="s">
        <v>51</v>
      </c>
      <c r="B45">
        <v>30.01</v>
      </c>
      <c r="C45">
        <v>-0.1661</v>
      </c>
    </row>
    <row r="46" spans="1:3" x14ac:dyDescent="0.3">
      <c r="A46" t="s">
        <v>52</v>
      </c>
      <c r="B46">
        <v>43.53</v>
      </c>
      <c r="C46">
        <v>-6.4600000000000005E-2</v>
      </c>
    </row>
    <row r="47" spans="1:3" x14ac:dyDescent="0.3">
      <c r="A47" t="s">
        <v>53</v>
      </c>
      <c r="B47">
        <v>39.200000000000003</v>
      </c>
      <c r="C47">
        <v>-0.1525</v>
      </c>
    </row>
    <row r="48" spans="1:3" x14ac:dyDescent="0.3">
      <c r="A48" t="s">
        <v>54</v>
      </c>
      <c r="B48">
        <v>31.99</v>
      </c>
      <c r="C48">
        <v>-2.5000000000000001E-2</v>
      </c>
    </row>
    <row r="49" spans="1:3" x14ac:dyDescent="0.3">
      <c r="A49" t="s">
        <v>55</v>
      </c>
      <c r="B49">
        <v>17.55</v>
      </c>
      <c r="C49">
        <v>-0.18859999999999999</v>
      </c>
    </row>
    <row r="50" spans="1:3" x14ac:dyDescent="0.3">
      <c r="A50" t="s">
        <v>56</v>
      </c>
      <c r="B50">
        <v>16.100000000000001</v>
      </c>
      <c r="C50">
        <v>-0.13139999999999999</v>
      </c>
    </row>
    <row r="51" spans="1:3" x14ac:dyDescent="0.3">
      <c r="A51" t="s">
        <v>57</v>
      </c>
      <c r="B51">
        <v>33.36</v>
      </c>
      <c r="C51">
        <v>-1.11E-2</v>
      </c>
    </row>
    <row r="52" spans="1:3" x14ac:dyDescent="0.3">
      <c r="A52" t="s">
        <v>58</v>
      </c>
      <c r="B52">
        <v>32.01</v>
      </c>
      <c r="C52">
        <v>-6.7400000000000002E-2</v>
      </c>
    </row>
    <row r="53" spans="1:3" x14ac:dyDescent="0.3">
      <c r="A53" t="s">
        <v>59</v>
      </c>
      <c r="B53">
        <v>21.96</v>
      </c>
      <c r="C53">
        <v>-3.2000000000000001E-2</v>
      </c>
    </row>
    <row r="54" spans="1:3" x14ac:dyDescent="0.3">
      <c r="A54" t="s">
        <v>60</v>
      </c>
      <c r="B54">
        <v>36.89</v>
      </c>
      <c r="C54">
        <v>-6.08E-2</v>
      </c>
    </row>
    <row r="55" spans="1:3" x14ac:dyDescent="0.3">
      <c r="A55" t="s">
        <v>61</v>
      </c>
      <c r="B55">
        <v>15.66</v>
      </c>
      <c r="C55">
        <v>-7.7100000000000002E-2</v>
      </c>
    </row>
    <row r="56" spans="1:3" x14ac:dyDescent="0.3">
      <c r="A56" t="s">
        <v>62</v>
      </c>
      <c r="B56">
        <v>43.61</v>
      </c>
      <c r="C56">
        <v>-0.1361</v>
      </c>
    </row>
    <row r="57" spans="1:3" x14ac:dyDescent="0.3">
      <c r="A57" t="s">
        <v>63</v>
      </c>
      <c r="B57">
        <v>14.36</v>
      </c>
      <c r="C57">
        <v>-0.1067</v>
      </c>
    </row>
    <row r="58" spans="1:3" x14ac:dyDescent="0.3">
      <c r="A58" t="s">
        <v>64</v>
      </c>
      <c r="B58">
        <v>19.09</v>
      </c>
      <c r="C58">
        <v>-0.108</v>
      </c>
    </row>
    <row r="59" spans="1:3" x14ac:dyDescent="0.3">
      <c r="A59" t="s">
        <v>65</v>
      </c>
      <c r="B59">
        <v>28.66</v>
      </c>
      <c r="C59">
        <v>-0.1404</v>
      </c>
    </row>
    <row r="60" spans="1:3" x14ac:dyDescent="0.3">
      <c r="A60" t="s">
        <v>66</v>
      </c>
      <c r="B60">
        <v>22.91</v>
      </c>
      <c r="C60">
        <v>-5.6500000000000002E-2</v>
      </c>
    </row>
    <row r="61" spans="1:3" x14ac:dyDescent="0.3">
      <c r="A61" t="s">
        <v>67</v>
      </c>
      <c r="B61">
        <v>29.65</v>
      </c>
      <c r="C61">
        <v>-4.9599999999999998E-2</v>
      </c>
    </row>
    <row r="62" spans="1:3" x14ac:dyDescent="0.3">
      <c r="A62" t="s">
        <v>68</v>
      </c>
      <c r="B62">
        <v>13.21</v>
      </c>
      <c r="C62">
        <v>-6.0000000000000001E-3</v>
      </c>
    </row>
    <row r="63" spans="1:3" x14ac:dyDescent="0.3">
      <c r="A63" t="s">
        <v>69</v>
      </c>
      <c r="B63">
        <v>12.71</v>
      </c>
      <c r="C63">
        <v>-0.15090000000000001</v>
      </c>
    </row>
    <row r="64" spans="1:3" x14ac:dyDescent="0.3">
      <c r="A64" t="s">
        <v>70</v>
      </c>
      <c r="B64">
        <v>49.67</v>
      </c>
      <c r="C64">
        <v>-4.9500000000000002E-2</v>
      </c>
    </row>
    <row r="65" spans="1:3" x14ac:dyDescent="0.3">
      <c r="A65" t="s">
        <v>71</v>
      </c>
      <c r="B65">
        <v>28.11</v>
      </c>
      <c r="C65">
        <v>-8.5199999999999998E-2</v>
      </c>
    </row>
    <row r="66" spans="1:3" x14ac:dyDescent="0.3">
      <c r="A66" t="s">
        <v>72</v>
      </c>
      <c r="B66">
        <v>12.74</v>
      </c>
      <c r="C66">
        <v>-7.0800000000000002E-2</v>
      </c>
    </row>
    <row r="67" spans="1:3" x14ac:dyDescent="0.3">
      <c r="A67" t="s">
        <v>73</v>
      </c>
      <c r="B67">
        <v>22.22</v>
      </c>
      <c r="C67">
        <v>-7.7000000000000002E-3</v>
      </c>
    </row>
    <row r="68" spans="1:3" x14ac:dyDescent="0.3">
      <c r="A68" t="s">
        <v>74</v>
      </c>
      <c r="B68">
        <v>5.14</v>
      </c>
      <c r="C68">
        <v>-5.5399999999999998E-2</v>
      </c>
    </row>
    <row r="69" spans="1:3" x14ac:dyDescent="0.3">
      <c r="A69" t="s">
        <v>75</v>
      </c>
      <c r="B69">
        <v>11.7</v>
      </c>
      <c r="C69">
        <v>-0.1817</v>
      </c>
    </row>
    <row r="70" spans="1:3" x14ac:dyDescent="0.3">
      <c r="A70" t="s">
        <v>76</v>
      </c>
      <c r="B70">
        <v>24.65</v>
      </c>
      <c r="C70">
        <v>-0.12740000000000001</v>
      </c>
    </row>
    <row r="71" spans="1:3" x14ac:dyDescent="0.3">
      <c r="A71" t="s">
        <v>77</v>
      </c>
      <c r="B71">
        <v>35.68</v>
      </c>
      <c r="C71">
        <v>-4.7100000000000003E-2</v>
      </c>
    </row>
    <row r="72" spans="1:3" x14ac:dyDescent="0.3">
      <c r="A72" t="s">
        <v>78</v>
      </c>
      <c r="B72">
        <v>7.47</v>
      </c>
      <c r="C72">
        <v>-0.11849999999999999</v>
      </c>
    </row>
    <row r="73" spans="1:3" x14ac:dyDescent="0.3">
      <c r="A73" t="s">
        <v>79</v>
      </c>
      <c r="B73">
        <v>17.079999999999998</v>
      </c>
      <c r="C73">
        <v>-9.0899999999999995E-2</v>
      </c>
    </row>
    <row r="74" spans="1:3" x14ac:dyDescent="0.3">
      <c r="A74" t="s">
        <v>80</v>
      </c>
      <c r="B74">
        <v>31.02</v>
      </c>
      <c r="C74">
        <v>-9.0200000000000002E-2</v>
      </c>
    </row>
    <row r="75" spans="1:3" x14ac:dyDescent="0.3">
      <c r="A75" t="s">
        <v>81</v>
      </c>
      <c r="B75">
        <v>11.31</v>
      </c>
      <c r="C75">
        <v>-0.15090000000000001</v>
      </c>
    </row>
    <row r="76" spans="1:3" x14ac:dyDescent="0.3">
      <c r="A76" t="s">
        <v>82</v>
      </c>
      <c r="B76">
        <v>7.19</v>
      </c>
      <c r="C76">
        <v>-0.1318</v>
      </c>
    </row>
    <row r="77" spans="1:3" x14ac:dyDescent="0.3">
      <c r="A77" t="s">
        <v>83</v>
      </c>
      <c r="B77">
        <v>7.5</v>
      </c>
      <c r="C77">
        <v>-6.3100000000000003E-2</v>
      </c>
    </row>
    <row r="78" spans="1:3" x14ac:dyDescent="0.3">
      <c r="A78" t="s">
        <v>84</v>
      </c>
      <c r="B78">
        <v>34.54</v>
      </c>
      <c r="C78">
        <v>-8.5699999999999998E-2</v>
      </c>
    </row>
    <row r="79" spans="1:3" x14ac:dyDescent="0.3">
      <c r="A79" t="s">
        <v>85</v>
      </c>
      <c r="B79">
        <v>31.77</v>
      </c>
      <c r="C79">
        <v>-0.13700000000000001</v>
      </c>
    </row>
    <row r="80" spans="1:3" x14ac:dyDescent="0.3">
      <c r="A80" t="s">
        <v>86</v>
      </c>
      <c r="B80">
        <v>7.65</v>
      </c>
      <c r="C80">
        <v>-3.1899999999999998E-2</v>
      </c>
    </row>
    <row r="81" spans="1:3" x14ac:dyDescent="0.3">
      <c r="A81" t="s">
        <v>87</v>
      </c>
      <c r="B81">
        <v>5.09</v>
      </c>
      <c r="C81">
        <v>-8.2400000000000001E-2</v>
      </c>
    </row>
    <row r="82" spans="1:3" x14ac:dyDescent="0.3">
      <c r="A82" t="s">
        <v>88</v>
      </c>
      <c r="B82">
        <v>47.38</v>
      </c>
      <c r="C82">
        <v>-0.1628</v>
      </c>
    </row>
    <row r="83" spans="1:3" x14ac:dyDescent="0.3">
      <c r="A83" t="s">
        <v>89</v>
      </c>
      <c r="B83">
        <v>34.99</v>
      </c>
      <c r="C83">
        <v>-7.1300000000000002E-2</v>
      </c>
    </row>
    <row r="84" spans="1:3" x14ac:dyDescent="0.3">
      <c r="A84" t="s">
        <v>90</v>
      </c>
      <c r="B84">
        <v>34.049999999999997</v>
      </c>
      <c r="C84">
        <v>-0.1114</v>
      </c>
    </row>
    <row r="85" spans="1:3" x14ac:dyDescent="0.3">
      <c r="A85" t="s">
        <v>91</v>
      </c>
      <c r="B85">
        <v>47.67</v>
      </c>
      <c r="C85">
        <v>-3.5999999999999997E-2</v>
      </c>
    </row>
    <row r="86" spans="1:3" x14ac:dyDescent="0.3">
      <c r="A86" t="s">
        <v>92</v>
      </c>
      <c r="B86">
        <v>18.399999999999999</v>
      </c>
      <c r="C86">
        <v>-5.8900000000000001E-2</v>
      </c>
    </row>
    <row r="87" spans="1:3" x14ac:dyDescent="0.3">
      <c r="A87" t="s">
        <v>93</v>
      </c>
      <c r="B87">
        <v>31.23</v>
      </c>
      <c r="C87">
        <v>-0.1489</v>
      </c>
    </row>
    <row r="88" spans="1:3" x14ac:dyDescent="0.3">
      <c r="A88" t="s">
        <v>94</v>
      </c>
      <c r="B88">
        <v>37.229999999999997</v>
      </c>
      <c r="C88">
        <v>-0.13009999999999999</v>
      </c>
    </row>
    <row r="89" spans="1:3" x14ac:dyDescent="0.3">
      <c r="A89" t="s">
        <v>95</v>
      </c>
      <c r="B89">
        <v>27.87</v>
      </c>
      <c r="C89">
        <v>-0.14929999999999999</v>
      </c>
    </row>
    <row r="90" spans="1:3" x14ac:dyDescent="0.3">
      <c r="A90" t="s">
        <v>96</v>
      </c>
      <c r="B90">
        <v>47.84</v>
      </c>
      <c r="C90">
        <v>-8.14E-2</v>
      </c>
    </row>
    <row r="91" spans="1:3" x14ac:dyDescent="0.3">
      <c r="A91" t="s">
        <v>97</v>
      </c>
      <c r="B91">
        <v>21.9</v>
      </c>
      <c r="C91">
        <v>-8.8499999999999995E-2</v>
      </c>
    </row>
    <row r="92" spans="1:3" x14ac:dyDescent="0.3">
      <c r="A92" t="s">
        <v>98</v>
      </c>
      <c r="B92">
        <v>44.45</v>
      </c>
      <c r="C92">
        <v>-5.4399999999999997E-2</v>
      </c>
    </row>
    <row r="93" spans="1:3" x14ac:dyDescent="0.3">
      <c r="A93" t="s">
        <v>99</v>
      </c>
      <c r="B93">
        <v>43.86</v>
      </c>
      <c r="C93">
        <v>-4.4699999999999997E-2</v>
      </c>
    </row>
    <row r="94" spans="1:3" x14ac:dyDescent="0.3">
      <c r="A94" t="s">
        <v>100</v>
      </c>
      <c r="B94">
        <v>13.93</v>
      </c>
      <c r="C94">
        <v>-0.18659999999999999</v>
      </c>
    </row>
    <row r="95" spans="1:3" x14ac:dyDescent="0.3">
      <c r="A95" t="s">
        <v>101</v>
      </c>
      <c r="B95">
        <v>20.399999999999999</v>
      </c>
      <c r="C95">
        <v>-4.1500000000000002E-2</v>
      </c>
    </row>
    <row r="96" spans="1:3" x14ac:dyDescent="0.3">
      <c r="A96" t="s">
        <v>102</v>
      </c>
      <c r="B96">
        <v>48.47</v>
      </c>
      <c r="C96">
        <v>-1.61E-2</v>
      </c>
    </row>
    <row r="97" spans="1:3" x14ac:dyDescent="0.3">
      <c r="A97" t="s">
        <v>103</v>
      </c>
      <c r="B97">
        <v>11.25</v>
      </c>
      <c r="C97">
        <v>-0.1525</v>
      </c>
    </row>
    <row r="98" spans="1:3" x14ac:dyDescent="0.3">
      <c r="A98" t="s">
        <v>104</v>
      </c>
      <c r="B98">
        <v>11.37</v>
      </c>
      <c r="C98">
        <v>-5.3100000000000001E-2</v>
      </c>
    </row>
    <row r="99" spans="1:3" x14ac:dyDescent="0.3">
      <c r="A99" t="s">
        <v>105</v>
      </c>
      <c r="B99">
        <v>15.35</v>
      </c>
      <c r="C99">
        <v>-5.3600000000000002E-2</v>
      </c>
    </row>
    <row r="100" spans="1:3" x14ac:dyDescent="0.3">
      <c r="A100" t="s">
        <v>106</v>
      </c>
      <c r="B100">
        <v>32.6</v>
      </c>
      <c r="C100">
        <v>-0.19939999999999999</v>
      </c>
    </row>
    <row r="101" spans="1:3" x14ac:dyDescent="0.3">
      <c r="A101" t="s">
        <v>107</v>
      </c>
      <c r="B101">
        <v>40.67</v>
      </c>
      <c r="C101">
        <v>-8.77E-2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47DC-64DE-4098-AC4D-DCA89404EF31}">
  <dimension ref="A1:M13"/>
  <sheetViews>
    <sheetView workbookViewId="0"/>
  </sheetViews>
  <sheetFormatPr defaultRowHeight="14.4" x14ac:dyDescent="0.3"/>
  <sheetData>
    <row r="1" spans="1:13" x14ac:dyDescent="0.3">
      <c r="A1" t="s">
        <v>108</v>
      </c>
      <c r="C1" t="s">
        <v>16</v>
      </c>
    </row>
    <row r="2" spans="1:13" x14ac:dyDescent="0.3">
      <c r="B2" s="1" t="s">
        <v>0</v>
      </c>
      <c r="C2" s="1" t="s">
        <v>11</v>
      </c>
      <c r="D2" s="1" t="s">
        <v>12</v>
      </c>
      <c r="E2" s="1" t="s">
        <v>14</v>
      </c>
      <c r="F2" s="1" t="s">
        <v>13</v>
      </c>
      <c r="G2" s="1" t="s">
        <v>17</v>
      </c>
      <c r="L2" t="s">
        <v>109</v>
      </c>
      <c r="M2" t="s">
        <v>110</v>
      </c>
    </row>
    <row r="3" spans="1:13" x14ac:dyDescent="0.3">
      <c r="B3" s="1"/>
      <c r="C3" s="1"/>
      <c r="D3" s="1"/>
      <c r="E3" s="9">
        <f>SUM(E4:E13)</f>
        <v>95</v>
      </c>
      <c r="F3" s="3"/>
      <c r="G3" s="10">
        <f>SUM(G4:G13)</f>
        <v>2001.0422836074169</v>
      </c>
      <c r="H3" s="3" t="s">
        <v>15</v>
      </c>
      <c r="I3" s="3">
        <v>2000</v>
      </c>
      <c r="L3" s="12">
        <v>95</v>
      </c>
      <c r="M3" s="12">
        <v>95</v>
      </c>
    </row>
    <row r="4" spans="1:13" x14ac:dyDescent="0.3">
      <c r="B4" s="11" t="s">
        <v>1</v>
      </c>
      <c r="C4" s="11">
        <v>34.880000000000003</v>
      </c>
      <c r="D4" s="11">
        <v>-0.1124</v>
      </c>
      <c r="E4" s="4">
        <v>6</v>
      </c>
      <c r="F4" s="2">
        <f t="shared" ref="F4:F13" si="0">C4*EXP(D4*E4)</f>
        <v>17.770034773688895</v>
      </c>
      <c r="G4" s="2">
        <f t="shared" ref="G4:G13" si="1">F4*E4</f>
        <v>106.62020864213338</v>
      </c>
      <c r="L4">
        <v>5</v>
      </c>
      <c r="M4">
        <v>6</v>
      </c>
    </row>
    <row r="5" spans="1:13" x14ac:dyDescent="0.3">
      <c r="B5" s="11" t="s">
        <v>2</v>
      </c>
      <c r="C5" s="11">
        <v>14.32</v>
      </c>
      <c r="D5" s="11">
        <v>-0.17949999999999999</v>
      </c>
      <c r="E5" s="6">
        <v>1</v>
      </c>
      <c r="F5" s="5">
        <f t="shared" si="0"/>
        <v>11.967051457506019</v>
      </c>
      <c r="G5" s="5">
        <f t="shared" si="1"/>
        <v>11.967051457506019</v>
      </c>
      <c r="L5">
        <v>2</v>
      </c>
      <c r="M5">
        <v>1</v>
      </c>
    </row>
    <row r="6" spans="1:13" x14ac:dyDescent="0.3">
      <c r="B6" s="11" t="s">
        <v>3</v>
      </c>
      <c r="C6" s="11">
        <v>12.78</v>
      </c>
      <c r="D6" s="11">
        <v>-9.7600000000000006E-2</v>
      </c>
      <c r="E6" s="6">
        <v>3</v>
      </c>
      <c r="F6" s="5">
        <f t="shared" si="0"/>
        <v>9.5360699813980823</v>
      </c>
      <c r="G6" s="5">
        <f t="shared" si="1"/>
        <v>28.608209944194247</v>
      </c>
      <c r="L6">
        <v>3</v>
      </c>
      <c r="M6">
        <v>3</v>
      </c>
    </row>
    <row r="7" spans="1:13" x14ac:dyDescent="0.3">
      <c r="B7" s="11" t="s">
        <v>4</v>
      </c>
      <c r="C7" s="11">
        <v>9.08</v>
      </c>
      <c r="D7" s="11">
        <v>-4.5400000000000003E-2</v>
      </c>
      <c r="E7" s="6">
        <v>4</v>
      </c>
      <c r="F7" s="5">
        <f t="shared" si="0"/>
        <v>7.5721284166520251</v>
      </c>
      <c r="G7" s="5">
        <f t="shared" si="1"/>
        <v>30.2885136666081</v>
      </c>
      <c r="L7">
        <v>2</v>
      </c>
      <c r="M7">
        <v>4</v>
      </c>
    </row>
    <row r="8" spans="1:13" x14ac:dyDescent="0.3">
      <c r="B8" s="11" t="s">
        <v>5</v>
      </c>
      <c r="C8" s="11">
        <v>28.1</v>
      </c>
      <c r="D8" s="11">
        <v>-4.0000000000000002E-4</v>
      </c>
      <c r="E8" s="6">
        <v>25</v>
      </c>
      <c r="F8" s="5">
        <f t="shared" si="0"/>
        <v>27.820400328351624</v>
      </c>
      <c r="G8" s="5">
        <f t="shared" si="1"/>
        <v>695.51000820879062</v>
      </c>
      <c r="L8">
        <v>25</v>
      </c>
      <c r="M8">
        <v>25</v>
      </c>
    </row>
    <row r="9" spans="1:13" x14ac:dyDescent="0.3">
      <c r="B9" s="11" t="s">
        <v>6</v>
      </c>
      <c r="C9" s="11">
        <v>30.75</v>
      </c>
      <c r="D9" s="11">
        <v>-3.04E-2</v>
      </c>
      <c r="E9" s="6">
        <v>21</v>
      </c>
      <c r="F9" s="5">
        <f t="shared" si="0"/>
        <v>16.240205591889822</v>
      </c>
      <c r="G9" s="5">
        <f t="shared" si="1"/>
        <v>341.04431742968626</v>
      </c>
      <c r="L9">
        <v>19</v>
      </c>
      <c r="M9">
        <v>21</v>
      </c>
    </row>
    <row r="10" spans="1:13" x14ac:dyDescent="0.3">
      <c r="B10" s="11" t="s">
        <v>7</v>
      </c>
      <c r="C10" s="11">
        <v>30.4</v>
      </c>
      <c r="D10" s="11">
        <v>-0.1084</v>
      </c>
      <c r="E10" s="6">
        <v>4</v>
      </c>
      <c r="F10" s="5">
        <f t="shared" si="0"/>
        <v>19.704412755714085</v>
      </c>
      <c r="G10" s="5">
        <f t="shared" si="1"/>
        <v>78.817651022856339</v>
      </c>
      <c r="L10">
        <v>7</v>
      </c>
      <c r="M10">
        <v>4</v>
      </c>
    </row>
    <row r="11" spans="1:13" x14ac:dyDescent="0.3">
      <c r="B11" s="11" t="s">
        <v>8</v>
      </c>
      <c r="C11" s="11">
        <v>40.97</v>
      </c>
      <c r="D11" s="11">
        <v>-0.1772</v>
      </c>
      <c r="E11" s="6">
        <v>3</v>
      </c>
      <c r="F11" s="5">
        <f t="shared" si="0"/>
        <v>24.076592225680209</v>
      </c>
      <c r="G11" s="5">
        <f t="shared" si="1"/>
        <v>72.229776677040633</v>
      </c>
      <c r="L11">
        <v>4</v>
      </c>
      <c r="M11">
        <v>3</v>
      </c>
    </row>
    <row r="12" spans="1:13" x14ac:dyDescent="0.3">
      <c r="B12" s="11" t="s">
        <v>9</v>
      </c>
      <c r="C12" s="11">
        <v>28.53</v>
      </c>
      <c r="D12" s="11">
        <v>-0.16420000000000001</v>
      </c>
      <c r="E12" s="6">
        <v>3</v>
      </c>
      <c r="F12" s="5">
        <f t="shared" si="0"/>
        <v>17.432846650668147</v>
      </c>
      <c r="G12" s="5">
        <f t="shared" si="1"/>
        <v>52.29853995200444</v>
      </c>
      <c r="L12">
        <v>3</v>
      </c>
      <c r="M12">
        <v>3</v>
      </c>
    </row>
    <row r="13" spans="1:13" x14ac:dyDescent="0.3">
      <c r="B13" s="11" t="s">
        <v>10</v>
      </c>
      <c r="C13" s="11">
        <v>36.25</v>
      </c>
      <c r="D13" s="11">
        <v>-1.7600000000000001E-2</v>
      </c>
      <c r="E13" s="8">
        <v>25</v>
      </c>
      <c r="F13" s="7">
        <f t="shared" si="0"/>
        <v>23.346320264263877</v>
      </c>
      <c r="G13" s="7">
        <f t="shared" si="1"/>
        <v>583.65800660659693</v>
      </c>
      <c r="L13">
        <v>25</v>
      </c>
      <c r="M13">
        <v>25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C238-80BD-4047-ACA1-B991C4B862F9}">
  <dimension ref="A1:I103"/>
  <sheetViews>
    <sheetView workbookViewId="0"/>
  </sheetViews>
  <sheetFormatPr defaultRowHeight="14.4" x14ac:dyDescent="0.3"/>
  <sheetData>
    <row r="1" spans="1:9" x14ac:dyDescent="0.3">
      <c r="A1" t="s">
        <v>108</v>
      </c>
      <c r="C1" t="s">
        <v>16</v>
      </c>
    </row>
    <row r="2" spans="1:9" x14ac:dyDescent="0.3">
      <c r="B2" s="1" t="s">
        <v>0</v>
      </c>
      <c r="C2" s="1" t="s">
        <v>11</v>
      </c>
      <c r="D2" s="1" t="s">
        <v>12</v>
      </c>
      <c r="E2" s="1" t="s">
        <v>14</v>
      </c>
      <c r="F2" s="1" t="s">
        <v>13</v>
      </c>
      <c r="G2" s="1" t="s">
        <v>17</v>
      </c>
    </row>
    <row r="3" spans="1:9" x14ac:dyDescent="0.3">
      <c r="B3" s="1"/>
      <c r="C3" s="1"/>
      <c r="D3" s="1"/>
      <c r="E3" s="9">
        <f>SUM(E4:E103)</f>
        <v>1098</v>
      </c>
      <c r="F3" s="3"/>
      <c r="G3" s="10">
        <f>SUM(G4:G103)</f>
        <v>11125.926234312601</v>
      </c>
      <c r="H3" s="3" t="s">
        <v>15</v>
      </c>
      <c r="I3" s="3">
        <v>15000</v>
      </c>
    </row>
    <row r="4" spans="1:9" x14ac:dyDescent="0.3">
      <c r="B4" s="11" t="s">
        <v>1</v>
      </c>
      <c r="C4" s="11">
        <v>34.880000000000003</v>
      </c>
      <c r="D4" s="11">
        <v>-0.1124</v>
      </c>
      <c r="E4" s="4">
        <v>20</v>
      </c>
      <c r="F4" s="2">
        <f>C4*EXP(D4*E4)</f>
        <v>3.6836849601773869</v>
      </c>
      <c r="G4" s="2">
        <f>F4*E4</f>
        <v>73.673699203547741</v>
      </c>
    </row>
    <row r="5" spans="1:9" x14ac:dyDescent="0.3">
      <c r="B5" s="11" t="s">
        <v>2</v>
      </c>
      <c r="C5" s="11">
        <v>14.32</v>
      </c>
      <c r="D5" s="11">
        <v>-0.17949999999999999</v>
      </c>
      <c r="E5" s="6">
        <v>18</v>
      </c>
      <c r="F5" s="5">
        <f t="shared" ref="F5:F13" si="0">C5*EXP(D5*E5)</f>
        <v>0.56589720240452435</v>
      </c>
      <c r="G5" s="5">
        <f t="shared" ref="G5:G13" si="1">F5*E5</f>
        <v>10.186149643281439</v>
      </c>
    </row>
    <row r="6" spans="1:9" x14ac:dyDescent="0.3">
      <c r="B6" s="11" t="s">
        <v>3</v>
      </c>
      <c r="C6" s="11">
        <v>12.78</v>
      </c>
      <c r="D6" s="11">
        <v>-9.7600000000000006E-2</v>
      </c>
      <c r="E6" s="6">
        <v>15</v>
      </c>
      <c r="F6" s="5">
        <f t="shared" si="0"/>
        <v>2.9561313848920445</v>
      </c>
      <c r="G6" s="5">
        <f t="shared" si="1"/>
        <v>44.341970773380666</v>
      </c>
    </row>
    <row r="7" spans="1:9" x14ac:dyDescent="0.3">
      <c r="B7" s="11" t="s">
        <v>4</v>
      </c>
      <c r="C7" s="11">
        <v>9.08</v>
      </c>
      <c r="D7" s="11">
        <v>-4.5400000000000003E-2</v>
      </c>
      <c r="E7" s="6">
        <v>8</v>
      </c>
      <c r="F7" s="5">
        <f t="shared" si="0"/>
        <v>6.3146617575186239</v>
      </c>
      <c r="G7" s="5">
        <f t="shared" si="1"/>
        <v>50.517294060148991</v>
      </c>
    </row>
    <row r="8" spans="1:9" x14ac:dyDescent="0.3">
      <c r="B8" s="11" t="s">
        <v>5</v>
      </c>
      <c r="C8" s="11">
        <v>28.1</v>
      </c>
      <c r="D8" s="11">
        <v>-4.0000000000000002E-4</v>
      </c>
      <c r="E8" s="6">
        <v>17</v>
      </c>
      <c r="F8" s="5">
        <f t="shared" si="0"/>
        <v>27.909568201910137</v>
      </c>
      <c r="G8" s="5">
        <f t="shared" si="1"/>
        <v>474.46265943247232</v>
      </c>
    </row>
    <row r="9" spans="1:9" x14ac:dyDescent="0.3">
      <c r="B9" s="11" t="s">
        <v>6</v>
      </c>
      <c r="C9" s="11">
        <v>30.75</v>
      </c>
      <c r="D9" s="11">
        <v>-3.04E-2</v>
      </c>
      <c r="E9" s="6">
        <v>3</v>
      </c>
      <c r="F9" s="5">
        <f t="shared" si="0"/>
        <v>28.069680112698851</v>
      </c>
      <c r="G9" s="5">
        <f t="shared" si="1"/>
        <v>84.209040338096557</v>
      </c>
    </row>
    <row r="10" spans="1:9" x14ac:dyDescent="0.3">
      <c r="B10" s="11" t="s">
        <v>7</v>
      </c>
      <c r="C10" s="11">
        <v>30.4</v>
      </c>
      <c r="D10" s="11">
        <v>-0.1084</v>
      </c>
      <c r="E10" s="6">
        <v>11</v>
      </c>
      <c r="F10" s="5">
        <f t="shared" si="0"/>
        <v>9.2261570580862422</v>
      </c>
      <c r="G10" s="5">
        <f t="shared" si="1"/>
        <v>101.48772763894867</v>
      </c>
    </row>
    <row r="11" spans="1:9" x14ac:dyDescent="0.3">
      <c r="B11" s="11" t="s">
        <v>8</v>
      </c>
      <c r="C11" s="11">
        <v>40.97</v>
      </c>
      <c r="D11" s="11">
        <v>-0.1772</v>
      </c>
      <c r="E11" s="6">
        <v>21</v>
      </c>
      <c r="F11" s="5">
        <f t="shared" si="0"/>
        <v>0.99167493842021703</v>
      </c>
      <c r="G11" s="5">
        <f t="shared" si="1"/>
        <v>20.825173706824557</v>
      </c>
    </row>
    <row r="12" spans="1:9" x14ac:dyDescent="0.3">
      <c r="B12" s="11" t="s">
        <v>9</v>
      </c>
      <c r="C12" s="11">
        <v>28.53</v>
      </c>
      <c r="D12" s="11">
        <v>-0.16420000000000001</v>
      </c>
      <c r="E12" s="6">
        <v>7</v>
      </c>
      <c r="F12" s="5">
        <f t="shared" si="0"/>
        <v>9.0390688449843459</v>
      </c>
      <c r="G12" s="5">
        <f t="shared" si="1"/>
        <v>63.273481914890425</v>
      </c>
    </row>
    <row r="13" spans="1:9" x14ac:dyDescent="0.3">
      <c r="B13" s="11" t="s">
        <v>10</v>
      </c>
      <c r="C13" s="11">
        <v>36.25</v>
      </c>
      <c r="D13" s="11">
        <v>-1.7600000000000001E-2</v>
      </c>
      <c r="E13" s="6">
        <v>10</v>
      </c>
      <c r="F13" s="5">
        <f t="shared" si="0"/>
        <v>30.399901895968931</v>
      </c>
      <c r="G13" s="5">
        <f t="shared" si="1"/>
        <v>303.99901895968929</v>
      </c>
    </row>
    <row r="14" spans="1:9" x14ac:dyDescent="0.3">
      <c r="B14" s="3" t="s">
        <v>18</v>
      </c>
      <c r="C14" s="3">
        <v>15.14</v>
      </c>
      <c r="D14" s="3">
        <v>-0.1216</v>
      </c>
      <c r="E14" s="6">
        <v>21</v>
      </c>
      <c r="F14" s="5">
        <f t="shared" ref="F14:F77" si="2">C14*EXP(D14*E14)</f>
        <v>1.1779083113231736</v>
      </c>
      <c r="G14" s="5">
        <f t="shared" ref="G14:G77" si="3">F14*E14</f>
        <v>24.736074537786646</v>
      </c>
    </row>
    <row r="15" spans="1:9" x14ac:dyDescent="0.3">
      <c r="B15" s="3" t="s">
        <v>19</v>
      </c>
      <c r="C15" s="3">
        <v>14.58</v>
      </c>
      <c r="D15" s="3">
        <v>-9.9599999999999994E-2</v>
      </c>
      <c r="E15" s="6">
        <v>13</v>
      </c>
      <c r="F15" s="5">
        <f t="shared" si="2"/>
        <v>3.9942296279988092</v>
      </c>
      <c r="G15" s="5">
        <f t="shared" si="3"/>
        <v>51.924985163984516</v>
      </c>
    </row>
    <row r="16" spans="1:9" x14ac:dyDescent="0.3">
      <c r="B16" s="3" t="s">
        <v>20</v>
      </c>
      <c r="C16" s="3">
        <v>5.25</v>
      </c>
      <c r="D16" s="3">
        <v>-0.15129999999999999</v>
      </c>
      <c r="E16" s="6">
        <v>4</v>
      </c>
      <c r="F16" s="5">
        <f t="shared" si="2"/>
        <v>2.8663174190444951</v>
      </c>
      <c r="G16" s="5">
        <f t="shared" si="3"/>
        <v>11.46526967617798</v>
      </c>
    </row>
    <row r="17" spans="2:7" x14ac:dyDescent="0.3">
      <c r="B17" s="3" t="s">
        <v>21</v>
      </c>
      <c r="C17" s="3">
        <v>37.56</v>
      </c>
      <c r="D17" s="3">
        <v>-0.14169999999999999</v>
      </c>
      <c r="E17" s="6">
        <v>7</v>
      </c>
      <c r="F17" s="5">
        <f t="shared" si="2"/>
        <v>13.929928491202029</v>
      </c>
      <c r="G17" s="5">
        <f t="shared" si="3"/>
        <v>97.509499438414196</v>
      </c>
    </row>
    <row r="18" spans="2:7" x14ac:dyDescent="0.3">
      <c r="B18" s="3" t="s">
        <v>22</v>
      </c>
      <c r="C18" s="3">
        <v>28.24</v>
      </c>
      <c r="D18" s="3">
        <v>-5.4000000000000003E-3</v>
      </c>
      <c r="E18" s="6">
        <v>18</v>
      </c>
      <c r="F18" s="5">
        <f t="shared" si="2"/>
        <v>25.624256249434438</v>
      </c>
      <c r="G18" s="5">
        <f t="shared" si="3"/>
        <v>461.23661248981989</v>
      </c>
    </row>
    <row r="19" spans="2:7" x14ac:dyDescent="0.3">
      <c r="B19" s="3" t="s">
        <v>23</v>
      </c>
      <c r="C19" s="3">
        <v>31.57</v>
      </c>
      <c r="D19" s="3">
        <v>-0.14030000000000001</v>
      </c>
      <c r="E19" s="6">
        <v>4</v>
      </c>
      <c r="F19" s="5">
        <f t="shared" si="2"/>
        <v>18.011443440150778</v>
      </c>
      <c r="G19" s="5">
        <f t="shared" si="3"/>
        <v>72.045773760603112</v>
      </c>
    </row>
    <row r="20" spans="2:7" x14ac:dyDescent="0.3">
      <c r="B20" s="3" t="s">
        <v>24</v>
      </c>
      <c r="C20" s="3">
        <v>37.229999999999997</v>
      </c>
      <c r="D20" s="3">
        <v>-0.17130000000000001</v>
      </c>
      <c r="E20" s="6">
        <v>23</v>
      </c>
      <c r="F20" s="5">
        <f t="shared" si="2"/>
        <v>0.72412944429460091</v>
      </c>
      <c r="G20" s="5">
        <f t="shared" si="3"/>
        <v>16.654977218775819</v>
      </c>
    </row>
    <row r="21" spans="2:7" x14ac:dyDescent="0.3">
      <c r="B21" s="3" t="s">
        <v>25</v>
      </c>
      <c r="C21" s="3">
        <v>20.309999999999999</v>
      </c>
      <c r="D21" s="3">
        <v>-0.1767</v>
      </c>
      <c r="E21" s="6">
        <v>11</v>
      </c>
      <c r="F21" s="5">
        <f t="shared" si="2"/>
        <v>2.9078482526577591</v>
      </c>
      <c r="G21" s="5">
        <f t="shared" si="3"/>
        <v>31.986330779235352</v>
      </c>
    </row>
    <row r="22" spans="2:7" x14ac:dyDescent="0.3">
      <c r="B22" s="3" t="s">
        <v>26</v>
      </c>
      <c r="C22" s="3">
        <v>16.03</v>
      </c>
      <c r="D22" s="3">
        <v>-4.2000000000000003E-2</v>
      </c>
      <c r="E22" s="6">
        <v>11</v>
      </c>
      <c r="F22" s="5">
        <f t="shared" si="2"/>
        <v>10.099258109268854</v>
      </c>
      <c r="G22" s="5">
        <f t="shared" si="3"/>
        <v>111.0918392019574</v>
      </c>
    </row>
    <row r="23" spans="2:7" x14ac:dyDescent="0.3">
      <c r="B23" s="3" t="s">
        <v>27</v>
      </c>
      <c r="C23" s="3">
        <v>37.340000000000003</v>
      </c>
      <c r="D23" s="3">
        <v>-5.5800000000000002E-2</v>
      </c>
      <c r="E23" s="6">
        <v>7</v>
      </c>
      <c r="F23" s="5">
        <f t="shared" si="2"/>
        <v>25.266139461269891</v>
      </c>
      <c r="G23" s="5">
        <f t="shared" si="3"/>
        <v>176.86297622888924</v>
      </c>
    </row>
    <row r="24" spans="2:7" x14ac:dyDescent="0.3">
      <c r="B24" s="3" t="s">
        <v>28</v>
      </c>
      <c r="C24" s="3">
        <v>17.89</v>
      </c>
      <c r="D24" s="3">
        <v>-0.15040000000000001</v>
      </c>
      <c r="E24" s="6">
        <v>15</v>
      </c>
      <c r="F24" s="5">
        <f t="shared" si="2"/>
        <v>1.8743124475259587</v>
      </c>
      <c r="G24" s="5">
        <f t="shared" si="3"/>
        <v>28.11468671288938</v>
      </c>
    </row>
    <row r="25" spans="2:7" x14ac:dyDescent="0.3">
      <c r="B25" s="3" t="s">
        <v>29</v>
      </c>
      <c r="C25" s="3">
        <v>17.100000000000001</v>
      </c>
      <c r="D25" s="3">
        <v>-0.1865</v>
      </c>
      <c r="E25" s="6">
        <v>12</v>
      </c>
      <c r="F25" s="5">
        <f t="shared" si="2"/>
        <v>1.8240849490443116</v>
      </c>
      <c r="G25" s="5">
        <f t="shared" si="3"/>
        <v>21.889019388531739</v>
      </c>
    </row>
    <row r="26" spans="2:7" x14ac:dyDescent="0.3">
      <c r="B26" s="3" t="s">
        <v>30</v>
      </c>
      <c r="C26" s="3">
        <v>7.9</v>
      </c>
      <c r="D26" s="3">
        <v>-0.15679999999999999</v>
      </c>
      <c r="E26" s="6">
        <v>19</v>
      </c>
      <c r="F26" s="5">
        <f t="shared" si="2"/>
        <v>0.40158452668125633</v>
      </c>
      <c r="G26" s="5">
        <f t="shared" si="3"/>
        <v>7.63010600694387</v>
      </c>
    </row>
    <row r="27" spans="2:7" x14ac:dyDescent="0.3">
      <c r="B27" s="3" t="s">
        <v>31</v>
      </c>
      <c r="C27" s="3">
        <v>43.26</v>
      </c>
      <c r="D27" s="3">
        <v>-0.14990000000000001</v>
      </c>
      <c r="E27" s="6">
        <v>2</v>
      </c>
      <c r="F27" s="5">
        <f t="shared" si="2"/>
        <v>32.05420642693511</v>
      </c>
      <c r="G27" s="5">
        <f t="shared" si="3"/>
        <v>64.10841285387022</v>
      </c>
    </row>
    <row r="28" spans="2:7" x14ac:dyDescent="0.3">
      <c r="B28" s="3" t="s">
        <v>32</v>
      </c>
      <c r="C28" s="3">
        <v>11.12</v>
      </c>
      <c r="D28" s="3">
        <v>-0.14330000000000001</v>
      </c>
      <c r="E28" s="6">
        <v>3</v>
      </c>
      <c r="F28" s="5">
        <f t="shared" si="2"/>
        <v>7.2343845356061225</v>
      </c>
      <c r="G28" s="5">
        <f t="shared" si="3"/>
        <v>21.703153606818368</v>
      </c>
    </row>
    <row r="29" spans="2:7" x14ac:dyDescent="0.3">
      <c r="B29" s="3" t="s">
        <v>33</v>
      </c>
      <c r="C29" s="3">
        <v>31.01</v>
      </c>
      <c r="D29" s="3">
        <v>-3.6299999999999999E-2</v>
      </c>
      <c r="E29" s="6">
        <v>2</v>
      </c>
      <c r="F29" s="5">
        <f t="shared" si="2"/>
        <v>28.838454814256732</v>
      </c>
      <c r="G29" s="5">
        <f t="shared" si="3"/>
        <v>57.676909628513464</v>
      </c>
    </row>
    <row r="30" spans="2:7" x14ac:dyDescent="0.3">
      <c r="B30" s="3" t="s">
        <v>34</v>
      </c>
      <c r="C30" s="3">
        <v>36.71</v>
      </c>
      <c r="D30" s="3">
        <v>-7.2499999999999995E-2</v>
      </c>
      <c r="E30" s="6">
        <v>20</v>
      </c>
      <c r="F30" s="5">
        <f t="shared" si="2"/>
        <v>8.6110752759233122</v>
      </c>
      <c r="G30" s="5">
        <f t="shared" si="3"/>
        <v>172.22150551846624</v>
      </c>
    </row>
    <row r="31" spans="2:7" x14ac:dyDescent="0.3">
      <c r="B31" s="3" t="s">
        <v>35</v>
      </c>
      <c r="C31" s="3">
        <v>42.05</v>
      </c>
      <c r="D31" s="3">
        <v>-0.1208</v>
      </c>
      <c r="E31" s="6">
        <v>9</v>
      </c>
      <c r="F31" s="5">
        <f t="shared" si="2"/>
        <v>14.177545162681231</v>
      </c>
      <c r="G31" s="5">
        <f t="shared" si="3"/>
        <v>127.59790646413107</v>
      </c>
    </row>
    <row r="32" spans="2:7" x14ac:dyDescent="0.3">
      <c r="B32" s="3" t="s">
        <v>36</v>
      </c>
      <c r="C32" s="3">
        <v>10.62</v>
      </c>
      <c r="D32" s="3">
        <v>-9.1000000000000004E-3</v>
      </c>
      <c r="E32" s="6">
        <v>9</v>
      </c>
      <c r="F32" s="5">
        <f t="shared" si="2"/>
        <v>9.7848866410965289</v>
      </c>
      <c r="G32" s="5">
        <f t="shared" si="3"/>
        <v>88.063979769868766</v>
      </c>
    </row>
    <row r="33" spans="2:7" x14ac:dyDescent="0.3">
      <c r="B33" s="3" t="s">
        <v>37</v>
      </c>
      <c r="C33" s="3">
        <v>49</v>
      </c>
      <c r="D33" s="3">
        <v>-0.1777</v>
      </c>
      <c r="E33" s="6">
        <v>11</v>
      </c>
      <c r="F33" s="5">
        <f t="shared" si="2"/>
        <v>6.938740668000861</v>
      </c>
      <c r="G33" s="5">
        <f t="shared" si="3"/>
        <v>76.326147348009471</v>
      </c>
    </row>
    <row r="34" spans="2:7" x14ac:dyDescent="0.3">
      <c r="B34" s="3" t="s">
        <v>38</v>
      </c>
      <c r="C34" s="3">
        <v>23.04</v>
      </c>
      <c r="D34" s="3">
        <v>-0.127</v>
      </c>
      <c r="E34" s="6">
        <v>5</v>
      </c>
      <c r="F34" s="5">
        <f t="shared" si="2"/>
        <v>12.209713650836779</v>
      </c>
      <c r="G34" s="5">
        <f t="shared" si="3"/>
        <v>61.048568254183891</v>
      </c>
    </row>
    <row r="35" spans="2:7" x14ac:dyDescent="0.3">
      <c r="B35" s="3" t="s">
        <v>39</v>
      </c>
      <c r="C35" s="3">
        <v>27.39</v>
      </c>
      <c r="D35" s="3">
        <v>-5.9799999999999999E-2</v>
      </c>
      <c r="E35" s="6">
        <v>21</v>
      </c>
      <c r="F35" s="5">
        <f t="shared" si="2"/>
        <v>7.8019833988481153</v>
      </c>
      <c r="G35" s="5">
        <f t="shared" si="3"/>
        <v>163.84165137581041</v>
      </c>
    </row>
    <row r="36" spans="2:7" x14ac:dyDescent="0.3">
      <c r="B36" s="3" t="s">
        <v>40</v>
      </c>
      <c r="C36" s="3">
        <v>41.7</v>
      </c>
      <c r="D36" s="3">
        <v>-0.10249999999999999</v>
      </c>
      <c r="E36" s="6">
        <v>4</v>
      </c>
      <c r="F36" s="5">
        <f t="shared" si="2"/>
        <v>27.674215430684519</v>
      </c>
      <c r="G36" s="5">
        <f t="shared" si="3"/>
        <v>110.69686172273808</v>
      </c>
    </row>
    <row r="37" spans="2:7" x14ac:dyDescent="0.3">
      <c r="B37" s="3" t="s">
        <v>41</v>
      </c>
      <c r="C37" s="3">
        <v>12.88</v>
      </c>
      <c r="D37" s="3">
        <v>-0.1103</v>
      </c>
      <c r="E37" s="6">
        <v>6</v>
      </c>
      <c r="F37" s="5">
        <f t="shared" si="2"/>
        <v>6.6450732848596994</v>
      </c>
      <c r="G37" s="5">
        <f t="shared" si="3"/>
        <v>39.870439709158198</v>
      </c>
    </row>
    <row r="38" spans="2:7" x14ac:dyDescent="0.3">
      <c r="B38" s="3" t="s">
        <v>42</v>
      </c>
      <c r="C38" s="3">
        <v>13.26</v>
      </c>
      <c r="D38" s="3">
        <v>-1.61E-2</v>
      </c>
      <c r="E38" s="6">
        <v>15</v>
      </c>
      <c r="F38" s="5">
        <f t="shared" si="2"/>
        <v>10.415051138241941</v>
      </c>
      <c r="G38" s="5">
        <f t="shared" si="3"/>
        <v>156.2257670736291</v>
      </c>
    </row>
    <row r="39" spans="2:7" x14ac:dyDescent="0.3">
      <c r="B39" s="3" t="s">
        <v>43</v>
      </c>
      <c r="C39" s="3">
        <v>26.2</v>
      </c>
      <c r="D39" s="3">
        <v>-9.2899999999999996E-2</v>
      </c>
      <c r="E39" s="6">
        <v>7</v>
      </c>
      <c r="F39" s="5">
        <f t="shared" si="2"/>
        <v>13.673496686763706</v>
      </c>
      <c r="G39" s="5">
        <f t="shared" si="3"/>
        <v>95.714476807345932</v>
      </c>
    </row>
    <row r="40" spans="2:7" x14ac:dyDescent="0.3">
      <c r="B40" s="3" t="s">
        <v>44</v>
      </c>
      <c r="C40" s="3">
        <v>15.4</v>
      </c>
      <c r="D40" s="3">
        <v>-0.1305</v>
      </c>
      <c r="E40" s="6">
        <v>4</v>
      </c>
      <c r="F40" s="5">
        <f t="shared" si="2"/>
        <v>9.1373235048950008</v>
      </c>
      <c r="G40" s="5">
        <f t="shared" si="3"/>
        <v>36.549294019580003</v>
      </c>
    </row>
    <row r="41" spans="2:7" x14ac:dyDescent="0.3">
      <c r="B41" s="3" t="s">
        <v>45</v>
      </c>
      <c r="C41" s="3">
        <v>34.880000000000003</v>
      </c>
      <c r="D41" s="3">
        <v>-6.5299999999999997E-2</v>
      </c>
      <c r="E41" s="6">
        <v>2</v>
      </c>
      <c r="F41" s="5">
        <f t="shared" si="2"/>
        <v>30.609597361262789</v>
      </c>
      <c r="G41" s="5">
        <f t="shared" si="3"/>
        <v>61.219194722525579</v>
      </c>
    </row>
    <row r="42" spans="2:7" x14ac:dyDescent="0.3">
      <c r="B42" s="3" t="s">
        <v>46</v>
      </c>
      <c r="C42" s="3">
        <v>29.42</v>
      </c>
      <c r="D42" s="3">
        <v>-5.5500000000000001E-2</v>
      </c>
      <c r="E42" s="6">
        <v>13</v>
      </c>
      <c r="F42" s="5">
        <f t="shared" si="2"/>
        <v>14.298787095517522</v>
      </c>
      <c r="G42" s="5">
        <f t="shared" si="3"/>
        <v>185.88423224172777</v>
      </c>
    </row>
    <row r="43" spans="2:7" x14ac:dyDescent="0.3">
      <c r="B43" s="3" t="s">
        <v>47</v>
      </c>
      <c r="C43" s="3">
        <v>39.46</v>
      </c>
      <c r="D43" s="3">
        <v>-4.6699999999999998E-2</v>
      </c>
      <c r="E43" s="6">
        <v>15</v>
      </c>
      <c r="F43" s="5">
        <f t="shared" si="2"/>
        <v>19.585460908564045</v>
      </c>
      <c r="G43" s="5">
        <f t="shared" si="3"/>
        <v>293.78191362846064</v>
      </c>
    </row>
    <row r="44" spans="2:7" x14ac:dyDescent="0.3">
      <c r="B44" s="3" t="s">
        <v>48</v>
      </c>
      <c r="C44" s="3">
        <v>36.76</v>
      </c>
      <c r="D44" s="3">
        <v>-0.1991</v>
      </c>
      <c r="E44" s="6">
        <v>4</v>
      </c>
      <c r="F44" s="5">
        <f t="shared" si="2"/>
        <v>16.57690227961497</v>
      </c>
      <c r="G44" s="5">
        <f t="shared" si="3"/>
        <v>66.307609118459879</v>
      </c>
    </row>
    <row r="45" spans="2:7" x14ac:dyDescent="0.3">
      <c r="B45" s="3" t="s">
        <v>49</v>
      </c>
      <c r="C45" s="3">
        <v>42.87</v>
      </c>
      <c r="D45" s="3">
        <v>-3.0200000000000001E-2</v>
      </c>
      <c r="E45" s="6">
        <v>14</v>
      </c>
      <c r="F45" s="5">
        <f t="shared" si="2"/>
        <v>28.088838207405303</v>
      </c>
      <c r="G45" s="5">
        <f t="shared" si="3"/>
        <v>393.24373490367424</v>
      </c>
    </row>
    <row r="46" spans="2:7" x14ac:dyDescent="0.3">
      <c r="B46" s="3" t="s">
        <v>50</v>
      </c>
      <c r="C46" s="3">
        <v>44.79</v>
      </c>
      <c r="D46" s="3">
        <v>-7.4899999999999994E-2</v>
      </c>
      <c r="E46" s="6">
        <v>11</v>
      </c>
      <c r="F46" s="5">
        <f t="shared" si="2"/>
        <v>19.650148591974212</v>
      </c>
      <c r="G46" s="5">
        <f t="shared" si="3"/>
        <v>216.15163451171634</v>
      </c>
    </row>
    <row r="47" spans="2:7" x14ac:dyDescent="0.3">
      <c r="B47" s="3" t="s">
        <v>51</v>
      </c>
      <c r="C47" s="3">
        <v>30.01</v>
      </c>
      <c r="D47" s="3">
        <v>-0.1661</v>
      </c>
      <c r="E47" s="6">
        <v>23</v>
      </c>
      <c r="F47" s="5">
        <f t="shared" si="2"/>
        <v>0.65785591845477775</v>
      </c>
      <c r="G47" s="5">
        <f t="shared" si="3"/>
        <v>15.130686124459888</v>
      </c>
    </row>
    <row r="48" spans="2:7" x14ac:dyDescent="0.3">
      <c r="B48" s="3" t="s">
        <v>52</v>
      </c>
      <c r="C48" s="3">
        <v>43.53</v>
      </c>
      <c r="D48" s="3">
        <v>-6.4600000000000005E-2</v>
      </c>
      <c r="E48" s="6">
        <v>5</v>
      </c>
      <c r="F48" s="5">
        <f t="shared" si="2"/>
        <v>31.514581880635355</v>
      </c>
      <c r="G48" s="5">
        <f t="shared" si="3"/>
        <v>157.57290940317677</v>
      </c>
    </row>
    <row r="49" spans="2:7" x14ac:dyDescent="0.3">
      <c r="B49" s="3" t="s">
        <v>53</v>
      </c>
      <c r="C49" s="3">
        <v>39.200000000000003</v>
      </c>
      <c r="D49" s="3">
        <v>-0.1525</v>
      </c>
      <c r="E49" s="6">
        <v>12</v>
      </c>
      <c r="F49" s="5">
        <f t="shared" si="2"/>
        <v>6.2882118567867717</v>
      </c>
      <c r="G49" s="5">
        <f t="shared" si="3"/>
        <v>75.458542281441254</v>
      </c>
    </row>
    <row r="50" spans="2:7" x14ac:dyDescent="0.3">
      <c r="B50" s="3" t="s">
        <v>54</v>
      </c>
      <c r="C50" s="3">
        <v>31.99</v>
      </c>
      <c r="D50" s="3">
        <v>-2.5000000000000001E-2</v>
      </c>
      <c r="E50" s="6">
        <v>23</v>
      </c>
      <c r="F50" s="5">
        <f t="shared" si="2"/>
        <v>18.000928753134513</v>
      </c>
      <c r="G50" s="5">
        <f t="shared" si="3"/>
        <v>414.02136132209381</v>
      </c>
    </row>
    <row r="51" spans="2:7" x14ac:dyDescent="0.3">
      <c r="B51" s="3" t="s">
        <v>55</v>
      </c>
      <c r="C51" s="3">
        <v>17.55</v>
      </c>
      <c r="D51" s="3">
        <v>-0.18859999999999999</v>
      </c>
      <c r="E51" s="6">
        <v>5</v>
      </c>
      <c r="F51" s="5">
        <f t="shared" si="2"/>
        <v>6.8349827740170079</v>
      </c>
      <c r="G51" s="5">
        <f t="shared" si="3"/>
        <v>34.174913870085042</v>
      </c>
    </row>
    <row r="52" spans="2:7" x14ac:dyDescent="0.3">
      <c r="B52" s="3" t="s">
        <v>56</v>
      </c>
      <c r="C52" s="3">
        <v>16.100000000000001</v>
      </c>
      <c r="D52" s="3">
        <v>-0.13139999999999999</v>
      </c>
      <c r="E52" s="6">
        <v>13</v>
      </c>
      <c r="F52" s="5">
        <f t="shared" si="2"/>
        <v>2.9171854719789923</v>
      </c>
      <c r="G52" s="5">
        <f t="shared" si="3"/>
        <v>37.923411135726901</v>
      </c>
    </row>
    <row r="53" spans="2:7" x14ac:dyDescent="0.3">
      <c r="B53" s="3" t="s">
        <v>57</v>
      </c>
      <c r="C53" s="3">
        <v>33.36</v>
      </c>
      <c r="D53" s="3">
        <v>-1.11E-2</v>
      </c>
      <c r="E53" s="6">
        <v>18</v>
      </c>
      <c r="F53" s="5">
        <f t="shared" si="2"/>
        <v>27.318321040559589</v>
      </c>
      <c r="G53" s="5">
        <f t="shared" si="3"/>
        <v>491.72977873007261</v>
      </c>
    </row>
    <row r="54" spans="2:7" x14ac:dyDescent="0.3">
      <c r="B54" s="3" t="s">
        <v>58</v>
      </c>
      <c r="C54" s="3">
        <v>32.01</v>
      </c>
      <c r="D54" s="3">
        <v>-6.7400000000000002E-2</v>
      </c>
      <c r="E54" s="6">
        <v>6</v>
      </c>
      <c r="F54" s="5">
        <f t="shared" si="2"/>
        <v>21.362741515964817</v>
      </c>
      <c r="G54" s="5">
        <f t="shared" si="3"/>
        <v>128.17644909578891</v>
      </c>
    </row>
    <row r="55" spans="2:7" x14ac:dyDescent="0.3">
      <c r="B55" s="3" t="s">
        <v>59</v>
      </c>
      <c r="C55" s="3">
        <v>21.96</v>
      </c>
      <c r="D55" s="3">
        <v>-3.2000000000000001E-2</v>
      </c>
      <c r="E55" s="6">
        <v>7</v>
      </c>
      <c r="F55" s="5">
        <f t="shared" si="2"/>
        <v>17.552960350751256</v>
      </c>
      <c r="G55" s="5">
        <f t="shared" si="3"/>
        <v>122.8707224552588</v>
      </c>
    </row>
    <row r="56" spans="2:7" x14ac:dyDescent="0.3">
      <c r="B56" s="3" t="s">
        <v>60</v>
      </c>
      <c r="C56" s="3">
        <v>36.89</v>
      </c>
      <c r="D56" s="3">
        <v>-6.08E-2</v>
      </c>
      <c r="E56" s="6">
        <v>5</v>
      </c>
      <c r="F56" s="5">
        <f t="shared" si="2"/>
        <v>27.219687363362308</v>
      </c>
      <c r="G56" s="5">
        <f t="shared" si="3"/>
        <v>136.09843681681153</v>
      </c>
    </row>
    <row r="57" spans="2:7" x14ac:dyDescent="0.3">
      <c r="B57" s="3" t="s">
        <v>61</v>
      </c>
      <c r="C57" s="3">
        <v>15.66</v>
      </c>
      <c r="D57" s="3">
        <v>-7.7100000000000002E-2</v>
      </c>
      <c r="E57" s="6">
        <v>17</v>
      </c>
      <c r="F57" s="5">
        <f t="shared" si="2"/>
        <v>4.222425350503209</v>
      </c>
      <c r="G57" s="5">
        <f t="shared" si="3"/>
        <v>71.781230958554559</v>
      </c>
    </row>
    <row r="58" spans="2:7" x14ac:dyDescent="0.3">
      <c r="B58" s="3" t="s">
        <v>62</v>
      </c>
      <c r="C58" s="3">
        <v>43.61</v>
      </c>
      <c r="D58" s="3">
        <v>-0.1361</v>
      </c>
      <c r="E58" s="6">
        <v>18</v>
      </c>
      <c r="F58" s="5">
        <f t="shared" si="2"/>
        <v>3.7640160351692802</v>
      </c>
      <c r="G58" s="5">
        <f t="shared" si="3"/>
        <v>67.752288633047044</v>
      </c>
    </row>
    <row r="59" spans="2:7" x14ac:dyDescent="0.3">
      <c r="B59" s="3" t="s">
        <v>63</v>
      </c>
      <c r="C59" s="3">
        <v>14.36</v>
      </c>
      <c r="D59" s="3">
        <v>-0.1067</v>
      </c>
      <c r="E59" s="6">
        <v>14</v>
      </c>
      <c r="F59" s="5">
        <f t="shared" si="2"/>
        <v>3.2240765353660765</v>
      </c>
      <c r="G59" s="5">
        <f t="shared" si="3"/>
        <v>45.13707149512507</v>
      </c>
    </row>
    <row r="60" spans="2:7" x14ac:dyDescent="0.3">
      <c r="B60" s="3" t="s">
        <v>64</v>
      </c>
      <c r="C60" s="3">
        <v>19.09</v>
      </c>
      <c r="D60" s="3">
        <v>-0.108</v>
      </c>
      <c r="E60" s="6">
        <v>10</v>
      </c>
      <c r="F60" s="5">
        <f t="shared" si="2"/>
        <v>6.4828785845618873</v>
      </c>
      <c r="G60" s="5">
        <f t="shared" si="3"/>
        <v>64.828785845618867</v>
      </c>
    </row>
    <row r="61" spans="2:7" x14ac:dyDescent="0.3">
      <c r="B61" s="3" t="s">
        <v>65</v>
      </c>
      <c r="C61" s="3">
        <v>28.66</v>
      </c>
      <c r="D61" s="3">
        <v>-0.1404</v>
      </c>
      <c r="E61" s="6">
        <v>15</v>
      </c>
      <c r="F61" s="5">
        <f t="shared" si="2"/>
        <v>3.4886066729939333</v>
      </c>
      <c r="G61" s="5">
        <f t="shared" si="3"/>
        <v>52.329100094909002</v>
      </c>
    </row>
    <row r="62" spans="2:7" x14ac:dyDescent="0.3">
      <c r="B62" s="3" t="s">
        <v>66</v>
      </c>
      <c r="C62" s="3">
        <v>22.91</v>
      </c>
      <c r="D62" s="3">
        <v>-5.6500000000000002E-2</v>
      </c>
      <c r="E62" s="6">
        <v>5</v>
      </c>
      <c r="F62" s="5">
        <f t="shared" si="2"/>
        <v>17.27177206728804</v>
      </c>
      <c r="G62" s="5">
        <f t="shared" si="3"/>
        <v>86.358860336440202</v>
      </c>
    </row>
    <row r="63" spans="2:7" x14ac:dyDescent="0.3">
      <c r="B63" s="3" t="s">
        <v>67</v>
      </c>
      <c r="C63" s="3">
        <v>29.65</v>
      </c>
      <c r="D63" s="3">
        <v>-4.9599999999999998E-2</v>
      </c>
      <c r="E63" s="6">
        <v>3</v>
      </c>
      <c r="F63" s="5">
        <f t="shared" si="2"/>
        <v>25.550633872550012</v>
      </c>
      <c r="G63" s="5">
        <f t="shared" si="3"/>
        <v>76.65190161765004</v>
      </c>
    </row>
    <row r="64" spans="2:7" x14ac:dyDescent="0.3">
      <c r="B64" s="3" t="s">
        <v>68</v>
      </c>
      <c r="C64" s="3">
        <v>13.21</v>
      </c>
      <c r="D64" s="3">
        <v>-6.0000000000000001E-3</v>
      </c>
      <c r="E64" s="6">
        <v>16</v>
      </c>
      <c r="F64" s="5">
        <f t="shared" si="2"/>
        <v>12.000809652267609</v>
      </c>
      <c r="G64" s="5">
        <f t="shared" si="3"/>
        <v>192.01295443628175</v>
      </c>
    </row>
    <row r="65" spans="2:7" x14ac:dyDescent="0.3">
      <c r="B65" s="3" t="s">
        <v>69</v>
      </c>
      <c r="C65" s="3">
        <v>12.71</v>
      </c>
      <c r="D65" s="3">
        <v>-0.15090000000000001</v>
      </c>
      <c r="E65" s="6">
        <v>17</v>
      </c>
      <c r="F65" s="5">
        <f t="shared" si="2"/>
        <v>0.97734954727640544</v>
      </c>
      <c r="G65" s="5">
        <f t="shared" si="3"/>
        <v>16.614942303698893</v>
      </c>
    </row>
    <row r="66" spans="2:7" x14ac:dyDescent="0.3">
      <c r="B66" s="3" t="s">
        <v>70</v>
      </c>
      <c r="C66" s="3">
        <v>49.67</v>
      </c>
      <c r="D66" s="3">
        <v>-4.9500000000000002E-2</v>
      </c>
      <c r="E66" s="6">
        <v>6</v>
      </c>
      <c r="F66" s="5">
        <f t="shared" si="2"/>
        <v>36.906996094017551</v>
      </c>
      <c r="G66" s="5">
        <f t="shared" si="3"/>
        <v>221.44197656410529</v>
      </c>
    </row>
    <row r="67" spans="2:7" x14ac:dyDescent="0.3">
      <c r="B67" s="3" t="s">
        <v>71</v>
      </c>
      <c r="C67" s="3">
        <v>28.11</v>
      </c>
      <c r="D67" s="3">
        <v>-8.5199999999999998E-2</v>
      </c>
      <c r="E67" s="6">
        <v>3</v>
      </c>
      <c r="F67" s="5">
        <f t="shared" si="2"/>
        <v>21.769836936169803</v>
      </c>
      <c r="G67" s="5">
        <f t="shared" si="3"/>
        <v>65.309510808509401</v>
      </c>
    </row>
    <row r="68" spans="2:7" x14ac:dyDescent="0.3">
      <c r="B68" s="3" t="s">
        <v>72</v>
      </c>
      <c r="C68" s="3">
        <v>12.74</v>
      </c>
      <c r="D68" s="3">
        <v>-7.0800000000000002E-2</v>
      </c>
      <c r="E68" s="6">
        <v>12</v>
      </c>
      <c r="F68" s="5">
        <f t="shared" si="2"/>
        <v>5.4474447751993758</v>
      </c>
      <c r="G68" s="5">
        <f t="shared" si="3"/>
        <v>65.369337302392509</v>
      </c>
    </row>
    <row r="69" spans="2:7" x14ac:dyDescent="0.3">
      <c r="B69" s="3" t="s">
        <v>73</v>
      </c>
      <c r="C69" s="3">
        <v>22.22</v>
      </c>
      <c r="D69" s="3">
        <v>-7.7000000000000002E-3</v>
      </c>
      <c r="E69" s="6">
        <v>12</v>
      </c>
      <c r="F69" s="5">
        <f t="shared" si="2"/>
        <v>20.258871253464708</v>
      </c>
      <c r="G69" s="5">
        <f t="shared" si="3"/>
        <v>243.10645504157651</v>
      </c>
    </row>
    <row r="70" spans="2:7" x14ac:dyDescent="0.3">
      <c r="B70" s="3" t="s">
        <v>74</v>
      </c>
      <c r="C70" s="3">
        <v>5.14</v>
      </c>
      <c r="D70" s="3">
        <v>-5.5399999999999998E-2</v>
      </c>
      <c r="E70" s="6">
        <v>17</v>
      </c>
      <c r="F70" s="5">
        <f t="shared" si="2"/>
        <v>2.0042162357391908</v>
      </c>
      <c r="G70" s="5">
        <f t="shared" si="3"/>
        <v>34.071676007566246</v>
      </c>
    </row>
    <row r="71" spans="2:7" x14ac:dyDescent="0.3">
      <c r="B71" s="3" t="s">
        <v>75</v>
      </c>
      <c r="C71" s="3">
        <v>11.7</v>
      </c>
      <c r="D71" s="3">
        <v>-0.1817</v>
      </c>
      <c r="E71" s="6">
        <v>14</v>
      </c>
      <c r="F71" s="5">
        <f t="shared" si="2"/>
        <v>0.91923713114573369</v>
      </c>
      <c r="G71" s="5">
        <f t="shared" si="3"/>
        <v>12.869319836040273</v>
      </c>
    </row>
    <row r="72" spans="2:7" x14ac:dyDescent="0.3">
      <c r="B72" s="3" t="s">
        <v>76</v>
      </c>
      <c r="C72" s="3">
        <v>24.65</v>
      </c>
      <c r="D72" s="3">
        <v>-0.12740000000000001</v>
      </c>
      <c r="E72" s="6">
        <v>10</v>
      </c>
      <c r="F72" s="5">
        <f t="shared" si="2"/>
        <v>6.8948647851593146</v>
      </c>
      <c r="G72" s="5">
        <f t="shared" si="3"/>
        <v>68.948647851593151</v>
      </c>
    </row>
    <row r="73" spans="2:7" x14ac:dyDescent="0.3">
      <c r="B73" s="3" t="s">
        <v>77</v>
      </c>
      <c r="C73" s="3">
        <v>35.68</v>
      </c>
      <c r="D73" s="3">
        <v>-4.7100000000000003E-2</v>
      </c>
      <c r="E73" s="6">
        <v>18</v>
      </c>
      <c r="F73" s="5">
        <f t="shared" si="2"/>
        <v>15.283752066906411</v>
      </c>
      <c r="G73" s="5">
        <f t="shared" si="3"/>
        <v>275.10753720431541</v>
      </c>
    </row>
    <row r="74" spans="2:7" x14ac:dyDescent="0.3">
      <c r="B74" s="3" t="s">
        <v>78</v>
      </c>
      <c r="C74" s="3">
        <v>7.47</v>
      </c>
      <c r="D74" s="3">
        <v>-0.11849999999999999</v>
      </c>
      <c r="E74" s="6">
        <v>20</v>
      </c>
      <c r="F74" s="5">
        <f t="shared" si="2"/>
        <v>0.6983010252970967</v>
      </c>
      <c r="G74" s="5">
        <f t="shared" si="3"/>
        <v>13.966020505941934</v>
      </c>
    </row>
    <row r="75" spans="2:7" x14ac:dyDescent="0.3">
      <c r="B75" s="3" t="s">
        <v>79</v>
      </c>
      <c r="C75" s="3">
        <v>17.079999999999998</v>
      </c>
      <c r="D75" s="3">
        <v>-9.0899999999999995E-2</v>
      </c>
      <c r="E75" s="6">
        <v>16</v>
      </c>
      <c r="F75" s="5">
        <f t="shared" si="2"/>
        <v>3.9888708200705372</v>
      </c>
      <c r="G75" s="5">
        <f t="shared" si="3"/>
        <v>63.821933121128595</v>
      </c>
    </row>
    <row r="76" spans="2:7" x14ac:dyDescent="0.3">
      <c r="B76" s="3" t="s">
        <v>80</v>
      </c>
      <c r="C76" s="3">
        <v>31.02</v>
      </c>
      <c r="D76" s="3">
        <v>-9.0200000000000002E-2</v>
      </c>
      <c r="E76" s="6">
        <v>7</v>
      </c>
      <c r="F76" s="5">
        <f t="shared" si="2"/>
        <v>16.497884453524577</v>
      </c>
      <c r="G76" s="5">
        <f t="shared" si="3"/>
        <v>115.48519117467204</v>
      </c>
    </row>
    <row r="77" spans="2:7" x14ac:dyDescent="0.3">
      <c r="B77" s="3" t="s">
        <v>81</v>
      </c>
      <c r="C77" s="3">
        <v>11.31</v>
      </c>
      <c r="D77" s="3">
        <v>-0.15090000000000001</v>
      </c>
      <c r="E77" s="6">
        <v>14</v>
      </c>
      <c r="F77" s="5">
        <f t="shared" si="2"/>
        <v>1.3676409073672435</v>
      </c>
      <c r="G77" s="5">
        <f t="shared" si="3"/>
        <v>19.146972703141408</v>
      </c>
    </row>
    <row r="78" spans="2:7" x14ac:dyDescent="0.3">
      <c r="B78" s="3" t="s">
        <v>82</v>
      </c>
      <c r="C78" s="3">
        <v>7.19</v>
      </c>
      <c r="D78" s="3">
        <v>-0.1318</v>
      </c>
      <c r="E78" s="6">
        <v>1</v>
      </c>
      <c r="F78" s="5">
        <f t="shared" ref="F78:F103" si="4">C78*EXP(D78*E78)</f>
        <v>6.302152058997855</v>
      </c>
      <c r="G78" s="5">
        <f t="shared" ref="G78:G103" si="5">F78*E78</f>
        <v>6.302152058997855</v>
      </c>
    </row>
    <row r="79" spans="2:7" x14ac:dyDescent="0.3">
      <c r="B79" s="3" t="s">
        <v>83</v>
      </c>
      <c r="C79" s="3">
        <v>7.5</v>
      </c>
      <c r="D79" s="3">
        <v>-6.3100000000000003E-2</v>
      </c>
      <c r="E79" s="6">
        <v>6</v>
      </c>
      <c r="F79" s="5">
        <f t="shared" si="4"/>
        <v>5.1361461426172212</v>
      </c>
      <c r="G79" s="5">
        <f t="shared" si="5"/>
        <v>30.816876855703327</v>
      </c>
    </row>
    <row r="80" spans="2:7" x14ac:dyDescent="0.3">
      <c r="B80" s="3" t="s">
        <v>84</v>
      </c>
      <c r="C80" s="3">
        <v>34.54</v>
      </c>
      <c r="D80" s="3">
        <v>-8.5699999999999998E-2</v>
      </c>
      <c r="E80" s="6">
        <v>3</v>
      </c>
      <c r="F80" s="5">
        <f t="shared" si="4"/>
        <v>26.709467023204507</v>
      </c>
      <c r="G80" s="5">
        <f t="shared" si="5"/>
        <v>80.128401069613517</v>
      </c>
    </row>
    <row r="81" spans="2:7" x14ac:dyDescent="0.3">
      <c r="B81" s="3" t="s">
        <v>85</v>
      </c>
      <c r="C81" s="3">
        <v>31.77</v>
      </c>
      <c r="D81" s="3">
        <v>-0.13700000000000001</v>
      </c>
      <c r="E81" s="6">
        <v>2</v>
      </c>
      <c r="F81" s="5">
        <f t="shared" si="4"/>
        <v>24.155750031038224</v>
      </c>
      <c r="G81" s="5">
        <f t="shared" si="5"/>
        <v>48.311500062076448</v>
      </c>
    </row>
    <row r="82" spans="2:7" x14ac:dyDescent="0.3">
      <c r="B82" s="3" t="s">
        <v>86</v>
      </c>
      <c r="C82" s="3">
        <v>7.65</v>
      </c>
      <c r="D82" s="3">
        <v>-3.1899999999999998E-2</v>
      </c>
      <c r="E82" s="6">
        <v>12</v>
      </c>
      <c r="F82" s="5">
        <f t="shared" si="4"/>
        <v>5.2169119575980636</v>
      </c>
      <c r="G82" s="5">
        <f t="shared" si="5"/>
        <v>62.602943491176759</v>
      </c>
    </row>
    <row r="83" spans="2:7" x14ac:dyDescent="0.3">
      <c r="B83" s="3" t="s">
        <v>87</v>
      </c>
      <c r="C83" s="3">
        <v>5.09</v>
      </c>
      <c r="D83" s="3">
        <v>-8.2400000000000001E-2</v>
      </c>
      <c r="E83" s="6">
        <v>5</v>
      </c>
      <c r="F83" s="5">
        <f t="shared" si="4"/>
        <v>3.3712305651053018</v>
      </c>
      <c r="G83" s="5">
        <f t="shared" si="5"/>
        <v>16.856152825526507</v>
      </c>
    </row>
    <row r="84" spans="2:7" x14ac:dyDescent="0.3">
      <c r="B84" s="3" t="s">
        <v>88</v>
      </c>
      <c r="C84" s="3">
        <v>47.38</v>
      </c>
      <c r="D84" s="3">
        <v>-0.1628</v>
      </c>
      <c r="E84" s="6">
        <v>9</v>
      </c>
      <c r="F84" s="5">
        <f t="shared" si="4"/>
        <v>10.946285760103574</v>
      </c>
      <c r="G84" s="5">
        <f t="shared" si="5"/>
        <v>98.516571840932173</v>
      </c>
    </row>
    <row r="85" spans="2:7" x14ac:dyDescent="0.3">
      <c r="B85" s="3" t="s">
        <v>89</v>
      </c>
      <c r="C85" s="3">
        <v>34.99</v>
      </c>
      <c r="D85" s="3">
        <v>-7.1300000000000002E-2</v>
      </c>
      <c r="E85" s="6">
        <v>8</v>
      </c>
      <c r="F85" s="5">
        <f t="shared" si="4"/>
        <v>19.779821588864525</v>
      </c>
      <c r="G85" s="5">
        <f t="shared" si="5"/>
        <v>158.2385727109162</v>
      </c>
    </row>
    <row r="86" spans="2:7" x14ac:dyDescent="0.3">
      <c r="B86" s="3" t="s">
        <v>90</v>
      </c>
      <c r="C86" s="3">
        <v>34.049999999999997</v>
      </c>
      <c r="D86" s="3">
        <v>-0.1114</v>
      </c>
      <c r="E86" s="6">
        <v>7</v>
      </c>
      <c r="F86" s="5">
        <f t="shared" si="4"/>
        <v>15.611846742075153</v>
      </c>
      <c r="G86" s="5">
        <f t="shared" si="5"/>
        <v>109.28292719452607</v>
      </c>
    </row>
    <row r="87" spans="2:7" x14ac:dyDescent="0.3">
      <c r="B87" s="3" t="s">
        <v>91</v>
      </c>
      <c r="C87" s="3">
        <v>47.67</v>
      </c>
      <c r="D87" s="3">
        <v>-3.5999999999999997E-2</v>
      </c>
      <c r="E87" s="6">
        <v>13</v>
      </c>
      <c r="F87" s="5">
        <f t="shared" si="4"/>
        <v>29.853505472755693</v>
      </c>
      <c r="G87" s="5">
        <f t="shared" si="5"/>
        <v>388.09557114582401</v>
      </c>
    </row>
    <row r="88" spans="2:7" x14ac:dyDescent="0.3">
      <c r="B88" s="3" t="s">
        <v>92</v>
      </c>
      <c r="C88" s="3">
        <v>18.399999999999999</v>
      </c>
      <c r="D88" s="3">
        <v>-5.8900000000000001E-2</v>
      </c>
      <c r="E88" s="6">
        <v>2</v>
      </c>
      <c r="F88" s="5">
        <f t="shared" si="4"/>
        <v>16.355278096644533</v>
      </c>
      <c r="G88" s="5">
        <f t="shared" si="5"/>
        <v>32.710556193289065</v>
      </c>
    </row>
    <row r="89" spans="2:7" x14ac:dyDescent="0.3">
      <c r="B89" s="3" t="s">
        <v>93</v>
      </c>
      <c r="C89" s="3">
        <v>31.23</v>
      </c>
      <c r="D89" s="3">
        <v>-0.1489</v>
      </c>
      <c r="E89" s="6">
        <v>5</v>
      </c>
      <c r="F89" s="5">
        <f t="shared" si="4"/>
        <v>14.833367016769962</v>
      </c>
      <c r="G89" s="5">
        <f t="shared" si="5"/>
        <v>74.166835083849804</v>
      </c>
    </row>
    <row r="90" spans="2:7" x14ac:dyDescent="0.3">
      <c r="B90" s="3" t="s">
        <v>94</v>
      </c>
      <c r="C90" s="3">
        <v>37.229999999999997</v>
      </c>
      <c r="D90" s="3">
        <v>-0.13009999999999999</v>
      </c>
      <c r="E90" s="6">
        <v>24</v>
      </c>
      <c r="F90" s="5">
        <f t="shared" si="4"/>
        <v>1.6400305798046657</v>
      </c>
      <c r="G90" s="5">
        <f t="shared" si="5"/>
        <v>39.360733915311975</v>
      </c>
    </row>
    <row r="91" spans="2:7" x14ac:dyDescent="0.3">
      <c r="B91" s="3" t="s">
        <v>95</v>
      </c>
      <c r="C91" s="3">
        <v>27.87</v>
      </c>
      <c r="D91" s="3">
        <v>-0.14929999999999999</v>
      </c>
      <c r="E91" s="6">
        <v>15</v>
      </c>
      <c r="F91" s="5">
        <f t="shared" si="4"/>
        <v>2.9684823872449373</v>
      </c>
      <c r="G91" s="5">
        <f t="shared" si="5"/>
        <v>44.527235808674057</v>
      </c>
    </row>
    <row r="92" spans="2:7" x14ac:dyDescent="0.3">
      <c r="B92" s="3" t="s">
        <v>96</v>
      </c>
      <c r="C92" s="3">
        <v>47.84</v>
      </c>
      <c r="D92" s="3">
        <v>-8.14E-2</v>
      </c>
      <c r="E92" s="6">
        <v>12</v>
      </c>
      <c r="F92" s="5">
        <f t="shared" si="4"/>
        <v>18.012430621688814</v>
      </c>
      <c r="G92" s="5">
        <f t="shared" si="5"/>
        <v>216.14916746026577</v>
      </c>
    </row>
    <row r="93" spans="2:7" x14ac:dyDescent="0.3">
      <c r="B93" s="3" t="s">
        <v>97</v>
      </c>
      <c r="C93" s="3">
        <v>21.9</v>
      </c>
      <c r="D93" s="3">
        <v>-8.8499999999999995E-2</v>
      </c>
      <c r="E93" s="6">
        <v>18</v>
      </c>
      <c r="F93" s="5">
        <f t="shared" si="4"/>
        <v>4.4525930610755671</v>
      </c>
      <c r="G93" s="5">
        <f t="shared" si="5"/>
        <v>80.146675099360209</v>
      </c>
    </row>
    <row r="94" spans="2:7" x14ac:dyDescent="0.3">
      <c r="B94" s="3" t="s">
        <v>98</v>
      </c>
      <c r="C94" s="3">
        <v>44.45</v>
      </c>
      <c r="D94" s="3">
        <v>-5.4399999999999997E-2</v>
      </c>
      <c r="E94" s="6">
        <v>14</v>
      </c>
      <c r="F94" s="5">
        <f t="shared" si="4"/>
        <v>20.754538838465109</v>
      </c>
      <c r="G94" s="5">
        <f t="shared" si="5"/>
        <v>290.5635437385115</v>
      </c>
    </row>
    <row r="95" spans="2:7" x14ac:dyDescent="0.3">
      <c r="B95" s="3" t="s">
        <v>99</v>
      </c>
      <c r="C95" s="3">
        <v>43.86</v>
      </c>
      <c r="D95" s="3">
        <v>-4.4699999999999997E-2</v>
      </c>
      <c r="E95" s="6">
        <v>5</v>
      </c>
      <c r="F95" s="5">
        <f t="shared" si="4"/>
        <v>35.075495157312766</v>
      </c>
      <c r="G95" s="5">
        <f t="shared" si="5"/>
        <v>175.37747578656382</v>
      </c>
    </row>
    <row r="96" spans="2:7" x14ac:dyDescent="0.3">
      <c r="B96" s="3" t="s">
        <v>100</v>
      </c>
      <c r="C96" s="3">
        <v>13.93</v>
      </c>
      <c r="D96" s="3">
        <v>-0.18659999999999999</v>
      </c>
      <c r="E96" s="6">
        <v>4</v>
      </c>
      <c r="F96" s="5">
        <f t="shared" si="4"/>
        <v>6.6037970076100647</v>
      </c>
      <c r="G96" s="5">
        <f t="shared" si="5"/>
        <v>26.415188030440259</v>
      </c>
    </row>
    <row r="97" spans="2:7" x14ac:dyDescent="0.3">
      <c r="B97" s="3" t="s">
        <v>101</v>
      </c>
      <c r="C97" s="3">
        <v>20.399999999999999</v>
      </c>
      <c r="D97" s="3">
        <v>-4.1500000000000002E-2</v>
      </c>
      <c r="E97" s="6">
        <v>18</v>
      </c>
      <c r="F97" s="5">
        <f t="shared" si="4"/>
        <v>9.6652299155897836</v>
      </c>
      <c r="G97" s="5">
        <f t="shared" si="5"/>
        <v>173.97413848061609</v>
      </c>
    </row>
    <row r="98" spans="2:7" x14ac:dyDescent="0.3">
      <c r="B98" s="3" t="s">
        <v>102</v>
      </c>
      <c r="C98" s="3">
        <v>48.47</v>
      </c>
      <c r="D98" s="3">
        <v>-1.61E-2</v>
      </c>
      <c r="E98" s="6">
        <v>9</v>
      </c>
      <c r="F98" s="5">
        <f t="shared" si="4"/>
        <v>41.931823519777474</v>
      </c>
      <c r="G98" s="5">
        <f t="shared" si="5"/>
        <v>377.38641167799727</v>
      </c>
    </row>
    <row r="99" spans="2:7" x14ac:dyDescent="0.3">
      <c r="B99" s="3" t="s">
        <v>103</v>
      </c>
      <c r="C99" s="3">
        <v>11.25</v>
      </c>
      <c r="D99" s="3">
        <v>-0.1525</v>
      </c>
      <c r="E99" s="6">
        <v>14</v>
      </c>
      <c r="F99" s="5">
        <f t="shared" si="4"/>
        <v>1.3302516417371488</v>
      </c>
      <c r="G99" s="5">
        <f t="shared" si="5"/>
        <v>18.623522984320083</v>
      </c>
    </row>
    <row r="100" spans="2:7" x14ac:dyDescent="0.3">
      <c r="B100" s="3" t="s">
        <v>104</v>
      </c>
      <c r="C100" s="3">
        <v>11.37</v>
      </c>
      <c r="D100" s="3">
        <v>-5.3100000000000001E-2</v>
      </c>
      <c r="E100" s="6">
        <v>7</v>
      </c>
      <c r="F100" s="5">
        <f t="shared" si="4"/>
        <v>7.8403094775650297</v>
      </c>
      <c r="G100" s="5">
        <f t="shared" si="5"/>
        <v>54.882166342955209</v>
      </c>
    </row>
    <row r="101" spans="2:7" x14ac:dyDescent="0.3">
      <c r="B101" s="3" t="s">
        <v>105</v>
      </c>
      <c r="C101" s="3">
        <v>15.35</v>
      </c>
      <c r="D101" s="3">
        <v>-5.3600000000000002E-2</v>
      </c>
      <c r="E101" s="6">
        <v>2</v>
      </c>
      <c r="F101" s="5">
        <f t="shared" si="4"/>
        <v>13.789610882414102</v>
      </c>
      <c r="G101" s="5">
        <f t="shared" si="5"/>
        <v>27.579221764828205</v>
      </c>
    </row>
    <row r="102" spans="2:7" x14ac:dyDescent="0.3">
      <c r="B102" s="3" t="s">
        <v>106</v>
      </c>
      <c r="C102" s="3">
        <v>32.6</v>
      </c>
      <c r="D102" s="3">
        <v>-0.19939999999999999</v>
      </c>
      <c r="E102" s="6">
        <v>20</v>
      </c>
      <c r="F102" s="5">
        <f t="shared" si="4"/>
        <v>0.60429806865260338</v>
      </c>
      <c r="G102" s="5">
        <f t="shared" si="5"/>
        <v>12.085961373052069</v>
      </c>
    </row>
    <row r="103" spans="2:7" x14ac:dyDescent="0.3">
      <c r="B103" s="3" t="s">
        <v>107</v>
      </c>
      <c r="C103" s="3">
        <v>40.67</v>
      </c>
      <c r="D103" s="3">
        <v>-8.77E-2</v>
      </c>
      <c r="E103" s="8">
        <v>10</v>
      </c>
      <c r="F103" s="7">
        <f t="shared" si="4"/>
        <v>16.919904668607227</v>
      </c>
      <c r="G103" s="7">
        <f t="shared" si="5"/>
        <v>169.19904668607228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(I)</vt:lpstr>
      <vt:lpstr>Data (II)</vt:lpstr>
      <vt:lpstr>Pricing (I)</vt:lpstr>
      <vt:lpstr>Pricing 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2019-04-26T03:08:06Z</dcterms:modified>
</cp:coreProperties>
</file>