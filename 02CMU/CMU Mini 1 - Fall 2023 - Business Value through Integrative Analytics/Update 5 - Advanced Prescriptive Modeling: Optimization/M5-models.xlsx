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/Library/CloudStorage/Box-Box/Teaching/LC Case Scripts/Final Scripts/"/>
    </mc:Choice>
  </mc:AlternateContent>
  <xr:revisionPtr revIDLastSave="0" documentId="13_ncr:1_{5AC15C81-CAD5-FB4C-A151-994BC23DF68A}" xr6:coauthVersionLast="47" xr6:coauthVersionMax="47" xr10:uidLastSave="{00000000-0000-0000-0000-000000000000}"/>
  <bookViews>
    <workbookView xWindow="8120" yWindow="500" windowWidth="18620" windowHeight="25760" activeTab="1" xr2:uid="{00000000-000D-0000-FFFF-FFFF00000000}"/>
  </bookViews>
  <sheets>
    <sheet name="loans_pred_opti_data" sheetId="3" r:id="rId1"/>
    <sheet name="ret_PESS" sheetId="2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1</definedName>
    <definedName name="solver_adj" localSheetId="1" hidden="1">ret_PESS!$A$2:$A$2001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ret_PESS!$E$13</definedName>
    <definedName name="solver_lhs2" localSheetId="1" hidden="1">ret_PESS!$E$13</definedName>
    <definedName name="solver_lhs3" localSheetId="1" hidden="1">ret_PESS!$A$2:$A$2001</definedName>
    <definedName name="solver_lhs4" localSheetId="1" hidden="1">ret_PESS!$E$10</definedName>
    <definedName name="solver_lhs5" localSheetId="1" hidden="1">ret_PESS!$E$26</definedName>
    <definedName name="solver_neg" localSheetId="1" hidden="1">1</definedName>
    <definedName name="solver_num" localSheetId="1" hidden="1">4</definedName>
    <definedName name="solver_nwt" localSheetId="1" hidden="1">1</definedName>
    <definedName name="solver_opt" localSheetId="1" hidden="1">ret_PESS!$E$35</definedName>
    <definedName name="solver_rel1" localSheetId="1" hidden="1">1</definedName>
    <definedName name="solver_rel2" localSheetId="1" hidden="1">3</definedName>
    <definedName name="solver_rel3" localSheetId="1" hidden="1">5</definedName>
    <definedName name="solver_rel4" localSheetId="1" hidden="1">1</definedName>
    <definedName name="solver_rel5" localSheetId="1" hidden="1">1</definedName>
    <definedName name="solver_rhs1" localSheetId="1" hidden="1">ret_PESS!$G$13</definedName>
    <definedName name="solver_rhs2" localSheetId="1" hidden="1">ret_PESS!$G$15</definedName>
    <definedName name="solver_rhs3" localSheetId="1" hidden="1">binary</definedName>
    <definedName name="solver_rhs4" localSheetId="1" hidden="1">ret_PESS!$G$10</definedName>
    <definedName name="solver_rhs5" localSheetId="1" hidden="1">ret_PESS!$G$26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0.05</definedName>
    <definedName name="solver_typ" localSheetId="1" hidden="1">1</definedName>
    <definedName name="solver_val" localSheetId="1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" i="2" l="1"/>
  <c r="E1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" i="2"/>
  <c r="C3" i="2"/>
  <c r="C4" i="2"/>
  <c r="C5" i="2"/>
  <c r="C6" i="2"/>
  <c r="C7" i="2"/>
  <c r="C8" i="2"/>
  <c r="C9" i="2"/>
  <c r="E35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" i="2"/>
  <c r="G15" i="2"/>
  <c r="E13" i="2"/>
  <c r="E4" i="2"/>
</calcChain>
</file>

<file path=xl/sharedStrings.xml><?xml version="1.0" encoding="utf-8"?>
<sst xmlns="http://schemas.openxmlformats.org/spreadsheetml/2006/main" count="2036" uniqueCount="38">
  <si>
    <t>lassoret_PESS</t>
  </si>
  <si>
    <t>std_PESS</t>
  </si>
  <si>
    <t>grade</t>
  </si>
  <si>
    <t>int_rate</t>
  </si>
  <si>
    <t>A</t>
  </si>
  <si>
    <t>C</t>
  </si>
  <si>
    <t>D</t>
  </si>
  <si>
    <t>E</t>
  </si>
  <si>
    <t>B</t>
  </si>
  <si>
    <t>G</t>
  </si>
  <si>
    <t>F</t>
  </si>
  <si>
    <t>Select? (0/1 Vars)</t>
  </si>
  <si>
    <t>Revenue Per Loan</t>
  </si>
  <si>
    <t>Markowitz Coefficient</t>
  </si>
  <si>
    <t>Simple Knapsack Model</t>
  </si>
  <si>
    <t>Objective - Total Revenue</t>
  </si>
  <si>
    <t>Constraint LHS's</t>
  </si>
  <si>
    <t>Constraint Type</t>
  </si>
  <si>
    <t>Constraint RHS's</t>
  </si>
  <si>
    <t>Budget Usage</t>
  </si>
  <si>
    <t>Budget</t>
  </si>
  <si>
    <t>&lt;=</t>
  </si>
  <si>
    <t>Total Loans Picked</t>
  </si>
  <si>
    <t>Max Loan Count</t>
  </si>
  <si>
    <t>Min Loan Count</t>
  </si>
  <si>
    <t>&gt;=</t>
  </si>
  <si>
    <t>Multiple Knapsack Model</t>
  </si>
  <si>
    <t>Use simple knapsack model + the following</t>
  </si>
  <si>
    <t>Total Risk</t>
  </si>
  <si>
    <t>Risk Budget</t>
  </si>
  <si>
    <t>Markowitz Model</t>
  </si>
  <si>
    <t>Use simple knapsack constraints + the following objective</t>
  </si>
  <si>
    <t>Markowitz Objective</t>
  </si>
  <si>
    <t>Sensitivity Parameter</t>
  </si>
  <si>
    <t>recoveries</t>
  </si>
  <si>
    <t>total_pymnt</t>
  </si>
  <si>
    <t>default</t>
  </si>
  <si>
    <t>funded_amnt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</si>
</sst>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9">
    <xf numFmtId="0" fontId="0" fillId="0" borderId="0" xfId="0"/>
    <xf numFmtId="0" fontId="11" fillId="6" borderId="5" xfId="10"/>
    <xf numFmtId="0" fontId="12" fillId="6" borderId="4" xfId="11"/>
    <xf numFmtId="0" fontId="7" fillId="2" borderId="0" xfId="6"/>
    <xf numFmtId="0" fontId="0" fillId="0" borderId="0" xfId="0" applyAlignment="1">
      <alignment horizontal="center"/>
    </xf>
    <xf numFmtId="0" fontId="9" fillId="4" borderId="0" xfId="8"/>
    <xf numFmtId="0" fontId="18" fillId="25" borderId="0" xfId="34"/>
    <xf numFmtId="0" fontId="1" fillId="0" borderId="0" xfId="42"/>
    <xf numFmtId="11" fontId="1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9F3C1F3-2C87-BD43-9968-EA49C2E2E79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611</xdr:row>
      <xdr:rowOff>31750</xdr:rowOff>
    </xdr:to>
    <xdr:sp macro="" textlink="">
      <xdr:nvSpPr>
        <xdr:cNvPr id="22" name="OpenSolver1">
          <a:extLst>
            <a:ext uri="{FF2B5EF4-FFF2-40B4-BE49-F238E27FC236}">
              <a16:creationId xmlns:a16="http://schemas.microsoft.com/office/drawing/2014/main" id="{72469211-AD1D-4856-A641-BD805AEAE44B}"/>
            </a:ext>
          </a:extLst>
        </xdr:cNvPr>
        <xdr:cNvSpPr/>
      </xdr:nvSpPr>
      <xdr:spPr>
        <a:xfrm>
          <a:off x="0" y="187325"/>
          <a:ext cx="1355725" cy="114300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0</xdr:colOff>
      <xdr:row>611</xdr:row>
      <xdr:rowOff>31750</xdr:rowOff>
    </xdr:from>
    <xdr:to>
      <xdr:col>1</xdr:col>
      <xdr:colOff>0</xdr:colOff>
      <xdr:row>2001</xdr:row>
      <xdr:rowOff>0</xdr:rowOff>
    </xdr:to>
    <xdr:sp macro="" textlink="">
      <xdr:nvSpPr>
        <xdr:cNvPr id="23" name="OpenSolver2">
          <a:extLst>
            <a:ext uri="{FF2B5EF4-FFF2-40B4-BE49-F238E27FC236}">
              <a16:creationId xmlns:a16="http://schemas.microsoft.com/office/drawing/2014/main" id="{825B89D3-25ED-499F-BACA-0567BD0BE636}"/>
            </a:ext>
          </a:extLst>
        </xdr:cNvPr>
        <xdr:cNvSpPr/>
      </xdr:nvSpPr>
      <xdr:spPr>
        <a:xfrm>
          <a:off x="0" y="114487325"/>
          <a:ext cx="1355725" cy="260350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sp macro="" textlink="">
      <xdr:nvSpPr>
        <xdr:cNvPr id="24" name="OpenSolver3">
          <a:extLst>
            <a:ext uri="{FF2B5EF4-FFF2-40B4-BE49-F238E27FC236}">
              <a16:creationId xmlns:a16="http://schemas.microsoft.com/office/drawing/2014/main" id="{B1FCDC91-2198-41A9-9DD1-FA9A52393846}"/>
            </a:ext>
          </a:extLst>
        </xdr:cNvPr>
        <xdr:cNvSpPr/>
      </xdr:nvSpPr>
      <xdr:spPr>
        <a:xfrm>
          <a:off x="7251700" y="6369050"/>
          <a:ext cx="1825625" cy="187325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</xdr:col>
      <xdr:colOff>2063750</xdr:colOff>
      <xdr:row>33</xdr:row>
      <xdr:rowOff>117475</xdr:rowOff>
    </xdr:from>
    <xdr:to>
      <xdr:col>4</xdr:col>
      <xdr:colOff>236535</xdr:colOff>
      <xdr:row>34</xdr:row>
      <xdr:rowOff>57150</xdr:rowOff>
    </xdr:to>
    <xdr:sp macro="" textlink="">
      <xdr:nvSpPr>
        <xdr:cNvPr id="25" name="OpenSolver4">
          <a:extLst>
            <a:ext uri="{FF2B5EF4-FFF2-40B4-BE49-F238E27FC236}">
              <a16:creationId xmlns:a16="http://schemas.microsoft.com/office/drawing/2014/main" id="{D90EEF91-72AB-4943-8E0B-E49EE5D5B7CB}"/>
            </a:ext>
          </a:extLst>
        </xdr:cNvPr>
        <xdr:cNvSpPr/>
      </xdr:nvSpPr>
      <xdr:spPr>
        <a:xfrm>
          <a:off x="7239000" y="62992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sp macro="" textlink="">
      <xdr:nvSpPr>
        <xdr:cNvPr id="26" name="OpenSolver5">
          <a:extLst>
            <a:ext uri="{FF2B5EF4-FFF2-40B4-BE49-F238E27FC236}">
              <a16:creationId xmlns:a16="http://schemas.microsoft.com/office/drawing/2014/main" id="{67D8B3B9-373D-409B-911D-21325CCCEDE1}"/>
            </a:ext>
          </a:extLst>
        </xdr:cNvPr>
        <xdr:cNvSpPr/>
      </xdr:nvSpPr>
      <xdr:spPr>
        <a:xfrm>
          <a:off x="7251700" y="2247900"/>
          <a:ext cx="1825625" cy="187325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sp macro="" textlink="">
      <xdr:nvSpPr>
        <xdr:cNvPr id="27" name="OpenSolver6">
          <a:extLst>
            <a:ext uri="{FF2B5EF4-FFF2-40B4-BE49-F238E27FC236}">
              <a16:creationId xmlns:a16="http://schemas.microsoft.com/office/drawing/2014/main" id="{468E592C-A697-4D22-A5E3-14CE0ADA7F0A}"/>
            </a:ext>
          </a:extLst>
        </xdr:cNvPr>
        <xdr:cNvSpPr/>
      </xdr:nvSpPr>
      <xdr:spPr>
        <a:xfrm>
          <a:off x="10922000" y="2247900"/>
          <a:ext cx="2025650" cy="187325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5</xdr:col>
      <xdr:colOff>0</xdr:colOff>
      <xdr:row>12</xdr:row>
      <xdr:rowOff>93663</xdr:rowOff>
    </xdr:from>
    <xdr:to>
      <xdr:col>6</xdr:col>
      <xdr:colOff>0</xdr:colOff>
      <xdr:row>12</xdr:row>
      <xdr:rowOff>93663</xdr:rowOff>
    </xdr:to>
    <xdr:cxnSp macro="">
      <xdr:nvCxnSpPr>
        <xdr:cNvPr id="28" name="OpenSolver7">
          <a:extLst>
            <a:ext uri="{FF2B5EF4-FFF2-40B4-BE49-F238E27FC236}">
              <a16:creationId xmlns:a16="http://schemas.microsoft.com/office/drawing/2014/main" id="{37CBFC78-C5B3-46AF-A2C8-9F595521E0FB}"/>
            </a:ext>
          </a:extLst>
        </xdr:cNvPr>
        <xdr:cNvCxnSpPr>
          <a:stCxn id="26" idx="3"/>
          <a:endCxn id="27" idx="1"/>
        </xdr:cNvCxnSpPr>
      </xdr:nvCxnSpPr>
      <xdr:spPr>
        <a:xfrm>
          <a:off x="9077325" y="2341563"/>
          <a:ext cx="1844675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731838</xdr:colOff>
      <xdr:row>11</xdr:row>
      <xdr:rowOff>153988</xdr:rowOff>
    </xdr:from>
    <xdr:to>
      <xdr:col>5</xdr:col>
      <xdr:colOff>1112838</xdr:colOff>
      <xdr:row>13</xdr:row>
      <xdr:rowOff>33338</xdr:rowOff>
    </xdr:to>
    <xdr:sp macro="" textlink="">
      <xdr:nvSpPr>
        <xdr:cNvPr id="29" name="OpenSolver8">
          <a:extLst>
            <a:ext uri="{FF2B5EF4-FFF2-40B4-BE49-F238E27FC236}">
              <a16:creationId xmlns:a16="http://schemas.microsoft.com/office/drawing/2014/main" id="{2E3AF2BC-6BBB-4164-B1C9-AAFF3A2E06E9}"/>
            </a:ext>
          </a:extLst>
        </xdr:cNvPr>
        <xdr:cNvSpPr/>
      </xdr:nvSpPr>
      <xdr:spPr>
        <a:xfrm>
          <a:off x="9809163" y="221456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12700</xdr:colOff>
      <xdr:row>12</xdr:row>
      <xdr:rowOff>12700</xdr:rowOff>
    </xdr:from>
    <xdr:to>
      <xdr:col>5</xdr:col>
      <xdr:colOff>0</xdr:colOff>
      <xdr:row>13</xdr:row>
      <xdr:rowOff>0</xdr:rowOff>
    </xdr:to>
    <xdr:sp macro="" textlink="">
      <xdr:nvSpPr>
        <xdr:cNvPr id="30" name="OpenSolver9">
          <a:extLst>
            <a:ext uri="{FF2B5EF4-FFF2-40B4-BE49-F238E27FC236}">
              <a16:creationId xmlns:a16="http://schemas.microsoft.com/office/drawing/2014/main" id="{85E4042A-1A32-457A-A6D8-7AEAA0B5681B}"/>
            </a:ext>
          </a:extLst>
        </xdr:cNvPr>
        <xdr:cNvSpPr/>
      </xdr:nvSpPr>
      <xdr:spPr>
        <a:xfrm>
          <a:off x="7264400" y="2260600"/>
          <a:ext cx="1812925" cy="174625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sp macro="" textlink="">
      <xdr:nvSpPr>
        <xdr:cNvPr id="31" name="OpenSolver10">
          <a:extLst>
            <a:ext uri="{FF2B5EF4-FFF2-40B4-BE49-F238E27FC236}">
              <a16:creationId xmlns:a16="http://schemas.microsoft.com/office/drawing/2014/main" id="{4CB96849-BD4D-4296-B48C-A99BBF531B94}"/>
            </a:ext>
          </a:extLst>
        </xdr:cNvPr>
        <xdr:cNvSpPr/>
      </xdr:nvSpPr>
      <xdr:spPr>
        <a:xfrm>
          <a:off x="10922000" y="2622550"/>
          <a:ext cx="2025650" cy="187325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5</xdr:col>
      <xdr:colOff>0</xdr:colOff>
      <xdr:row>12</xdr:row>
      <xdr:rowOff>100013</xdr:rowOff>
    </xdr:from>
    <xdr:to>
      <xdr:col>6</xdr:col>
      <xdr:colOff>0</xdr:colOff>
      <xdr:row>14</xdr:row>
      <xdr:rowOff>93663</xdr:rowOff>
    </xdr:to>
    <xdr:cxnSp macro="">
      <xdr:nvCxnSpPr>
        <xdr:cNvPr id="32" name="OpenSolver11">
          <a:extLst>
            <a:ext uri="{FF2B5EF4-FFF2-40B4-BE49-F238E27FC236}">
              <a16:creationId xmlns:a16="http://schemas.microsoft.com/office/drawing/2014/main" id="{F3B6949B-F931-4242-94F8-F19CB46E51F7}"/>
            </a:ext>
          </a:extLst>
        </xdr:cNvPr>
        <xdr:cNvCxnSpPr>
          <a:stCxn id="30" idx="3"/>
          <a:endCxn id="31" idx="1"/>
        </xdr:cNvCxnSpPr>
      </xdr:nvCxnSpPr>
      <xdr:spPr>
        <a:xfrm>
          <a:off x="9077325" y="2347913"/>
          <a:ext cx="1844675" cy="36830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731838</xdr:colOff>
      <xdr:row>12</xdr:row>
      <xdr:rowOff>157163</xdr:rowOff>
    </xdr:from>
    <xdr:to>
      <xdr:col>5</xdr:col>
      <xdr:colOff>1112838</xdr:colOff>
      <xdr:row>14</xdr:row>
      <xdr:rowOff>36513</xdr:rowOff>
    </xdr:to>
    <xdr:sp macro="" textlink="">
      <xdr:nvSpPr>
        <xdr:cNvPr id="33" name="OpenSolver12">
          <a:extLst>
            <a:ext uri="{FF2B5EF4-FFF2-40B4-BE49-F238E27FC236}">
              <a16:creationId xmlns:a16="http://schemas.microsoft.com/office/drawing/2014/main" id="{6838964B-304B-40D6-AEBD-CDBBA88762D0}"/>
            </a:ext>
          </a:extLst>
        </xdr:cNvPr>
        <xdr:cNvSpPr/>
      </xdr:nvSpPr>
      <xdr:spPr>
        <a:xfrm>
          <a:off x="9809163" y="240506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34" name="OpenSolver13">
          <a:extLst>
            <a:ext uri="{FF2B5EF4-FFF2-40B4-BE49-F238E27FC236}">
              <a16:creationId xmlns:a16="http://schemas.microsoft.com/office/drawing/2014/main" id="{92F2CE55-40D5-4327-B470-D5309B42424B}"/>
            </a:ext>
          </a:extLst>
        </xdr:cNvPr>
        <xdr:cNvSpPr/>
      </xdr:nvSpPr>
      <xdr:spPr>
        <a:xfrm>
          <a:off x="7899400" y="1714500"/>
          <a:ext cx="1993900" cy="1905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sp macro="" textlink="">
      <xdr:nvSpPr>
        <xdr:cNvPr id="35" name="OpenSolver14">
          <a:extLst>
            <a:ext uri="{FF2B5EF4-FFF2-40B4-BE49-F238E27FC236}">
              <a16:creationId xmlns:a16="http://schemas.microsoft.com/office/drawing/2014/main" id="{E62635BA-8DDB-4319-81DF-7BDDDC6790AC}"/>
            </a:ext>
          </a:extLst>
        </xdr:cNvPr>
        <xdr:cNvSpPr/>
      </xdr:nvSpPr>
      <xdr:spPr>
        <a:xfrm>
          <a:off x="10922000" y="1685925"/>
          <a:ext cx="2025650" cy="187325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5</xdr:col>
      <xdr:colOff>0</xdr:colOff>
      <xdr:row>9</xdr:row>
      <xdr:rowOff>95250</xdr:rowOff>
    </xdr:from>
    <xdr:to>
      <xdr:col>6</xdr:col>
      <xdr:colOff>0</xdr:colOff>
      <xdr:row>9</xdr:row>
      <xdr:rowOff>95250</xdr:rowOff>
    </xdr:to>
    <xdr:cxnSp macro="">
      <xdr:nvCxnSpPr>
        <xdr:cNvPr id="36" name="OpenSolver15">
          <a:extLst>
            <a:ext uri="{FF2B5EF4-FFF2-40B4-BE49-F238E27FC236}">
              <a16:creationId xmlns:a16="http://schemas.microsoft.com/office/drawing/2014/main" id="{BAD5A876-5DB8-408F-B23F-559E35C106B0}"/>
            </a:ext>
          </a:extLst>
        </xdr:cNvPr>
        <xdr:cNvCxnSpPr>
          <a:stCxn id="34" idx="3"/>
          <a:endCxn id="35" idx="1"/>
        </xdr:cNvCxnSpPr>
      </xdr:nvCxnSpPr>
      <xdr:spPr>
        <a:xfrm>
          <a:off x="9893300" y="1809750"/>
          <a:ext cx="20066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731838</xdr:colOff>
      <xdr:row>8</xdr:row>
      <xdr:rowOff>153988</xdr:rowOff>
    </xdr:from>
    <xdr:to>
      <xdr:col>5</xdr:col>
      <xdr:colOff>1112838</xdr:colOff>
      <xdr:row>10</xdr:row>
      <xdr:rowOff>33338</xdr:rowOff>
    </xdr:to>
    <xdr:sp macro="" textlink="">
      <xdr:nvSpPr>
        <xdr:cNvPr id="37" name="OpenSolver16">
          <a:extLst>
            <a:ext uri="{FF2B5EF4-FFF2-40B4-BE49-F238E27FC236}">
              <a16:creationId xmlns:a16="http://schemas.microsoft.com/office/drawing/2014/main" id="{B565F45D-5226-4565-9F59-12DBE0F27A65}"/>
            </a:ext>
          </a:extLst>
        </xdr:cNvPr>
        <xdr:cNvSpPr/>
      </xdr:nvSpPr>
      <xdr:spPr>
        <a:xfrm>
          <a:off x="9809163" y="1652588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12700</xdr:colOff>
      <xdr:row>1</xdr:row>
      <xdr:rowOff>12700</xdr:rowOff>
    </xdr:from>
    <xdr:to>
      <xdr:col>1</xdr:col>
      <xdr:colOff>0</xdr:colOff>
      <xdr:row>611</xdr:row>
      <xdr:rowOff>44450</xdr:rowOff>
    </xdr:to>
    <xdr:sp macro="" textlink="">
      <xdr:nvSpPr>
        <xdr:cNvPr id="38" name="OpenSolver17">
          <a:extLst>
            <a:ext uri="{FF2B5EF4-FFF2-40B4-BE49-F238E27FC236}">
              <a16:creationId xmlns:a16="http://schemas.microsoft.com/office/drawing/2014/main" id="{784FDD8D-26EB-4947-BE02-28A9BF2735BE}"/>
            </a:ext>
          </a:extLst>
        </xdr:cNvPr>
        <xdr:cNvSpPr/>
      </xdr:nvSpPr>
      <xdr:spPr>
        <a:xfrm>
          <a:off x="12700" y="200025"/>
          <a:ext cx="1343025" cy="1143000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12700</xdr:colOff>
      <xdr:row>611</xdr:row>
      <xdr:rowOff>44450</xdr:rowOff>
    </xdr:from>
    <xdr:to>
      <xdr:col>1</xdr:col>
      <xdr:colOff>0</xdr:colOff>
      <xdr:row>2001</xdr:row>
      <xdr:rowOff>0</xdr:rowOff>
    </xdr:to>
    <xdr:sp macro="" textlink="">
      <xdr:nvSpPr>
        <xdr:cNvPr id="39" name="OpenSolver18">
          <a:extLst>
            <a:ext uri="{FF2B5EF4-FFF2-40B4-BE49-F238E27FC236}">
              <a16:creationId xmlns:a16="http://schemas.microsoft.com/office/drawing/2014/main" id="{91DE9688-B202-4CD2-A166-91ECE28EFD1F}"/>
            </a:ext>
          </a:extLst>
        </xdr:cNvPr>
        <xdr:cNvSpPr/>
      </xdr:nvSpPr>
      <xdr:spPr>
        <a:xfrm>
          <a:off x="12700" y="114500025"/>
          <a:ext cx="1343025" cy="260337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321242</xdr:colOff>
      <xdr:row>1</xdr:row>
      <xdr:rowOff>66675</xdr:rowOff>
    </xdr:to>
    <xdr:sp macro="" textlink="">
      <xdr:nvSpPr>
        <xdr:cNvPr id="40" name="OpenSolver19">
          <a:extLst>
            <a:ext uri="{FF2B5EF4-FFF2-40B4-BE49-F238E27FC236}">
              <a16:creationId xmlns:a16="http://schemas.microsoft.com/office/drawing/2014/main" id="{0873D195-7970-4A02-8805-2BA5AB29D551}"/>
            </a:ext>
          </a:extLst>
        </xdr:cNvPr>
        <xdr:cNvSpPr/>
      </xdr:nvSpPr>
      <xdr:spPr>
        <a:xfrm>
          <a:off x="0" y="1270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A1F5-43AF-BA45-8DCB-D24FDF0EAF46}">
  <dimension ref="A1:I2001"/>
  <sheetViews>
    <sheetView workbookViewId="0"/>
  </sheetViews>
  <sheetFormatPr baseColWidth="10" defaultRowHeight="16" x14ac:dyDescent="0.2"/>
  <cols>
    <col min="1" max="16384" width="10.83203125" style="7"/>
  </cols>
  <sheetData>
    <row r="1" spans="1:9" x14ac:dyDescent="0.2">
      <c r="B1" s="7" t="s">
        <v>0</v>
      </c>
      <c r="C1" s="7" t="s">
        <v>1</v>
      </c>
      <c r="D1" s="7" t="s">
        <v>37</v>
      </c>
      <c r="E1" s="7" t="s">
        <v>2</v>
      </c>
      <c r="F1" s="7" t="s">
        <v>3</v>
      </c>
      <c r="G1" s="7" t="s">
        <v>36</v>
      </c>
      <c r="H1" s="7" t="s">
        <v>35</v>
      </c>
      <c r="I1" s="7" t="s">
        <v>34</v>
      </c>
    </row>
    <row r="2" spans="1:9" x14ac:dyDescent="0.2">
      <c r="A2" s="7">
        <v>75948</v>
      </c>
      <c r="B2" s="7">
        <v>2.2075878169351301E-2</v>
      </c>
      <c r="C2" s="7">
        <v>8.1509172207196695E-2</v>
      </c>
      <c r="D2" s="7">
        <v>10000</v>
      </c>
      <c r="E2" s="7" t="s">
        <v>4</v>
      </c>
      <c r="F2" s="7">
        <v>6.62</v>
      </c>
      <c r="G2" s="7">
        <v>0</v>
      </c>
      <c r="H2" s="7">
        <v>11002.2499999994</v>
      </c>
      <c r="I2" s="7">
        <v>0</v>
      </c>
    </row>
    <row r="3" spans="1:9" x14ac:dyDescent="0.2">
      <c r="A3" s="7">
        <v>42073</v>
      </c>
      <c r="B3" s="7">
        <v>9.1794397482954301E-3</v>
      </c>
      <c r="C3" s="7">
        <v>8.4798680815203503E-2</v>
      </c>
      <c r="D3" s="7">
        <v>21000</v>
      </c>
      <c r="E3" s="7" t="s">
        <v>5</v>
      </c>
      <c r="F3" s="7">
        <v>15.88</v>
      </c>
      <c r="G3" s="7">
        <v>0</v>
      </c>
      <c r="H3" s="7">
        <v>25863.480003891898</v>
      </c>
      <c r="I3" s="7">
        <v>0</v>
      </c>
    </row>
    <row r="4" spans="1:9" x14ac:dyDescent="0.2">
      <c r="A4" s="7">
        <v>124338</v>
      </c>
      <c r="B4" s="7">
        <v>-3.89539090740121E-3</v>
      </c>
      <c r="C4" s="7">
        <v>8.4798680815203503E-2</v>
      </c>
      <c r="D4" s="7">
        <v>18825</v>
      </c>
      <c r="E4" s="7" t="s">
        <v>5</v>
      </c>
      <c r="F4" s="7">
        <v>16.29</v>
      </c>
      <c r="G4" s="7">
        <v>1</v>
      </c>
      <c r="H4" s="7">
        <v>15017.52</v>
      </c>
      <c r="I4" s="7">
        <v>1668.62</v>
      </c>
    </row>
    <row r="5" spans="1:9" x14ac:dyDescent="0.2">
      <c r="A5" s="7">
        <v>77394</v>
      </c>
      <c r="B5" s="7">
        <v>2.99322611237497E-2</v>
      </c>
      <c r="C5" s="7">
        <v>7.4974238972806501E-2</v>
      </c>
      <c r="D5" s="7">
        <v>10000</v>
      </c>
      <c r="E5" s="7" t="s">
        <v>6</v>
      </c>
      <c r="F5" s="7">
        <v>18.489999999999998</v>
      </c>
      <c r="G5" s="7">
        <v>0</v>
      </c>
      <c r="H5" s="7">
        <v>13103.486716802599</v>
      </c>
      <c r="I5" s="7">
        <v>0</v>
      </c>
    </row>
    <row r="6" spans="1:9" x14ac:dyDescent="0.2">
      <c r="A6" s="7">
        <v>128896</v>
      </c>
      <c r="B6" s="7">
        <v>7.4171233513644101E-3</v>
      </c>
      <c r="C6" s="7">
        <v>8.1509172207196695E-2</v>
      </c>
      <c r="D6" s="7">
        <v>4000</v>
      </c>
      <c r="E6" s="7" t="s">
        <v>4</v>
      </c>
      <c r="F6" s="7">
        <v>7.62</v>
      </c>
      <c r="G6" s="7">
        <v>1</v>
      </c>
      <c r="H6" s="7">
        <v>615.82000000000005</v>
      </c>
      <c r="I6" s="7">
        <v>212.32</v>
      </c>
    </row>
    <row r="7" spans="1:9" x14ac:dyDescent="0.2">
      <c r="A7" s="7">
        <v>111753</v>
      </c>
      <c r="B7" s="7">
        <v>3.5854309381570602E-2</v>
      </c>
      <c r="C7" s="7">
        <v>8.4798680815203503E-2</v>
      </c>
      <c r="D7" s="7">
        <v>30225</v>
      </c>
      <c r="E7" s="7" t="s">
        <v>6</v>
      </c>
      <c r="F7" s="7">
        <v>19.72</v>
      </c>
      <c r="G7" s="7">
        <v>1</v>
      </c>
      <c r="H7" s="7">
        <v>6065.72</v>
      </c>
      <c r="I7" s="7">
        <v>1590.92</v>
      </c>
    </row>
    <row r="8" spans="1:9" x14ac:dyDescent="0.2">
      <c r="A8" s="7">
        <v>133312</v>
      </c>
      <c r="B8" s="7">
        <v>3.58439108525197E-2</v>
      </c>
      <c r="C8" s="7">
        <v>8.1509172207196695E-2</v>
      </c>
      <c r="D8" s="7">
        <v>5200</v>
      </c>
      <c r="E8" s="7" t="s">
        <v>5</v>
      </c>
      <c r="F8" s="7">
        <v>13.99</v>
      </c>
      <c r="G8" s="7">
        <v>0</v>
      </c>
      <c r="H8" s="7">
        <v>6354.9469943689001</v>
      </c>
      <c r="I8" s="7">
        <v>0</v>
      </c>
    </row>
    <row r="9" spans="1:9" x14ac:dyDescent="0.2">
      <c r="A9" s="7">
        <v>74862</v>
      </c>
      <c r="B9" s="7">
        <v>3.0216831189090399E-2</v>
      </c>
      <c r="C9" s="7">
        <v>7.4974238972806501E-2</v>
      </c>
      <c r="D9" s="7">
        <v>12000</v>
      </c>
      <c r="E9" s="7" t="s">
        <v>4</v>
      </c>
      <c r="F9" s="7">
        <v>8.9</v>
      </c>
      <c r="G9" s="7">
        <v>0</v>
      </c>
      <c r="H9" s="7">
        <v>13717.380078783501</v>
      </c>
      <c r="I9" s="7">
        <v>0</v>
      </c>
    </row>
    <row r="10" spans="1:9" x14ac:dyDescent="0.2">
      <c r="A10" s="7">
        <v>122169</v>
      </c>
      <c r="B10" s="7">
        <v>2.61923656680688E-2</v>
      </c>
      <c r="C10" s="7">
        <v>7.4974238972806501E-2</v>
      </c>
      <c r="D10" s="7">
        <v>5000</v>
      </c>
      <c r="E10" s="7" t="s">
        <v>4</v>
      </c>
      <c r="F10" s="7">
        <v>7.9</v>
      </c>
      <c r="G10" s="7">
        <v>0</v>
      </c>
      <c r="H10" s="7">
        <v>5632.2100000004002</v>
      </c>
      <c r="I10" s="7">
        <v>0</v>
      </c>
    </row>
    <row r="11" spans="1:9" x14ac:dyDescent="0.2">
      <c r="A11" s="7">
        <v>118502</v>
      </c>
      <c r="B11" s="7">
        <v>1.7208771882929502E-2</v>
      </c>
      <c r="C11" s="7">
        <v>7.4974238972806501E-2</v>
      </c>
      <c r="D11" s="7">
        <v>11125</v>
      </c>
      <c r="E11" s="7" t="s">
        <v>4</v>
      </c>
      <c r="F11" s="7">
        <v>7.62</v>
      </c>
      <c r="G11" s="7">
        <v>0</v>
      </c>
      <c r="H11" s="7">
        <v>12480.627045000299</v>
      </c>
      <c r="I11" s="7">
        <v>0</v>
      </c>
    </row>
    <row r="12" spans="1:9" x14ac:dyDescent="0.2">
      <c r="A12" s="7">
        <v>98404</v>
      </c>
      <c r="B12" s="7">
        <v>2.7467878032752101E-2</v>
      </c>
      <c r="C12" s="7">
        <v>8.1509172207196695E-2</v>
      </c>
      <c r="D12" s="7">
        <v>20000</v>
      </c>
      <c r="E12" s="7" t="s">
        <v>8</v>
      </c>
      <c r="F12" s="7">
        <v>13.11</v>
      </c>
      <c r="G12" s="7">
        <v>0</v>
      </c>
      <c r="H12" s="7">
        <v>22865.986891439901</v>
      </c>
      <c r="I12" s="7">
        <v>0</v>
      </c>
    </row>
    <row r="13" spans="1:9" x14ac:dyDescent="0.2">
      <c r="A13" s="7">
        <v>139024</v>
      </c>
      <c r="B13" s="7">
        <v>3.7196111030843901E-2</v>
      </c>
      <c r="C13" s="7">
        <v>8.4798680815203503E-2</v>
      </c>
      <c r="D13" s="7">
        <v>22000</v>
      </c>
      <c r="E13" s="7" t="s">
        <v>5</v>
      </c>
      <c r="F13" s="7">
        <v>15.81</v>
      </c>
      <c r="G13" s="7">
        <v>0</v>
      </c>
      <c r="H13" s="7">
        <v>26337.700468729101</v>
      </c>
      <c r="I13" s="7">
        <v>0</v>
      </c>
    </row>
    <row r="14" spans="1:9" x14ac:dyDescent="0.2">
      <c r="A14" s="7">
        <v>11172</v>
      </c>
      <c r="B14" s="7">
        <v>3.4275291291589002E-2</v>
      </c>
      <c r="C14" s="7">
        <v>5.3944556304700297E-2</v>
      </c>
      <c r="D14" s="7">
        <v>18200</v>
      </c>
      <c r="E14" s="7" t="s">
        <v>4</v>
      </c>
      <c r="F14" s="7">
        <v>7.62</v>
      </c>
      <c r="G14" s="7">
        <v>0</v>
      </c>
      <c r="H14" s="7">
        <v>20175.950010280201</v>
      </c>
      <c r="I14" s="7">
        <v>0</v>
      </c>
    </row>
    <row r="15" spans="1:9" x14ac:dyDescent="0.2">
      <c r="A15" s="7">
        <v>91931</v>
      </c>
      <c r="B15" s="7">
        <v>2.5369566780201601E-2</v>
      </c>
      <c r="C15" s="7">
        <v>8.1509172207196695E-2</v>
      </c>
      <c r="D15" s="7">
        <v>6625</v>
      </c>
      <c r="E15" s="7" t="s">
        <v>6</v>
      </c>
      <c r="F15" s="7">
        <v>17.77</v>
      </c>
      <c r="G15" s="7">
        <v>0</v>
      </c>
      <c r="H15" s="7">
        <v>8203.9433345161997</v>
      </c>
      <c r="I15" s="7">
        <v>0</v>
      </c>
    </row>
    <row r="16" spans="1:9" x14ac:dyDescent="0.2">
      <c r="A16" s="7">
        <v>44784</v>
      </c>
      <c r="B16" s="7">
        <v>2.5649985578981099E-2</v>
      </c>
      <c r="C16" s="7">
        <v>7.4974238972806501E-2</v>
      </c>
      <c r="D16" s="7">
        <v>10000</v>
      </c>
      <c r="E16" s="7" t="s">
        <v>6</v>
      </c>
      <c r="F16" s="7">
        <v>18.25</v>
      </c>
      <c r="G16" s="7">
        <v>0</v>
      </c>
      <c r="H16" s="7">
        <v>12114.6516143769</v>
      </c>
      <c r="I16" s="7">
        <v>0</v>
      </c>
    </row>
    <row r="17" spans="1:9" x14ac:dyDescent="0.2">
      <c r="A17" s="7">
        <v>70468</v>
      </c>
      <c r="B17" s="7">
        <v>6.1186235200520603E-4</v>
      </c>
      <c r="C17" s="7">
        <v>8.4798680815203503E-2</v>
      </c>
      <c r="D17" s="7">
        <v>20000</v>
      </c>
      <c r="E17" s="7" t="s">
        <v>5</v>
      </c>
      <c r="F17" s="7">
        <v>15.8</v>
      </c>
      <c r="G17" s="7">
        <v>0</v>
      </c>
      <c r="H17" s="7">
        <v>23372.469413977698</v>
      </c>
      <c r="I17" s="7">
        <v>0</v>
      </c>
    </row>
    <row r="18" spans="1:9" x14ac:dyDescent="0.2">
      <c r="A18" s="7">
        <v>132291</v>
      </c>
      <c r="B18" s="7">
        <v>-4.7817528748644801E-4</v>
      </c>
      <c r="C18" s="7">
        <v>8.4798680815203503E-2</v>
      </c>
      <c r="D18" s="7">
        <v>29700</v>
      </c>
      <c r="E18" s="7" t="s">
        <v>7</v>
      </c>
      <c r="F18" s="7">
        <v>20.5</v>
      </c>
      <c r="G18" s="7">
        <v>1</v>
      </c>
      <c r="H18" s="7">
        <v>27614.87</v>
      </c>
      <c r="I18" s="7">
        <v>2698.24</v>
      </c>
    </row>
    <row r="19" spans="1:9" x14ac:dyDescent="0.2">
      <c r="A19" s="7">
        <v>126912</v>
      </c>
      <c r="B19" s="7">
        <v>3.0134909874513501E-2</v>
      </c>
      <c r="C19" s="7">
        <v>7.4974238972806501E-2</v>
      </c>
      <c r="D19" s="7">
        <v>10000</v>
      </c>
      <c r="E19" s="7" t="s">
        <v>5</v>
      </c>
      <c r="F19" s="7">
        <v>13.99</v>
      </c>
      <c r="G19" s="7">
        <v>0</v>
      </c>
      <c r="H19" s="7">
        <v>11458.981178264899</v>
      </c>
      <c r="I19" s="7">
        <v>0</v>
      </c>
    </row>
    <row r="20" spans="1:9" x14ac:dyDescent="0.2">
      <c r="A20" s="7">
        <v>19705</v>
      </c>
      <c r="B20" s="7">
        <v>1.9323584493910299E-2</v>
      </c>
      <c r="C20" s="7">
        <v>8.1509172207196695E-2</v>
      </c>
      <c r="D20" s="7">
        <v>10000</v>
      </c>
      <c r="E20" s="7" t="s">
        <v>8</v>
      </c>
      <c r="F20" s="7">
        <v>10.99</v>
      </c>
      <c r="G20" s="7">
        <v>1</v>
      </c>
      <c r="H20" s="7">
        <v>6546.8</v>
      </c>
      <c r="I20" s="7">
        <v>0</v>
      </c>
    </row>
    <row r="21" spans="1:9" x14ac:dyDescent="0.2">
      <c r="A21" s="7">
        <v>109389</v>
      </c>
      <c r="B21" s="7">
        <v>-3.62972926566291E-3</v>
      </c>
      <c r="C21" s="7">
        <v>8.1509172207196695E-2</v>
      </c>
      <c r="D21" s="7">
        <v>13125</v>
      </c>
      <c r="E21" s="7" t="s">
        <v>6</v>
      </c>
      <c r="F21" s="7">
        <v>18.75</v>
      </c>
      <c r="G21" s="7">
        <v>0</v>
      </c>
      <c r="H21" s="7">
        <v>13330.274374897701</v>
      </c>
      <c r="I21" s="7">
        <v>0</v>
      </c>
    </row>
    <row r="22" spans="1:9" x14ac:dyDescent="0.2">
      <c r="A22" s="7">
        <v>37116</v>
      </c>
      <c r="B22" s="7">
        <v>2.07400861857777E-2</v>
      </c>
      <c r="C22" s="7">
        <v>8.1509172207196695E-2</v>
      </c>
      <c r="D22" s="7">
        <v>10000</v>
      </c>
      <c r="E22" s="7" t="s">
        <v>4</v>
      </c>
      <c r="F22" s="7">
        <v>6.62</v>
      </c>
      <c r="G22" s="7">
        <v>0</v>
      </c>
      <c r="H22" s="7">
        <v>10643.0557102695</v>
      </c>
      <c r="I22" s="7">
        <v>0</v>
      </c>
    </row>
    <row r="23" spans="1:9" x14ac:dyDescent="0.2">
      <c r="A23" s="7">
        <v>97768</v>
      </c>
      <c r="B23" s="7">
        <v>6.3805331592495899E-3</v>
      </c>
      <c r="C23" s="7">
        <v>8.4798680815203503E-2</v>
      </c>
      <c r="D23" s="7">
        <v>35000</v>
      </c>
      <c r="E23" s="7" t="s">
        <v>7</v>
      </c>
      <c r="F23" s="7">
        <v>21.49</v>
      </c>
      <c r="G23" s="7">
        <v>0</v>
      </c>
      <c r="H23" s="7">
        <v>46283.514649213001</v>
      </c>
      <c r="I23" s="7">
        <v>0</v>
      </c>
    </row>
    <row r="24" spans="1:9" x14ac:dyDescent="0.2">
      <c r="A24" s="7">
        <v>40172</v>
      </c>
      <c r="B24" s="7">
        <v>2.0886219827143202E-3</v>
      </c>
      <c r="C24" s="7">
        <v>8.4798680815203503E-2</v>
      </c>
      <c r="D24" s="7">
        <v>34475</v>
      </c>
      <c r="E24" s="7" t="s">
        <v>8</v>
      </c>
      <c r="F24" s="7">
        <v>12.35</v>
      </c>
      <c r="G24" s="7">
        <v>0</v>
      </c>
      <c r="H24" s="7">
        <v>40568.11</v>
      </c>
      <c r="I24" s="7">
        <v>0</v>
      </c>
    </row>
    <row r="25" spans="1:9" x14ac:dyDescent="0.2">
      <c r="A25" s="7">
        <v>20776</v>
      </c>
      <c r="B25" s="7">
        <v>3.5013796271754397E-2</v>
      </c>
      <c r="C25" s="7">
        <v>8.1509172207196695E-2</v>
      </c>
      <c r="D25" s="7">
        <v>8000</v>
      </c>
      <c r="E25" s="7" t="s">
        <v>5</v>
      </c>
      <c r="F25" s="7">
        <v>15.1</v>
      </c>
      <c r="G25" s="7">
        <v>0</v>
      </c>
      <c r="H25" s="7">
        <v>9284.2000000024</v>
      </c>
      <c r="I25" s="7">
        <v>0</v>
      </c>
    </row>
    <row r="26" spans="1:9" x14ac:dyDescent="0.2">
      <c r="A26" s="7">
        <v>66831</v>
      </c>
      <c r="B26" s="7">
        <v>5.6185808064913197E-3</v>
      </c>
      <c r="C26" s="7">
        <v>8.1509172207196695E-2</v>
      </c>
      <c r="D26" s="7">
        <v>16400</v>
      </c>
      <c r="E26" s="7" t="s">
        <v>5</v>
      </c>
      <c r="F26" s="7">
        <v>15.8</v>
      </c>
      <c r="G26" s="7">
        <v>1</v>
      </c>
      <c r="H26" s="7">
        <v>10316.68</v>
      </c>
      <c r="I26" s="7">
        <v>0</v>
      </c>
    </row>
    <row r="27" spans="1:9" x14ac:dyDescent="0.2">
      <c r="A27" s="7">
        <v>143979</v>
      </c>
      <c r="B27" s="7">
        <v>3.6601281012710201E-3</v>
      </c>
      <c r="C27" s="7">
        <v>8.4798680815203503E-2</v>
      </c>
      <c r="D27" s="7">
        <v>28000</v>
      </c>
      <c r="E27" s="7" t="s">
        <v>10</v>
      </c>
      <c r="F27" s="7">
        <v>21.67</v>
      </c>
      <c r="G27" s="7">
        <v>0</v>
      </c>
      <c r="H27" s="7">
        <v>34367.510400904503</v>
      </c>
      <c r="I27" s="7">
        <v>0</v>
      </c>
    </row>
    <row r="28" spans="1:9" x14ac:dyDescent="0.2">
      <c r="A28" s="7">
        <v>105163</v>
      </c>
      <c r="B28" s="7">
        <v>2.0853992146526699E-2</v>
      </c>
      <c r="C28" s="7">
        <v>7.4974238972806501E-2</v>
      </c>
      <c r="D28" s="7">
        <v>7000</v>
      </c>
      <c r="E28" s="7" t="s">
        <v>4</v>
      </c>
      <c r="F28" s="7">
        <v>8.9</v>
      </c>
      <c r="G28" s="7">
        <v>0</v>
      </c>
      <c r="H28" s="7">
        <v>8001.7711133221001</v>
      </c>
      <c r="I28" s="7">
        <v>0</v>
      </c>
    </row>
    <row r="29" spans="1:9" x14ac:dyDescent="0.2">
      <c r="A29" s="7">
        <v>95395</v>
      </c>
      <c r="B29" s="7">
        <v>3.5550463403899599E-2</v>
      </c>
      <c r="C29" s="7">
        <v>8.1509172207196695E-2</v>
      </c>
      <c r="D29" s="7">
        <v>10000</v>
      </c>
      <c r="E29" s="7" t="s">
        <v>8</v>
      </c>
      <c r="F29" s="7">
        <v>11.14</v>
      </c>
      <c r="G29" s="7">
        <v>0</v>
      </c>
      <c r="H29" s="7">
        <v>10897.66</v>
      </c>
      <c r="I29" s="7">
        <v>0</v>
      </c>
    </row>
    <row r="30" spans="1:9" x14ac:dyDescent="0.2">
      <c r="A30" s="7">
        <v>80002</v>
      </c>
      <c r="B30" s="7">
        <v>2.89573792552449E-2</v>
      </c>
      <c r="C30" s="7">
        <v>8.1509172207196695E-2</v>
      </c>
      <c r="D30" s="7">
        <v>10000</v>
      </c>
      <c r="E30" s="7" t="s">
        <v>8</v>
      </c>
      <c r="F30" s="7">
        <v>13.11</v>
      </c>
      <c r="G30" s="7">
        <v>0</v>
      </c>
      <c r="H30" s="7">
        <v>12136.87</v>
      </c>
      <c r="I30" s="7">
        <v>0</v>
      </c>
    </row>
    <row r="31" spans="1:9" x14ac:dyDescent="0.2">
      <c r="A31" s="7">
        <v>107915</v>
      </c>
      <c r="B31" s="7">
        <v>2.8617845015135299E-2</v>
      </c>
      <c r="C31" s="7">
        <v>7.4974238972806501E-2</v>
      </c>
      <c r="D31" s="7">
        <v>12000</v>
      </c>
      <c r="E31" s="7" t="s">
        <v>8</v>
      </c>
      <c r="F31" s="7">
        <v>13.11</v>
      </c>
      <c r="G31" s="7">
        <v>0</v>
      </c>
      <c r="H31" s="7">
        <v>13798.6843591742</v>
      </c>
      <c r="I31" s="7">
        <v>0</v>
      </c>
    </row>
    <row r="32" spans="1:9" x14ac:dyDescent="0.2">
      <c r="A32" s="7">
        <v>84871</v>
      </c>
      <c r="B32" s="7">
        <v>2.8617698103308501E-2</v>
      </c>
      <c r="C32" s="7">
        <v>7.4974238972806501E-2</v>
      </c>
      <c r="D32" s="7">
        <v>6000</v>
      </c>
      <c r="E32" s="7" t="s">
        <v>8</v>
      </c>
      <c r="F32" s="7">
        <v>12.12</v>
      </c>
      <c r="G32" s="7">
        <v>0</v>
      </c>
      <c r="H32" s="7">
        <v>6394.3576145499001</v>
      </c>
      <c r="I32" s="7">
        <v>0</v>
      </c>
    </row>
    <row r="33" spans="1:9" x14ac:dyDescent="0.2">
      <c r="A33" s="7">
        <v>10304</v>
      </c>
      <c r="B33" s="7">
        <v>7.5104113668565805E-4</v>
      </c>
      <c r="C33" s="7">
        <v>8.4798680815203503E-2</v>
      </c>
      <c r="D33" s="7">
        <v>24000</v>
      </c>
      <c r="E33" s="7" t="s">
        <v>5</v>
      </c>
      <c r="F33" s="7">
        <v>16.2</v>
      </c>
      <c r="G33" s="7">
        <v>1</v>
      </c>
      <c r="H33" s="7">
        <v>11288.97</v>
      </c>
      <c r="I33" s="7">
        <v>3668.5</v>
      </c>
    </row>
    <row r="34" spans="1:9" x14ac:dyDescent="0.2">
      <c r="A34" s="7">
        <v>96189</v>
      </c>
      <c r="B34" s="7">
        <v>2.5076609951192499E-2</v>
      </c>
      <c r="C34" s="7">
        <v>7.4974238972806501E-2</v>
      </c>
      <c r="D34" s="7">
        <v>8000</v>
      </c>
      <c r="E34" s="7" t="s">
        <v>8</v>
      </c>
      <c r="F34" s="7">
        <v>10.16</v>
      </c>
      <c r="G34" s="7">
        <v>0</v>
      </c>
      <c r="H34" s="7">
        <v>8604.0485597827992</v>
      </c>
      <c r="I34" s="7">
        <v>0</v>
      </c>
    </row>
    <row r="35" spans="1:9" x14ac:dyDescent="0.2">
      <c r="A35" s="7">
        <v>79375</v>
      </c>
      <c r="B35" s="7">
        <v>2.0160570110405399E-2</v>
      </c>
      <c r="C35" s="7">
        <v>8.1509172207196695E-2</v>
      </c>
      <c r="D35" s="7">
        <v>12000</v>
      </c>
      <c r="E35" s="7" t="s">
        <v>8</v>
      </c>
      <c r="F35" s="7">
        <v>13.11</v>
      </c>
      <c r="G35" s="7">
        <v>0</v>
      </c>
      <c r="H35" s="7">
        <v>13818.119995635599</v>
      </c>
      <c r="I35" s="7">
        <v>0</v>
      </c>
    </row>
    <row r="36" spans="1:9" x14ac:dyDescent="0.2">
      <c r="A36" s="7">
        <v>106144</v>
      </c>
      <c r="B36" s="7">
        <v>2.88345461283432E-2</v>
      </c>
      <c r="C36" s="7">
        <v>8.1509172207196695E-2</v>
      </c>
      <c r="D36" s="7">
        <v>1200</v>
      </c>
      <c r="E36" s="7" t="s">
        <v>5</v>
      </c>
      <c r="F36" s="7">
        <v>16.29</v>
      </c>
      <c r="G36" s="7">
        <v>0</v>
      </c>
      <c r="H36" s="7">
        <v>1216.32</v>
      </c>
      <c r="I36" s="7">
        <v>0</v>
      </c>
    </row>
    <row r="37" spans="1:9" x14ac:dyDescent="0.2">
      <c r="A37" s="7">
        <v>90385</v>
      </c>
      <c r="B37" s="7">
        <v>3.8643920521012599E-2</v>
      </c>
      <c r="C37" s="7">
        <v>7.7054178620260594E-2</v>
      </c>
      <c r="D37" s="7">
        <v>10000</v>
      </c>
      <c r="E37" s="7" t="s">
        <v>8</v>
      </c>
      <c r="F37" s="7">
        <v>12.12</v>
      </c>
      <c r="G37" s="7">
        <v>0</v>
      </c>
      <c r="H37" s="7">
        <v>11809.739999997701</v>
      </c>
      <c r="I37" s="7">
        <v>0</v>
      </c>
    </row>
    <row r="38" spans="1:9" x14ac:dyDescent="0.2">
      <c r="A38" s="7">
        <v>18388</v>
      </c>
      <c r="B38" s="7">
        <v>3.2195007238087998E-2</v>
      </c>
      <c r="C38" s="7">
        <v>7.4974238972806501E-2</v>
      </c>
      <c r="D38" s="7">
        <v>8000</v>
      </c>
      <c r="E38" s="7" t="s">
        <v>5</v>
      </c>
      <c r="F38" s="7">
        <v>14.3</v>
      </c>
      <c r="G38" s="7">
        <v>0</v>
      </c>
      <c r="H38" s="7">
        <v>9855.33</v>
      </c>
      <c r="I38" s="7">
        <v>0</v>
      </c>
    </row>
    <row r="39" spans="1:9" x14ac:dyDescent="0.2">
      <c r="A39" s="7">
        <v>1410</v>
      </c>
      <c r="B39" s="7">
        <v>3.2765261563176502E-2</v>
      </c>
      <c r="C39" s="7">
        <v>7.4974238972806501E-2</v>
      </c>
      <c r="D39" s="7">
        <v>14300</v>
      </c>
      <c r="E39" s="7" t="s">
        <v>5</v>
      </c>
      <c r="F39" s="7">
        <v>16.239999999999998</v>
      </c>
      <c r="G39" s="7">
        <v>0</v>
      </c>
      <c r="H39" s="7">
        <v>17783.049973532801</v>
      </c>
      <c r="I39" s="7">
        <v>0</v>
      </c>
    </row>
    <row r="40" spans="1:9" x14ac:dyDescent="0.2">
      <c r="A40" s="7">
        <v>42112</v>
      </c>
      <c r="B40" s="7">
        <v>2.7929470407009199E-2</v>
      </c>
      <c r="C40" s="7">
        <v>7.7054178620260594E-2</v>
      </c>
      <c r="D40" s="7">
        <v>10625</v>
      </c>
      <c r="E40" s="7" t="s">
        <v>5</v>
      </c>
      <c r="F40" s="7">
        <v>13.68</v>
      </c>
      <c r="G40" s="7">
        <v>0</v>
      </c>
      <c r="H40" s="7">
        <v>12497.4700037494</v>
      </c>
      <c r="I40" s="7">
        <v>0</v>
      </c>
    </row>
    <row r="41" spans="1:9" x14ac:dyDescent="0.2">
      <c r="A41" s="7">
        <v>42768</v>
      </c>
      <c r="B41" s="7">
        <v>3.7389940821170399E-2</v>
      </c>
      <c r="C41" s="7">
        <v>7.4974238972806501E-2</v>
      </c>
      <c r="D41" s="7">
        <v>12000</v>
      </c>
      <c r="E41" s="7" t="s">
        <v>5</v>
      </c>
      <c r="F41" s="7">
        <v>16.78</v>
      </c>
      <c r="G41" s="7">
        <v>0</v>
      </c>
      <c r="H41" s="7">
        <v>14937.989994714701</v>
      </c>
      <c r="I41" s="7">
        <v>0</v>
      </c>
    </row>
    <row r="42" spans="1:9" x14ac:dyDescent="0.2">
      <c r="A42" s="7">
        <v>32383</v>
      </c>
      <c r="B42" s="7">
        <v>-6.0310751989000998E-3</v>
      </c>
      <c r="C42" s="7">
        <v>7.7054178620260594E-2</v>
      </c>
      <c r="D42" s="7">
        <v>6400</v>
      </c>
      <c r="E42" s="7" t="s">
        <v>10</v>
      </c>
      <c r="F42" s="7">
        <v>24.5</v>
      </c>
      <c r="G42" s="7">
        <v>0</v>
      </c>
      <c r="H42" s="7">
        <v>6916.0693624812002</v>
      </c>
      <c r="I42" s="7">
        <v>0</v>
      </c>
    </row>
    <row r="43" spans="1:9" x14ac:dyDescent="0.2">
      <c r="A43" s="7">
        <v>36463</v>
      </c>
      <c r="B43" s="7">
        <v>2.4337475930350901E-2</v>
      </c>
      <c r="C43" s="7">
        <v>8.1509172207196695E-2</v>
      </c>
      <c r="D43" s="7">
        <v>12000</v>
      </c>
      <c r="E43" s="7" t="s">
        <v>8</v>
      </c>
      <c r="F43" s="7">
        <v>10.64</v>
      </c>
      <c r="G43" s="7">
        <v>0</v>
      </c>
      <c r="H43" s="7">
        <v>13320.745302760401</v>
      </c>
      <c r="I43" s="7">
        <v>0</v>
      </c>
    </row>
    <row r="44" spans="1:9" x14ac:dyDescent="0.2">
      <c r="A44" s="7">
        <v>62203</v>
      </c>
      <c r="B44" s="7">
        <v>3.34020142329082E-2</v>
      </c>
      <c r="C44" s="7">
        <v>7.7054178620260594E-2</v>
      </c>
      <c r="D44" s="7">
        <v>10000</v>
      </c>
      <c r="E44" s="7" t="s">
        <v>6</v>
      </c>
      <c r="F44" s="7">
        <v>19.05</v>
      </c>
      <c r="G44" s="7">
        <v>1</v>
      </c>
      <c r="H44" s="7">
        <v>929.86</v>
      </c>
      <c r="I44" s="7">
        <v>563.04</v>
      </c>
    </row>
    <row r="45" spans="1:9" x14ac:dyDescent="0.2">
      <c r="A45" s="7">
        <v>80730</v>
      </c>
      <c r="B45" s="7">
        <v>3.1389474929894502E-2</v>
      </c>
      <c r="C45" s="7">
        <v>5.3944556304700297E-2</v>
      </c>
      <c r="D45" s="7">
        <v>20950</v>
      </c>
      <c r="E45" s="7" t="s">
        <v>4</v>
      </c>
      <c r="F45" s="7">
        <v>6.62</v>
      </c>
      <c r="G45" s="7">
        <v>0</v>
      </c>
      <c r="H45" s="7">
        <v>22858.7599942739</v>
      </c>
      <c r="I45" s="7">
        <v>0</v>
      </c>
    </row>
    <row r="46" spans="1:9" x14ac:dyDescent="0.2">
      <c r="A46" s="7">
        <v>69533</v>
      </c>
      <c r="B46" s="7">
        <v>1.9680173153214602E-3</v>
      </c>
      <c r="C46" s="7">
        <v>8.4798680815203503E-2</v>
      </c>
      <c r="D46" s="7">
        <v>27575</v>
      </c>
      <c r="E46" s="7" t="s">
        <v>7</v>
      </c>
      <c r="F46" s="7">
        <v>21.98</v>
      </c>
      <c r="G46" s="7">
        <v>0</v>
      </c>
      <c r="H46" s="7">
        <v>35460.808018854797</v>
      </c>
      <c r="I46" s="7">
        <v>0</v>
      </c>
    </row>
    <row r="47" spans="1:9" x14ac:dyDescent="0.2">
      <c r="A47" s="7">
        <v>87835</v>
      </c>
      <c r="B47" s="7">
        <v>-7.3583729567011404E-3</v>
      </c>
      <c r="C47" s="7">
        <v>5.3944556304700297E-2</v>
      </c>
      <c r="D47" s="7">
        <v>20000</v>
      </c>
      <c r="E47" s="7" t="s">
        <v>4</v>
      </c>
      <c r="F47" s="7">
        <v>8.9</v>
      </c>
      <c r="G47" s="7">
        <v>0</v>
      </c>
      <c r="H47" s="7">
        <v>24151.800443532102</v>
      </c>
      <c r="I47" s="7">
        <v>0</v>
      </c>
    </row>
    <row r="48" spans="1:9" x14ac:dyDescent="0.2">
      <c r="A48" s="7">
        <v>39413</v>
      </c>
      <c r="B48" s="7">
        <v>2.5791784401645201E-2</v>
      </c>
      <c r="C48" s="7">
        <v>8.4798680815203503E-2</v>
      </c>
      <c r="D48" s="7">
        <v>23325</v>
      </c>
      <c r="E48" s="7" t="s">
        <v>8</v>
      </c>
      <c r="F48" s="7">
        <v>9.7100000000000009</v>
      </c>
      <c r="G48" s="7">
        <v>1</v>
      </c>
      <c r="H48" s="7">
        <v>19858.37</v>
      </c>
      <c r="I48" s="7">
        <v>1121.6199999999999</v>
      </c>
    </row>
    <row r="49" spans="1:9" x14ac:dyDescent="0.2">
      <c r="A49" s="7">
        <v>67792</v>
      </c>
      <c r="B49" s="7">
        <v>2.8088092856116399E-2</v>
      </c>
      <c r="C49" s="7">
        <v>8.1509172207196695E-2</v>
      </c>
      <c r="D49" s="7">
        <v>2000</v>
      </c>
      <c r="E49" s="7" t="s">
        <v>5</v>
      </c>
      <c r="F49" s="7">
        <v>17.27</v>
      </c>
      <c r="G49" s="7">
        <v>1</v>
      </c>
      <c r="H49" s="7">
        <v>674.92</v>
      </c>
      <c r="I49" s="7">
        <v>245.44</v>
      </c>
    </row>
    <row r="50" spans="1:9" x14ac:dyDescent="0.2">
      <c r="A50" s="7">
        <v>106569</v>
      </c>
      <c r="B50" s="7">
        <v>3.2837996254915597E-2</v>
      </c>
      <c r="C50" s="7">
        <v>8.1509172207196695E-2</v>
      </c>
      <c r="D50" s="7">
        <v>13000</v>
      </c>
      <c r="E50" s="7" t="s">
        <v>5</v>
      </c>
      <c r="F50" s="7">
        <v>15.31</v>
      </c>
      <c r="G50" s="7">
        <v>0</v>
      </c>
      <c r="H50" s="7">
        <v>16294.4660184493</v>
      </c>
      <c r="I50" s="7">
        <v>0</v>
      </c>
    </row>
    <row r="51" spans="1:9" x14ac:dyDescent="0.2">
      <c r="A51" s="7">
        <v>56274</v>
      </c>
      <c r="B51" s="7">
        <v>2.4824008656385801E-2</v>
      </c>
      <c r="C51" s="7">
        <v>8.1509172207196695E-2</v>
      </c>
      <c r="D51" s="7">
        <v>18000</v>
      </c>
      <c r="E51" s="7" t="s">
        <v>8</v>
      </c>
      <c r="F51" s="7">
        <v>10.16</v>
      </c>
      <c r="G51" s="7">
        <v>0</v>
      </c>
      <c r="H51" s="7">
        <v>20671.610005074701</v>
      </c>
      <c r="I51" s="7">
        <v>0</v>
      </c>
    </row>
    <row r="52" spans="1:9" x14ac:dyDescent="0.2">
      <c r="A52" s="7">
        <v>55856</v>
      </c>
      <c r="B52" s="7">
        <v>2.2738013144466E-2</v>
      </c>
      <c r="C52" s="7">
        <v>8.1509172207196695E-2</v>
      </c>
      <c r="D52" s="7">
        <v>11100</v>
      </c>
      <c r="E52" s="7" t="s">
        <v>8</v>
      </c>
      <c r="F52" s="7">
        <v>13.11</v>
      </c>
      <c r="G52" s="7">
        <v>0</v>
      </c>
      <c r="H52" s="7">
        <v>13485.2165173537</v>
      </c>
      <c r="I52" s="7">
        <v>0</v>
      </c>
    </row>
    <row r="53" spans="1:9" x14ac:dyDescent="0.2">
      <c r="A53" s="7">
        <v>79653</v>
      </c>
      <c r="B53" s="7">
        <v>2.98486469711844E-2</v>
      </c>
      <c r="C53" s="7">
        <v>7.4974238972806501E-2</v>
      </c>
      <c r="D53" s="7">
        <v>12000</v>
      </c>
      <c r="E53" s="7" t="s">
        <v>8</v>
      </c>
      <c r="F53" s="7">
        <v>11.14</v>
      </c>
      <c r="G53" s="7">
        <v>0</v>
      </c>
      <c r="H53" s="7">
        <v>13926.189991520499</v>
      </c>
      <c r="I53" s="7">
        <v>0</v>
      </c>
    </row>
    <row r="54" spans="1:9" x14ac:dyDescent="0.2">
      <c r="A54" s="7">
        <v>19989</v>
      </c>
      <c r="B54" s="7">
        <v>3.8194110239415699E-2</v>
      </c>
      <c r="C54" s="7">
        <v>7.7054178620260594E-2</v>
      </c>
      <c r="D54" s="7">
        <v>10000</v>
      </c>
      <c r="E54" s="7" t="s">
        <v>8</v>
      </c>
      <c r="F54" s="7">
        <v>10.99</v>
      </c>
      <c r="G54" s="7">
        <v>0</v>
      </c>
      <c r="H54" s="7">
        <v>11720.76</v>
      </c>
      <c r="I54" s="7">
        <v>0</v>
      </c>
    </row>
    <row r="55" spans="1:9" x14ac:dyDescent="0.2">
      <c r="A55" s="7">
        <v>85368</v>
      </c>
      <c r="B55" s="7">
        <v>2.97220966427942E-2</v>
      </c>
      <c r="C55" s="7">
        <v>8.1509172207196695E-2</v>
      </c>
      <c r="D55" s="7">
        <v>14000</v>
      </c>
      <c r="E55" s="7" t="s">
        <v>8</v>
      </c>
      <c r="F55" s="7">
        <v>11.14</v>
      </c>
      <c r="G55" s="7">
        <v>0</v>
      </c>
      <c r="H55" s="7">
        <v>16521.350003277199</v>
      </c>
      <c r="I55" s="7">
        <v>0</v>
      </c>
    </row>
    <row r="56" spans="1:9" x14ac:dyDescent="0.2">
      <c r="A56" s="7">
        <v>113788</v>
      </c>
      <c r="B56" s="7">
        <v>2.5803909559759901E-2</v>
      </c>
      <c r="C56" s="7">
        <v>7.4974238972806501E-2</v>
      </c>
      <c r="D56" s="7">
        <v>10050</v>
      </c>
      <c r="E56" s="7" t="s">
        <v>8</v>
      </c>
      <c r="F56" s="7">
        <v>13.11</v>
      </c>
      <c r="G56" s="7">
        <v>0</v>
      </c>
      <c r="H56" s="7">
        <v>12163.810003594899</v>
      </c>
      <c r="I56" s="7">
        <v>0</v>
      </c>
    </row>
    <row r="57" spans="1:9" x14ac:dyDescent="0.2">
      <c r="A57" s="7">
        <v>71604</v>
      </c>
      <c r="B57" s="7">
        <v>4.4670666216925503E-2</v>
      </c>
      <c r="C57" s="7">
        <v>8.1509172207196695E-2</v>
      </c>
      <c r="D57" s="7">
        <v>8000</v>
      </c>
      <c r="E57" s="7" t="s">
        <v>7</v>
      </c>
      <c r="F57" s="7">
        <v>22.47</v>
      </c>
      <c r="G57" s="7">
        <v>0</v>
      </c>
      <c r="H57" s="7">
        <v>11068.8850321993</v>
      </c>
      <c r="I57" s="7">
        <v>0</v>
      </c>
    </row>
    <row r="58" spans="1:9" x14ac:dyDescent="0.2">
      <c r="A58" s="7">
        <v>93535</v>
      </c>
      <c r="B58" s="7">
        <v>2.63961444581217E-2</v>
      </c>
      <c r="C58" s="7">
        <v>8.1509172207196695E-2</v>
      </c>
      <c r="D58" s="7">
        <v>10000</v>
      </c>
      <c r="E58" s="7" t="s">
        <v>8</v>
      </c>
      <c r="F58" s="7">
        <v>11.14</v>
      </c>
      <c r="G58" s="7">
        <v>0</v>
      </c>
      <c r="H58" s="7">
        <v>11319.7627956292</v>
      </c>
      <c r="I58" s="7">
        <v>0</v>
      </c>
    </row>
    <row r="59" spans="1:9" x14ac:dyDescent="0.2">
      <c r="A59" s="7">
        <v>120793</v>
      </c>
      <c r="B59" s="7">
        <v>4.0493772457985799E-2</v>
      </c>
      <c r="C59" s="7">
        <v>8.4798680815203503E-2</v>
      </c>
      <c r="D59" s="7">
        <v>28000</v>
      </c>
      <c r="E59" s="7" t="s">
        <v>5</v>
      </c>
      <c r="F59" s="7">
        <v>15.8</v>
      </c>
      <c r="G59" s="7">
        <v>0</v>
      </c>
      <c r="H59" s="7">
        <v>34663.839981892401</v>
      </c>
      <c r="I59" s="7">
        <v>0</v>
      </c>
    </row>
    <row r="60" spans="1:9" x14ac:dyDescent="0.2">
      <c r="A60" s="7">
        <v>8803</v>
      </c>
      <c r="B60" s="7">
        <v>3.7515537153582697E-2</v>
      </c>
      <c r="C60" s="7">
        <v>7.4974238972806501E-2</v>
      </c>
      <c r="D60" s="7">
        <v>4000</v>
      </c>
      <c r="E60" s="7" t="s">
        <v>6</v>
      </c>
      <c r="F60" s="7">
        <v>19.52</v>
      </c>
      <c r="G60" s="7">
        <v>0</v>
      </c>
      <c r="H60" s="7">
        <v>4252.1168577442004</v>
      </c>
      <c r="I60" s="7">
        <v>0</v>
      </c>
    </row>
    <row r="61" spans="1:9" x14ac:dyDescent="0.2">
      <c r="A61" s="7">
        <v>72978</v>
      </c>
      <c r="B61" s="7">
        <v>-8.6951270068325801E-3</v>
      </c>
      <c r="C61" s="7">
        <v>8.4798680815203503E-2</v>
      </c>
      <c r="D61" s="7">
        <v>30000</v>
      </c>
      <c r="E61" s="7" t="s">
        <v>6</v>
      </c>
      <c r="F61" s="7">
        <v>19.72</v>
      </c>
      <c r="G61" s="7">
        <v>1</v>
      </c>
      <c r="H61" s="7">
        <v>22874.82</v>
      </c>
      <c r="I61" s="7">
        <v>3911.22</v>
      </c>
    </row>
    <row r="62" spans="1:9" x14ac:dyDescent="0.2">
      <c r="A62" s="7">
        <v>97375</v>
      </c>
      <c r="B62" s="7">
        <v>3.3109723064157201E-2</v>
      </c>
      <c r="C62" s="7">
        <v>8.1509172207196695E-2</v>
      </c>
      <c r="D62" s="7">
        <v>10000</v>
      </c>
      <c r="E62" s="7" t="s">
        <v>5</v>
      </c>
      <c r="F62" s="7">
        <v>15.8</v>
      </c>
      <c r="G62" s="7">
        <v>0</v>
      </c>
      <c r="H62" s="7">
        <v>11896.4223298041</v>
      </c>
      <c r="I62" s="7">
        <v>0</v>
      </c>
    </row>
    <row r="63" spans="1:9" x14ac:dyDescent="0.2">
      <c r="A63" s="7">
        <v>47085</v>
      </c>
      <c r="B63" s="7">
        <v>2.6568060447574201E-2</v>
      </c>
      <c r="C63" s="7">
        <v>7.4974238972806501E-2</v>
      </c>
      <c r="D63" s="7">
        <v>8800</v>
      </c>
      <c r="E63" s="7" t="s">
        <v>6</v>
      </c>
      <c r="F63" s="7">
        <v>18.489999999999998</v>
      </c>
      <c r="G63" s="7">
        <v>0</v>
      </c>
      <c r="H63" s="7">
        <v>11088.660490694499</v>
      </c>
      <c r="I63" s="7">
        <v>0</v>
      </c>
    </row>
    <row r="64" spans="1:9" x14ac:dyDescent="0.2">
      <c r="A64" s="7">
        <v>88106</v>
      </c>
      <c r="B64" s="7">
        <v>3.4920442481667001E-2</v>
      </c>
      <c r="C64" s="7">
        <v>8.1509172207196695E-2</v>
      </c>
      <c r="D64" s="7">
        <v>12500</v>
      </c>
      <c r="E64" s="7" t="s">
        <v>5</v>
      </c>
      <c r="F64" s="7">
        <v>15.8</v>
      </c>
      <c r="G64" s="7">
        <v>0</v>
      </c>
      <c r="H64" s="7">
        <v>15776.2642508194</v>
      </c>
      <c r="I64" s="7">
        <v>0</v>
      </c>
    </row>
    <row r="65" spans="1:9" x14ac:dyDescent="0.2">
      <c r="A65" s="7">
        <v>101854</v>
      </c>
      <c r="B65" s="7">
        <v>3.11589582099055E-2</v>
      </c>
      <c r="C65" s="7">
        <v>7.4974238972806501E-2</v>
      </c>
      <c r="D65" s="7">
        <v>2500</v>
      </c>
      <c r="E65" s="7" t="s">
        <v>8</v>
      </c>
      <c r="F65" s="7">
        <v>11.14</v>
      </c>
      <c r="G65" s="7">
        <v>0</v>
      </c>
      <c r="H65" s="7">
        <v>2631.031933282</v>
      </c>
      <c r="I65" s="7">
        <v>0</v>
      </c>
    </row>
    <row r="66" spans="1:9" x14ac:dyDescent="0.2">
      <c r="A66" s="7">
        <v>35405</v>
      </c>
      <c r="B66" s="7">
        <v>1.7057233736373599E-3</v>
      </c>
      <c r="C66" s="7">
        <v>8.4798680815203503E-2</v>
      </c>
      <c r="D66" s="7">
        <v>16000</v>
      </c>
      <c r="E66" s="7" t="s">
        <v>7</v>
      </c>
      <c r="F66" s="7">
        <v>21.6</v>
      </c>
      <c r="G66" s="7">
        <v>0</v>
      </c>
      <c r="H66" s="7">
        <v>18752.2422269286</v>
      </c>
      <c r="I66" s="7">
        <v>0</v>
      </c>
    </row>
    <row r="67" spans="1:9" x14ac:dyDescent="0.2">
      <c r="A67" s="7">
        <v>40392</v>
      </c>
      <c r="B67" s="7">
        <v>2.05882981238865E-2</v>
      </c>
      <c r="C67" s="7">
        <v>5.3944556304700297E-2</v>
      </c>
      <c r="D67" s="7">
        <v>18000</v>
      </c>
      <c r="E67" s="7" t="s">
        <v>5</v>
      </c>
      <c r="F67" s="7">
        <v>14.33</v>
      </c>
      <c r="G67" s="7">
        <v>0</v>
      </c>
      <c r="H67" s="7">
        <v>22160.89</v>
      </c>
      <c r="I67" s="7">
        <v>0</v>
      </c>
    </row>
    <row r="68" spans="1:9" x14ac:dyDescent="0.2">
      <c r="A68" s="7">
        <v>102209</v>
      </c>
      <c r="B68" s="7">
        <v>3.5695509927710603E-2</v>
      </c>
      <c r="C68" s="7">
        <v>8.1509172207196695E-2</v>
      </c>
      <c r="D68" s="7">
        <v>11100</v>
      </c>
      <c r="E68" s="7" t="s">
        <v>6</v>
      </c>
      <c r="F68" s="7">
        <v>18.489999999999998</v>
      </c>
      <c r="G68" s="7">
        <v>0</v>
      </c>
      <c r="H68" s="7">
        <v>14283.850005731299</v>
      </c>
      <c r="I68" s="7">
        <v>0</v>
      </c>
    </row>
    <row r="69" spans="1:9" x14ac:dyDescent="0.2">
      <c r="A69" s="7">
        <v>22973</v>
      </c>
      <c r="B69" s="7">
        <v>3.10335652242524E-2</v>
      </c>
      <c r="C69" s="7">
        <v>7.7054178620260594E-2</v>
      </c>
      <c r="D69" s="7">
        <v>8000</v>
      </c>
      <c r="E69" s="7" t="s">
        <v>5</v>
      </c>
      <c r="F69" s="7">
        <v>15.1</v>
      </c>
      <c r="G69" s="7">
        <v>0</v>
      </c>
      <c r="H69" s="7">
        <v>9404.6</v>
      </c>
      <c r="I69" s="7">
        <v>0</v>
      </c>
    </row>
    <row r="70" spans="1:9" x14ac:dyDescent="0.2">
      <c r="A70" s="7">
        <v>67210</v>
      </c>
      <c r="B70" s="7">
        <v>2.1483140281254899E-2</v>
      </c>
      <c r="C70" s="7">
        <v>8.1509172207196695E-2</v>
      </c>
      <c r="D70" s="7">
        <v>7000</v>
      </c>
      <c r="E70" s="7" t="s">
        <v>4</v>
      </c>
      <c r="F70" s="7">
        <v>8.9</v>
      </c>
      <c r="G70" s="7">
        <v>0</v>
      </c>
      <c r="H70" s="7">
        <v>7100.7895200350004</v>
      </c>
      <c r="I70" s="7">
        <v>0</v>
      </c>
    </row>
    <row r="71" spans="1:9" x14ac:dyDescent="0.2">
      <c r="A71" s="7">
        <v>92016</v>
      </c>
      <c r="B71" s="7">
        <v>3.2192175328559197E-2</v>
      </c>
      <c r="C71" s="7">
        <v>7.7054178620260594E-2</v>
      </c>
      <c r="D71" s="7">
        <v>15000</v>
      </c>
      <c r="E71" s="7" t="s">
        <v>8</v>
      </c>
      <c r="F71" s="7">
        <v>11.14</v>
      </c>
      <c r="G71" s="7">
        <v>0</v>
      </c>
      <c r="H71" s="7">
        <v>16133.2885750718</v>
      </c>
      <c r="I71" s="7">
        <v>0</v>
      </c>
    </row>
    <row r="72" spans="1:9" x14ac:dyDescent="0.2">
      <c r="A72" s="7">
        <v>94023</v>
      </c>
      <c r="B72" s="7">
        <v>3.3809836983750299E-2</v>
      </c>
      <c r="C72" s="7">
        <v>7.7054178620260594E-2</v>
      </c>
      <c r="D72" s="7">
        <v>12000</v>
      </c>
      <c r="E72" s="7" t="s">
        <v>8</v>
      </c>
      <c r="F72" s="7">
        <v>11.14</v>
      </c>
      <c r="G72" s="7">
        <v>0</v>
      </c>
      <c r="H72" s="7">
        <v>14171.723334624099</v>
      </c>
      <c r="I72" s="7">
        <v>0</v>
      </c>
    </row>
    <row r="73" spans="1:9" x14ac:dyDescent="0.2">
      <c r="A73" s="7">
        <v>71376</v>
      </c>
      <c r="B73" s="7">
        <v>6.0128990663463897E-3</v>
      </c>
      <c r="C73" s="7">
        <v>8.4798680815203503E-2</v>
      </c>
      <c r="D73" s="7">
        <v>25000</v>
      </c>
      <c r="E73" s="7" t="s">
        <v>8</v>
      </c>
      <c r="F73" s="7">
        <v>13.11</v>
      </c>
      <c r="G73" s="7">
        <v>0</v>
      </c>
      <c r="H73" s="7">
        <v>30336.400000000001</v>
      </c>
      <c r="I73" s="7">
        <v>0</v>
      </c>
    </row>
    <row r="74" spans="1:9" x14ac:dyDescent="0.2">
      <c r="A74" s="7">
        <v>14721</v>
      </c>
      <c r="B74" s="7">
        <v>3.2793549647552898E-2</v>
      </c>
      <c r="C74" s="7">
        <v>5.3944556304700297E-2</v>
      </c>
      <c r="D74" s="7">
        <v>15000</v>
      </c>
      <c r="E74" s="7" t="s">
        <v>4</v>
      </c>
      <c r="F74" s="7">
        <v>8.9</v>
      </c>
      <c r="G74" s="7">
        <v>0</v>
      </c>
      <c r="H74" s="7">
        <v>16720.590009450701</v>
      </c>
      <c r="I74" s="7">
        <v>0</v>
      </c>
    </row>
    <row r="75" spans="1:9" x14ac:dyDescent="0.2">
      <c r="A75" s="7">
        <v>10540</v>
      </c>
      <c r="B75" s="7">
        <v>2.4313856892536099E-2</v>
      </c>
      <c r="C75" s="7">
        <v>5.3944556304700297E-2</v>
      </c>
      <c r="D75" s="7">
        <v>25000</v>
      </c>
      <c r="E75" s="7" t="s">
        <v>4</v>
      </c>
      <c r="F75" s="7">
        <v>8.9</v>
      </c>
      <c r="G75" s="7">
        <v>0</v>
      </c>
      <c r="H75" s="7">
        <v>27090.049999999501</v>
      </c>
      <c r="I75" s="7">
        <v>0</v>
      </c>
    </row>
    <row r="76" spans="1:9" x14ac:dyDescent="0.2">
      <c r="A76" s="7">
        <v>37250</v>
      </c>
      <c r="B76" s="7">
        <v>-5.8728721504986798E-3</v>
      </c>
      <c r="C76" s="7">
        <v>8.1509172207196695E-2</v>
      </c>
      <c r="D76" s="7">
        <v>16800</v>
      </c>
      <c r="E76" s="7" t="s">
        <v>8</v>
      </c>
      <c r="F76" s="7">
        <v>10.64</v>
      </c>
      <c r="G76" s="7">
        <v>1</v>
      </c>
      <c r="H76" s="7">
        <v>6322.33</v>
      </c>
      <c r="I76" s="7">
        <v>1975.09</v>
      </c>
    </row>
    <row r="77" spans="1:9" x14ac:dyDescent="0.2">
      <c r="A77" s="7">
        <v>67254</v>
      </c>
      <c r="B77" s="7">
        <v>3.0278117936948599E-2</v>
      </c>
      <c r="C77" s="7">
        <v>7.7054178620260594E-2</v>
      </c>
      <c r="D77" s="7">
        <v>15000</v>
      </c>
      <c r="E77" s="7" t="s">
        <v>8</v>
      </c>
      <c r="F77" s="7">
        <v>14.09</v>
      </c>
      <c r="G77" s="7">
        <v>0</v>
      </c>
      <c r="H77" s="7">
        <v>18410.890007506401</v>
      </c>
      <c r="I77" s="7">
        <v>0</v>
      </c>
    </row>
    <row r="78" spans="1:9" x14ac:dyDescent="0.2">
      <c r="A78" s="7">
        <v>47536</v>
      </c>
      <c r="B78" s="7">
        <v>2.76502915875711E-2</v>
      </c>
      <c r="C78" s="7">
        <v>8.1509172207196695E-2</v>
      </c>
      <c r="D78" s="7">
        <v>8000</v>
      </c>
      <c r="E78" s="7" t="s">
        <v>5</v>
      </c>
      <c r="F78" s="7">
        <v>15.31</v>
      </c>
      <c r="G78" s="7">
        <v>0</v>
      </c>
      <c r="H78" s="7">
        <v>8202.9844644550994</v>
      </c>
      <c r="I78" s="7">
        <v>0</v>
      </c>
    </row>
    <row r="79" spans="1:9" x14ac:dyDescent="0.2">
      <c r="A79" s="7">
        <v>71440</v>
      </c>
      <c r="B79" s="7">
        <v>-1.4086485011704101E-3</v>
      </c>
      <c r="C79" s="7">
        <v>8.4798680815203503E-2</v>
      </c>
      <c r="D79" s="7">
        <v>21650</v>
      </c>
      <c r="E79" s="7" t="s">
        <v>7</v>
      </c>
      <c r="F79" s="7">
        <v>22.47</v>
      </c>
      <c r="G79" s="7">
        <v>1</v>
      </c>
      <c r="H79" s="7">
        <v>13996.84</v>
      </c>
      <c r="I79" s="7">
        <v>4336.84</v>
      </c>
    </row>
    <row r="80" spans="1:9" x14ac:dyDescent="0.2">
      <c r="A80" s="7">
        <v>24480</v>
      </c>
      <c r="B80" s="7">
        <v>2.9590123373601999E-2</v>
      </c>
      <c r="C80" s="7">
        <v>7.7054178620260594E-2</v>
      </c>
      <c r="D80" s="7">
        <v>9600</v>
      </c>
      <c r="E80" s="7" t="s">
        <v>5</v>
      </c>
      <c r="F80" s="7">
        <v>15.1</v>
      </c>
      <c r="G80" s="7">
        <v>0</v>
      </c>
      <c r="H80" s="7">
        <v>11615.32</v>
      </c>
      <c r="I80" s="7">
        <v>0</v>
      </c>
    </row>
    <row r="81" spans="1:9" x14ac:dyDescent="0.2">
      <c r="A81" s="7">
        <v>96677</v>
      </c>
      <c r="B81" s="7">
        <v>2.33664158999425E-2</v>
      </c>
      <c r="C81" s="7">
        <v>7.4974238972806501E-2</v>
      </c>
      <c r="D81" s="7">
        <v>6850</v>
      </c>
      <c r="E81" s="7" t="s">
        <v>8</v>
      </c>
      <c r="F81" s="7">
        <v>10.16</v>
      </c>
      <c r="G81" s="7">
        <v>0</v>
      </c>
      <c r="H81" s="7">
        <v>7975.5970857296998</v>
      </c>
      <c r="I81" s="7">
        <v>0</v>
      </c>
    </row>
    <row r="82" spans="1:9" x14ac:dyDescent="0.2">
      <c r="A82" s="7">
        <v>106938</v>
      </c>
      <c r="B82" s="7">
        <v>3.6559563394836202E-2</v>
      </c>
      <c r="C82" s="7">
        <v>8.1509172207196695E-2</v>
      </c>
      <c r="D82" s="7">
        <v>12800</v>
      </c>
      <c r="E82" s="7" t="s">
        <v>6</v>
      </c>
      <c r="F82" s="7">
        <v>18.489999999999998</v>
      </c>
      <c r="G82" s="7">
        <v>0</v>
      </c>
      <c r="H82" s="7">
        <v>16745.0799999997</v>
      </c>
      <c r="I82" s="7">
        <v>0</v>
      </c>
    </row>
    <row r="83" spans="1:9" x14ac:dyDescent="0.2">
      <c r="A83" s="7">
        <v>137689</v>
      </c>
      <c r="B83" s="7">
        <v>3.8498464770698897E-2</v>
      </c>
      <c r="C83" s="7">
        <v>8.1509172207196695E-2</v>
      </c>
      <c r="D83" s="7">
        <v>12000</v>
      </c>
      <c r="E83" s="7" t="s">
        <v>8</v>
      </c>
      <c r="F83" s="7">
        <v>12.12</v>
      </c>
      <c r="G83" s="7">
        <v>0</v>
      </c>
      <c r="H83" s="7">
        <v>14373.3530921315</v>
      </c>
      <c r="I83" s="7">
        <v>0</v>
      </c>
    </row>
    <row r="84" spans="1:9" x14ac:dyDescent="0.2">
      <c r="A84" s="7">
        <v>142287</v>
      </c>
      <c r="B84" s="7">
        <v>1.9485300042898598E-2</v>
      </c>
      <c r="C84" s="7">
        <v>7.4974238972806501E-2</v>
      </c>
      <c r="D84" s="7">
        <v>7000</v>
      </c>
      <c r="E84" s="7" t="s">
        <v>4</v>
      </c>
      <c r="F84" s="7">
        <v>6.62</v>
      </c>
      <c r="G84" s="7">
        <v>0</v>
      </c>
      <c r="H84" s="7">
        <v>7450.9844419946003</v>
      </c>
      <c r="I84" s="7">
        <v>0</v>
      </c>
    </row>
    <row r="85" spans="1:9" x14ac:dyDescent="0.2">
      <c r="A85" s="7">
        <v>58654</v>
      </c>
      <c r="B85" s="7">
        <v>2.3256246178403502E-3</v>
      </c>
      <c r="C85" s="7">
        <v>8.4798680815203503E-2</v>
      </c>
      <c r="D85" s="7">
        <v>25000</v>
      </c>
      <c r="E85" s="7" t="s">
        <v>5</v>
      </c>
      <c r="F85" s="7">
        <v>17.27</v>
      </c>
      <c r="G85" s="7">
        <v>0</v>
      </c>
      <c r="H85" s="7">
        <v>31237.910000001299</v>
      </c>
      <c r="I85" s="7">
        <v>0</v>
      </c>
    </row>
    <row r="86" spans="1:9" x14ac:dyDescent="0.2">
      <c r="A86" s="7">
        <v>115432</v>
      </c>
      <c r="B86" s="7">
        <v>3.50368196856937E-2</v>
      </c>
      <c r="C86" s="7">
        <v>8.1509172207196695E-2</v>
      </c>
      <c r="D86" s="7">
        <v>10000</v>
      </c>
      <c r="E86" s="7" t="s">
        <v>6</v>
      </c>
      <c r="F86" s="7">
        <v>18.75</v>
      </c>
      <c r="G86" s="7">
        <v>0</v>
      </c>
      <c r="H86" s="7">
        <v>13080.020000005699</v>
      </c>
      <c r="I86" s="7">
        <v>0</v>
      </c>
    </row>
    <row r="87" spans="1:9" x14ac:dyDescent="0.2">
      <c r="A87" s="7">
        <v>13272</v>
      </c>
      <c r="B87" s="7">
        <v>2.2335690311624599E-2</v>
      </c>
      <c r="C87" s="7">
        <v>8.1509172207196695E-2</v>
      </c>
      <c r="D87" s="7">
        <v>8250</v>
      </c>
      <c r="E87" s="7" t="s">
        <v>5</v>
      </c>
      <c r="F87" s="7">
        <v>17.100000000000001</v>
      </c>
      <c r="G87" s="7">
        <v>0</v>
      </c>
      <c r="H87" s="7">
        <v>9033.7000000000007</v>
      </c>
      <c r="I87" s="7">
        <v>0</v>
      </c>
    </row>
    <row r="88" spans="1:9" x14ac:dyDescent="0.2">
      <c r="A88" s="7">
        <v>54390</v>
      </c>
      <c r="B88" s="7">
        <v>4.1709459306071298E-2</v>
      </c>
      <c r="C88" s="7">
        <v>7.7054178620260594E-2</v>
      </c>
      <c r="D88" s="7">
        <v>7750</v>
      </c>
      <c r="E88" s="7" t="s">
        <v>8</v>
      </c>
      <c r="F88" s="7">
        <v>14.09</v>
      </c>
      <c r="G88" s="7">
        <v>0</v>
      </c>
      <c r="H88" s="7">
        <v>9537.6200037526996</v>
      </c>
      <c r="I88" s="7">
        <v>0</v>
      </c>
    </row>
    <row r="89" spans="1:9" x14ac:dyDescent="0.2">
      <c r="A89" s="7">
        <v>86514</v>
      </c>
      <c r="B89" s="7">
        <v>2.61002477442322E-2</v>
      </c>
      <c r="C89" s="7">
        <v>8.4798680815203503E-2</v>
      </c>
      <c r="D89" s="7">
        <v>24000</v>
      </c>
      <c r="E89" s="7" t="s">
        <v>8</v>
      </c>
      <c r="F89" s="7">
        <v>11.14</v>
      </c>
      <c r="G89" s="7">
        <v>0</v>
      </c>
      <c r="H89" s="7">
        <v>28342.790008251701</v>
      </c>
      <c r="I89" s="7">
        <v>0</v>
      </c>
    </row>
    <row r="90" spans="1:9" x14ac:dyDescent="0.2">
      <c r="A90" s="7">
        <v>75394</v>
      </c>
      <c r="B90" s="7">
        <v>2.84098169068699E-2</v>
      </c>
      <c r="C90" s="7">
        <v>5.3944556304700297E-2</v>
      </c>
      <c r="D90" s="7">
        <v>21000</v>
      </c>
      <c r="E90" s="7" t="s">
        <v>4</v>
      </c>
      <c r="F90" s="7">
        <v>8.9</v>
      </c>
      <c r="G90" s="7">
        <v>0</v>
      </c>
      <c r="H90" s="7">
        <v>23999.860005096602</v>
      </c>
      <c r="I90" s="7">
        <v>0</v>
      </c>
    </row>
    <row r="91" spans="1:9" x14ac:dyDescent="0.2">
      <c r="A91" s="7">
        <v>114156</v>
      </c>
      <c r="B91" s="7">
        <v>2.0301494366758599E-2</v>
      </c>
      <c r="C91" s="7">
        <v>5.3944556304700297E-2</v>
      </c>
      <c r="D91" s="7">
        <v>25000</v>
      </c>
      <c r="E91" s="7" t="s">
        <v>4</v>
      </c>
      <c r="F91" s="7">
        <v>7.62</v>
      </c>
      <c r="G91" s="7">
        <v>0</v>
      </c>
      <c r="H91" s="7">
        <v>28045.198166313701</v>
      </c>
      <c r="I91" s="7">
        <v>0</v>
      </c>
    </row>
    <row r="92" spans="1:9" x14ac:dyDescent="0.2">
      <c r="A92" s="7">
        <v>130929</v>
      </c>
      <c r="B92" s="7">
        <v>2.5066559682258399E-4</v>
      </c>
      <c r="C92" s="7">
        <v>5.3944556304700297E-2</v>
      </c>
      <c r="D92" s="7">
        <v>17500</v>
      </c>
      <c r="E92" s="7" t="s">
        <v>8</v>
      </c>
      <c r="F92" s="7">
        <v>12.12</v>
      </c>
      <c r="G92" s="7">
        <v>0</v>
      </c>
      <c r="H92" s="7">
        <v>21218.5532054303</v>
      </c>
      <c r="I92" s="7">
        <v>0</v>
      </c>
    </row>
    <row r="93" spans="1:9" x14ac:dyDescent="0.2">
      <c r="A93" s="7">
        <v>117281</v>
      </c>
      <c r="B93" s="7">
        <v>2.97229192283841E-2</v>
      </c>
      <c r="C93" s="7">
        <v>7.4974238972806501E-2</v>
      </c>
      <c r="D93" s="7">
        <v>10500</v>
      </c>
      <c r="E93" s="7" t="s">
        <v>8</v>
      </c>
      <c r="F93" s="7">
        <v>12.12</v>
      </c>
      <c r="G93" s="7">
        <v>0</v>
      </c>
      <c r="H93" s="7">
        <v>12474.480002570201</v>
      </c>
      <c r="I93" s="7">
        <v>0</v>
      </c>
    </row>
    <row r="94" spans="1:9" x14ac:dyDescent="0.2">
      <c r="A94" s="7">
        <v>107691</v>
      </c>
      <c r="B94" s="7">
        <v>2.0432685987075701E-2</v>
      </c>
      <c r="C94" s="7">
        <v>7.4974238972806501E-2</v>
      </c>
      <c r="D94" s="7">
        <v>10400</v>
      </c>
      <c r="E94" s="7" t="s">
        <v>8</v>
      </c>
      <c r="F94" s="7">
        <v>11.14</v>
      </c>
      <c r="G94" s="7">
        <v>0</v>
      </c>
      <c r="H94" s="7">
        <v>12006.873926656201</v>
      </c>
      <c r="I94" s="7">
        <v>0</v>
      </c>
    </row>
    <row r="95" spans="1:9" x14ac:dyDescent="0.2">
      <c r="A95" s="7">
        <v>128038</v>
      </c>
      <c r="B95" s="7">
        <v>3.01188627976034E-4</v>
      </c>
      <c r="C95" s="7">
        <v>8.4798680815203503E-2</v>
      </c>
      <c r="D95" s="7">
        <v>20800</v>
      </c>
      <c r="E95" s="7" t="s">
        <v>7</v>
      </c>
      <c r="F95" s="7">
        <v>21.48</v>
      </c>
      <c r="G95" s="7">
        <v>1</v>
      </c>
      <c r="H95" s="7">
        <v>2864.04</v>
      </c>
      <c r="I95" s="7">
        <v>1160.73</v>
      </c>
    </row>
    <row r="96" spans="1:9" x14ac:dyDescent="0.2">
      <c r="A96" s="7">
        <v>7955</v>
      </c>
      <c r="B96" s="7">
        <v>2.9259267222307601E-2</v>
      </c>
      <c r="C96" s="7">
        <v>8.1509172207196695E-2</v>
      </c>
      <c r="D96" s="7">
        <v>11000</v>
      </c>
      <c r="E96" s="7" t="s">
        <v>8</v>
      </c>
      <c r="F96" s="7">
        <v>13.67</v>
      </c>
      <c r="G96" s="7">
        <v>0</v>
      </c>
      <c r="H96" s="7">
        <v>13284.1900095975</v>
      </c>
      <c r="I96" s="7">
        <v>0</v>
      </c>
    </row>
    <row r="97" spans="1:9" x14ac:dyDescent="0.2">
      <c r="A97" s="7">
        <v>66536</v>
      </c>
      <c r="B97" s="7">
        <v>3.4078476744915598E-2</v>
      </c>
      <c r="C97" s="7">
        <v>5.3944556304700297E-2</v>
      </c>
      <c r="D97" s="7">
        <v>12000</v>
      </c>
      <c r="E97" s="7" t="s">
        <v>8</v>
      </c>
      <c r="F97" s="7">
        <v>10.16</v>
      </c>
      <c r="G97" s="7">
        <v>0</v>
      </c>
      <c r="H97" s="7">
        <v>13693.65</v>
      </c>
      <c r="I97" s="7">
        <v>0</v>
      </c>
    </row>
    <row r="98" spans="1:9" x14ac:dyDescent="0.2">
      <c r="A98" s="7">
        <v>62441</v>
      </c>
      <c r="B98" s="7">
        <v>8.8737746851233895E-3</v>
      </c>
      <c r="C98" s="7">
        <v>8.1509172207196695E-2</v>
      </c>
      <c r="D98" s="7">
        <v>8725</v>
      </c>
      <c r="E98" s="7" t="s">
        <v>5</v>
      </c>
      <c r="F98" s="7">
        <v>14.33</v>
      </c>
      <c r="G98" s="7">
        <v>1</v>
      </c>
      <c r="H98" s="7">
        <v>2411.59</v>
      </c>
      <c r="I98" s="7">
        <v>1113.18</v>
      </c>
    </row>
    <row r="99" spans="1:9" x14ac:dyDescent="0.2">
      <c r="A99" s="7">
        <v>78840</v>
      </c>
      <c r="B99" s="7">
        <v>4.2040087000075603E-2</v>
      </c>
      <c r="C99" s="7">
        <v>5.3944556304700297E-2</v>
      </c>
      <c r="D99" s="7">
        <v>35000</v>
      </c>
      <c r="E99" s="7" t="s">
        <v>5</v>
      </c>
      <c r="F99" s="7">
        <v>15.31</v>
      </c>
      <c r="G99" s="7">
        <v>1</v>
      </c>
      <c r="H99" s="7">
        <v>17060.54</v>
      </c>
      <c r="I99" s="7">
        <v>0</v>
      </c>
    </row>
    <row r="100" spans="1:9" x14ac:dyDescent="0.2">
      <c r="A100" s="7">
        <v>62396</v>
      </c>
      <c r="B100" s="7">
        <v>4.1183020175033398E-2</v>
      </c>
      <c r="C100" s="7">
        <v>5.3944556304700297E-2</v>
      </c>
      <c r="D100" s="7">
        <v>20000</v>
      </c>
      <c r="E100" s="7" t="s">
        <v>8</v>
      </c>
      <c r="F100" s="7">
        <v>13.11</v>
      </c>
      <c r="G100" s="7">
        <v>0</v>
      </c>
      <c r="H100" s="7">
        <v>24297.804309743999</v>
      </c>
      <c r="I100" s="7">
        <v>0</v>
      </c>
    </row>
    <row r="101" spans="1:9" x14ac:dyDescent="0.2">
      <c r="A101" s="7">
        <v>143740</v>
      </c>
      <c r="B101" s="7">
        <v>3.4141538896058803E-2</v>
      </c>
      <c r="C101" s="7">
        <v>8.1509172207196695E-2</v>
      </c>
      <c r="D101" s="7">
        <v>16900</v>
      </c>
      <c r="E101" s="7" t="s">
        <v>8</v>
      </c>
      <c r="F101" s="7">
        <v>12.42</v>
      </c>
      <c r="G101" s="7">
        <v>0</v>
      </c>
      <c r="H101" s="7">
        <v>19380.697751502499</v>
      </c>
      <c r="I101" s="7">
        <v>0</v>
      </c>
    </row>
    <row r="102" spans="1:9" x14ac:dyDescent="0.2">
      <c r="A102" s="7">
        <v>56456</v>
      </c>
      <c r="B102" s="7">
        <v>2.77502980026877E-2</v>
      </c>
      <c r="C102" s="7">
        <v>7.4974238972806501E-2</v>
      </c>
      <c r="D102" s="7">
        <v>7000</v>
      </c>
      <c r="E102" s="7" t="s">
        <v>8</v>
      </c>
      <c r="F102" s="7">
        <v>10.16</v>
      </c>
      <c r="G102" s="7">
        <v>1</v>
      </c>
      <c r="H102" s="7">
        <v>847.72</v>
      </c>
      <c r="I102" s="7">
        <v>396.18</v>
      </c>
    </row>
    <row r="103" spans="1:9" x14ac:dyDescent="0.2">
      <c r="A103" s="7">
        <v>101411</v>
      </c>
      <c r="B103" s="7">
        <v>4.0415544028985902E-2</v>
      </c>
      <c r="C103" s="7">
        <v>5.3944556304700297E-2</v>
      </c>
      <c r="D103" s="7">
        <v>21000</v>
      </c>
      <c r="E103" s="7" t="s">
        <v>8</v>
      </c>
      <c r="F103" s="7">
        <v>14.09</v>
      </c>
      <c r="G103" s="7">
        <v>0</v>
      </c>
      <c r="H103" s="7">
        <v>23397.372568901199</v>
      </c>
      <c r="I103" s="7">
        <v>0</v>
      </c>
    </row>
    <row r="104" spans="1:9" x14ac:dyDescent="0.2">
      <c r="A104" s="7">
        <v>18284</v>
      </c>
      <c r="B104" s="7">
        <v>2.9258501200379899E-2</v>
      </c>
      <c r="C104" s="7">
        <v>8.1509172207196695E-2</v>
      </c>
      <c r="D104" s="7">
        <v>8300</v>
      </c>
      <c r="E104" s="7" t="s">
        <v>5</v>
      </c>
      <c r="F104" s="7">
        <v>16.2</v>
      </c>
      <c r="G104" s="7">
        <v>1</v>
      </c>
      <c r="H104" s="7">
        <v>3840.01</v>
      </c>
      <c r="I104" s="7">
        <v>913.71</v>
      </c>
    </row>
    <row r="105" spans="1:9" x14ac:dyDescent="0.2">
      <c r="A105" s="7">
        <v>97325</v>
      </c>
      <c r="B105" s="7">
        <v>2.7635886236684101E-2</v>
      </c>
      <c r="C105" s="7">
        <v>8.1509172207196695E-2</v>
      </c>
      <c r="D105" s="7">
        <v>14000</v>
      </c>
      <c r="E105" s="7" t="s">
        <v>8</v>
      </c>
      <c r="F105" s="7">
        <v>10.16</v>
      </c>
      <c r="G105" s="7">
        <v>0</v>
      </c>
      <c r="H105" s="7">
        <v>16300.507572594201</v>
      </c>
      <c r="I105" s="7">
        <v>0</v>
      </c>
    </row>
    <row r="106" spans="1:9" x14ac:dyDescent="0.2">
      <c r="A106" s="7">
        <v>43428</v>
      </c>
      <c r="B106" s="7">
        <v>4.2725264251948898E-2</v>
      </c>
      <c r="C106" s="7">
        <v>5.3944556304700297E-2</v>
      </c>
      <c r="D106" s="7">
        <v>29000</v>
      </c>
      <c r="E106" s="7" t="s">
        <v>8</v>
      </c>
      <c r="F106" s="7">
        <v>10.64</v>
      </c>
      <c r="G106" s="7">
        <v>0</v>
      </c>
      <c r="H106" s="7">
        <v>33791.980000000003</v>
      </c>
      <c r="I106" s="7">
        <v>0</v>
      </c>
    </row>
    <row r="107" spans="1:9" x14ac:dyDescent="0.2">
      <c r="A107" s="7">
        <v>33129</v>
      </c>
      <c r="B107" s="7">
        <v>3.4945128323840301E-2</v>
      </c>
      <c r="C107" s="7">
        <v>7.4974238972806501E-2</v>
      </c>
      <c r="D107" s="7">
        <v>14000</v>
      </c>
      <c r="E107" s="7" t="s">
        <v>8</v>
      </c>
      <c r="F107" s="7">
        <v>10.64</v>
      </c>
      <c r="G107" s="7">
        <v>0</v>
      </c>
      <c r="H107" s="7">
        <v>16027.0400064977</v>
      </c>
      <c r="I107" s="7">
        <v>0</v>
      </c>
    </row>
    <row r="108" spans="1:9" x14ac:dyDescent="0.2">
      <c r="A108" s="7">
        <v>12032</v>
      </c>
      <c r="B108" s="7">
        <v>2.7326435763824299E-2</v>
      </c>
      <c r="C108" s="7">
        <v>5.3944556304700297E-2</v>
      </c>
      <c r="D108" s="7">
        <v>24000</v>
      </c>
      <c r="E108" s="7" t="s">
        <v>4</v>
      </c>
      <c r="F108" s="7">
        <v>7.62</v>
      </c>
      <c r="G108" s="7">
        <v>0</v>
      </c>
      <c r="H108" s="7">
        <v>25350.927976652001</v>
      </c>
      <c r="I108" s="7">
        <v>0</v>
      </c>
    </row>
    <row r="109" spans="1:9" x14ac:dyDescent="0.2">
      <c r="A109" s="7">
        <v>115836</v>
      </c>
      <c r="B109" s="7">
        <v>2.14929594761301E-2</v>
      </c>
      <c r="C109" s="7">
        <v>8.1509172207196695E-2</v>
      </c>
      <c r="D109" s="7">
        <v>3500</v>
      </c>
      <c r="E109" s="7" t="s">
        <v>4</v>
      </c>
      <c r="F109" s="7">
        <v>7.9</v>
      </c>
      <c r="G109" s="7">
        <v>0</v>
      </c>
      <c r="H109" s="7">
        <v>3568.3090625883001</v>
      </c>
      <c r="I109" s="7">
        <v>0</v>
      </c>
    </row>
    <row r="110" spans="1:9" x14ac:dyDescent="0.2">
      <c r="A110" s="7">
        <v>131503</v>
      </c>
      <c r="B110" s="7">
        <v>1.4380252943337399E-4</v>
      </c>
      <c r="C110" s="7">
        <v>8.1509172207196695E-2</v>
      </c>
      <c r="D110" s="7">
        <v>8000</v>
      </c>
      <c r="E110" s="7" t="s">
        <v>6</v>
      </c>
      <c r="F110" s="7">
        <v>18.55</v>
      </c>
      <c r="G110" s="7">
        <v>0</v>
      </c>
      <c r="H110" s="7">
        <v>9066.1342826487999</v>
      </c>
      <c r="I110" s="7">
        <v>0</v>
      </c>
    </row>
    <row r="111" spans="1:9" x14ac:dyDescent="0.2">
      <c r="A111" s="7">
        <v>120674</v>
      </c>
      <c r="B111" s="7">
        <v>2.9823835406222399E-2</v>
      </c>
      <c r="C111" s="7">
        <v>8.1509172207196695E-2</v>
      </c>
      <c r="D111" s="7">
        <v>6000</v>
      </c>
      <c r="E111" s="7" t="s">
        <v>4</v>
      </c>
      <c r="F111" s="7">
        <v>7.62</v>
      </c>
      <c r="G111" s="7">
        <v>0</v>
      </c>
      <c r="H111" s="7">
        <v>6688.9972902166</v>
      </c>
      <c r="I111" s="7">
        <v>0</v>
      </c>
    </row>
    <row r="112" spans="1:9" x14ac:dyDescent="0.2">
      <c r="A112" s="7">
        <v>83338</v>
      </c>
      <c r="B112" s="7">
        <v>2.5945748072133401E-2</v>
      </c>
      <c r="C112" s="7">
        <v>8.1509172207196695E-2</v>
      </c>
      <c r="D112" s="7">
        <v>14000</v>
      </c>
      <c r="E112" s="7" t="s">
        <v>5</v>
      </c>
      <c r="F112" s="7">
        <v>16.29</v>
      </c>
      <c r="G112" s="7">
        <v>0</v>
      </c>
      <c r="H112" s="7">
        <v>17774.428648797599</v>
      </c>
      <c r="I112" s="7">
        <v>0</v>
      </c>
    </row>
    <row r="113" spans="1:9" x14ac:dyDescent="0.2">
      <c r="A113" s="7">
        <v>129461</v>
      </c>
      <c r="B113" s="7">
        <v>3.2135307453158603E-2</v>
      </c>
      <c r="C113" s="7">
        <v>8.1509172207196695E-2</v>
      </c>
      <c r="D113" s="7">
        <v>7000</v>
      </c>
      <c r="E113" s="7" t="s">
        <v>8</v>
      </c>
      <c r="F113" s="7">
        <v>9.76</v>
      </c>
      <c r="G113" s="7">
        <v>0</v>
      </c>
      <c r="H113" s="7">
        <v>7417.487677995</v>
      </c>
      <c r="I113" s="7">
        <v>0</v>
      </c>
    </row>
    <row r="114" spans="1:9" x14ac:dyDescent="0.2">
      <c r="A114" s="7">
        <v>23828</v>
      </c>
      <c r="B114" s="7">
        <v>-2.0272879709291101E-3</v>
      </c>
      <c r="C114" s="7">
        <v>8.4798680815203503E-2</v>
      </c>
      <c r="D114" s="7">
        <v>26000</v>
      </c>
      <c r="E114" s="7" t="s">
        <v>8</v>
      </c>
      <c r="F114" s="7">
        <v>10.99</v>
      </c>
      <c r="G114" s="7">
        <v>0</v>
      </c>
      <c r="H114" s="7">
        <v>27160.354211690799</v>
      </c>
      <c r="I114" s="7">
        <v>0</v>
      </c>
    </row>
    <row r="115" spans="1:9" x14ac:dyDescent="0.2">
      <c r="A115" s="7">
        <v>26605</v>
      </c>
      <c r="B115" s="7">
        <v>3.69014900781253E-2</v>
      </c>
      <c r="C115" s="7">
        <v>8.1509172207196695E-2</v>
      </c>
      <c r="D115" s="7">
        <v>5500</v>
      </c>
      <c r="E115" s="7" t="s">
        <v>5</v>
      </c>
      <c r="F115" s="7">
        <v>15.1</v>
      </c>
      <c r="G115" s="7">
        <v>1</v>
      </c>
      <c r="H115" s="7">
        <v>3081.58</v>
      </c>
      <c r="I115" s="7">
        <v>982.05</v>
      </c>
    </row>
    <row r="116" spans="1:9" x14ac:dyDescent="0.2">
      <c r="A116" s="7">
        <v>126762</v>
      </c>
      <c r="B116" s="7">
        <v>2.7583306737910498E-2</v>
      </c>
      <c r="C116" s="7">
        <v>5.3944556304700297E-2</v>
      </c>
      <c r="D116" s="7">
        <v>25000</v>
      </c>
      <c r="E116" s="7" t="s">
        <v>4</v>
      </c>
      <c r="F116" s="7">
        <v>7.62</v>
      </c>
      <c r="G116" s="7">
        <v>0</v>
      </c>
      <c r="H116" s="7">
        <v>26525.6233432849</v>
      </c>
      <c r="I116" s="7">
        <v>0</v>
      </c>
    </row>
    <row r="117" spans="1:9" x14ac:dyDescent="0.2">
      <c r="A117" s="7">
        <v>11042</v>
      </c>
      <c r="B117" s="7">
        <v>3.2119337793761603E-2</v>
      </c>
      <c r="C117" s="7">
        <v>7.7054178620260594E-2</v>
      </c>
      <c r="D117" s="7">
        <v>20000</v>
      </c>
      <c r="E117" s="7" t="s">
        <v>8</v>
      </c>
      <c r="F117" s="7">
        <v>12.99</v>
      </c>
      <c r="G117" s="7">
        <v>0</v>
      </c>
      <c r="H117" s="7">
        <v>22910.536327146099</v>
      </c>
      <c r="I117" s="7">
        <v>0</v>
      </c>
    </row>
    <row r="118" spans="1:9" x14ac:dyDescent="0.2">
      <c r="A118" s="7">
        <v>7746</v>
      </c>
      <c r="B118" s="7">
        <v>3.2743763895166103E-2</v>
      </c>
      <c r="C118" s="7">
        <v>5.3944556304700297E-2</v>
      </c>
      <c r="D118" s="7">
        <v>30000</v>
      </c>
      <c r="E118" s="7" t="s">
        <v>8</v>
      </c>
      <c r="F118" s="7">
        <v>11.99</v>
      </c>
      <c r="G118" s="7">
        <v>1</v>
      </c>
      <c r="H118" s="7">
        <v>22919.5</v>
      </c>
      <c r="I118" s="7">
        <v>1997.59</v>
      </c>
    </row>
    <row r="119" spans="1:9" x14ac:dyDescent="0.2">
      <c r="A119" s="7">
        <v>17533</v>
      </c>
      <c r="B119" s="8">
        <v>2.43639758777132E-5</v>
      </c>
      <c r="C119" s="7">
        <v>8.4798680815203503E-2</v>
      </c>
      <c r="D119" s="7">
        <v>22475</v>
      </c>
      <c r="E119" s="7" t="s">
        <v>5</v>
      </c>
      <c r="F119" s="7">
        <v>15.1</v>
      </c>
      <c r="G119" s="7">
        <v>1</v>
      </c>
      <c r="H119" s="7">
        <v>4822.78</v>
      </c>
      <c r="I119" s="7">
        <v>0</v>
      </c>
    </row>
    <row r="120" spans="1:9" x14ac:dyDescent="0.2">
      <c r="A120" s="7">
        <v>31344</v>
      </c>
      <c r="B120" s="7">
        <v>2.39380776999738E-2</v>
      </c>
      <c r="C120" s="7">
        <v>7.4974238972806501E-2</v>
      </c>
      <c r="D120" s="7">
        <v>11000</v>
      </c>
      <c r="E120" s="7" t="s">
        <v>4</v>
      </c>
      <c r="F120" s="7">
        <v>6.62</v>
      </c>
      <c r="G120" s="7">
        <v>0</v>
      </c>
      <c r="H120" s="7">
        <v>11921.9500035007</v>
      </c>
      <c r="I120" s="7">
        <v>0</v>
      </c>
    </row>
    <row r="121" spans="1:9" x14ac:dyDescent="0.2">
      <c r="A121" s="7">
        <v>42900</v>
      </c>
      <c r="B121" s="7">
        <v>3.4431540773716802E-2</v>
      </c>
      <c r="C121" s="7">
        <v>7.4974238972806501E-2</v>
      </c>
      <c r="D121" s="7">
        <v>5600</v>
      </c>
      <c r="E121" s="7" t="s">
        <v>5</v>
      </c>
      <c r="F121" s="7">
        <v>13.68</v>
      </c>
      <c r="G121" s="7">
        <v>0</v>
      </c>
      <c r="H121" s="7">
        <v>6312.421367725</v>
      </c>
      <c r="I121" s="7">
        <v>0</v>
      </c>
    </row>
    <row r="122" spans="1:9" x14ac:dyDescent="0.2">
      <c r="A122" s="7">
        <v>42971</v>
      </c>
      <c r="B122" s="7">
        <v>6.5128749994780105E-2</v>
      </c>
      <c r="C122" s="7">
        <v>5.3944556304700297E-2</v>
      </c>
      <c r="D122" s="7">
        <v>20000</v>
      </c>
      <c r="E122" s="7" t="s">
        <v>6</v>
      </c>
      <c r="F122" s="7">
        <v>17.559999999999999</v>
      </c>
      <c r="G122" s="7">
        <v>0</v>
      </c>
      <c r="H122" s="7">
        <v>25849.65</v>
      </c>
      <c r="I122" s="7">
        <v>0</v>
      </c>
    </row>
    <row r="123" spans="1:9" x14ac:dyDescent="0.2">
      <c r="A123" s="7">
        <v>64830</v>
      </c>
      <c r="B123" s="7">
        <v>2.6432126053876001E-2</v>
      </c>
      <c r="C123" s="7">
        <v>8.1509172207196695E-2</v>
      </c>
      <c r="D123" s="7">
        <v>10000</v>
      </c>
      <c r="E123" s="7" t="s">
        <v>8</v>
      </c>
      <c r="F123" s="7">
        <v>13.11</v>
      </c>
      <c r="G123" s="7">
        <v>0</v>
      </c>
      <c r="H123" s="7">
        <v>12148.902154867001</v>
      </c>
      <c r="I123" s="7">
        <v>0</v>
      </c>
    </row>
    <row r="124" spans="1:9" x14ac:dyDescent="0.2">
      <c r="A124" s="7">
        <v>20657</v>
      </c>
      <c r="B124" s="7">
        <v>3.3639759003841703E-2</v>
      </c>
      <c r="C124" s="7">
        <v>8.4798680815203503E-2</v>
      </c>
      <c r="D124" s="7">
        <v>24000</v>
      </c>
      <c r="E124" s="7" t="s">
        <v>6</v>
      </c>
      <c r="F124" s="7">
        <v>19.2</v>
      </c>
      <c r="G124" s="7">
        <v>1</v>
      </c>
      <c r="H124" s="7">
        <v>20007.96</v>
      </c>
      <c r="I124" s="7">
        <v>600</v>
      </c>
    </row>
    <row r="125" spans="1:9" x14ac:dyDescent="0.2">
      <c r="A125" s="7">
        <v>126035</v>
      </c>
      <c r="B125" s="7">
        <v>3.2856188891102298E-2</v>
      </c>
      <c r="C125" s="7">
        <v>5.3944556304700297E-2</v>
      </c>
      <c r="D125" s="7">
        <v>21000</v>
      </c>
      <c r="E125" s="7" t="s">
        <v>8</v>
      </c>
      <c r="F125" s="7">
        <v>11.14</v>
      </c>
      <c r="G125" s="7">
        <v>0</v>
      </c>
      <c r="H125" s="7">
        <v>23296.777847426802</v>
      </c>
      <c r="I125" s="7">
        <v>0</v>
      </c>
    </row>
    <row r="126" spans="1:9" x14ac:dyDescent="0.2">
      <c r="A126" s="7">
        <v>73504</v>
      </c>
      <c r="B126" s="7">
        <v>3.2393507286187798E-2</v>
      </c>
      <c r="C126" s="7">
        <v>8.4798680815203503E-2</v>
      </c>
      <c r="D126" s="7">
        <v>23000</v>
      </c>
      <c r="E126" s="7" t="s">
        <v>5</v>
      </c>
      <c r="F126" s="7">
        <v>14.33</v>
      </c>
      <c r="G126" s="7">
        <v>0</v>
      </c>
      <c r="H126" s="7">
        <v>28431.942047976001</v>
      </c>
      <c r="I126" s="7">
        <v>0</v>
      </c>
    </row>
    <row r="127" spans="1:9" x14ac:dyDescent="0.2">
      <c r="A127" s="7">
        <v>64156</v>
      </c>
      <c r="B127" s="7">
        <v>3.37665216320183E-2</v>
      </c>
      <c r="C127" s="7">
        <v>7.4974238972806501E-2</v>
      </c>
      <c r="D127" s="7">
        <v>13800</v>
      </c>
      <c r="E127" s="7" t="s">
        <v>8</v>
      </c>
      <c r="F127" s="7">
        <v>12.12</v>
      </c>
      <c r="G127" s="7">
        <v>0</v>
      </c>
      <c r="H127" s="7">
        <v>16529.348901673002</v>
      </c>
      <c r="I127" s="7">
        <v>0</v>
      </c>
    </row>
    <row r="128" spans="1:9" x14ac:dyDescent="0.2">
      <c r="A128" s="7">
        <v>9653</v>
      </c>
      <c r="B128" s="7">
        <v>3.6958691776525797E-2</v>
      </c>
      <c r="C128" s="7">
        <v>7.7054178620260594E-2</v>
      </c>
      <c r="D128" s="7">
        <v>18000</v>
      </c>
      <c r="E128" s="7" t="s">
        <v>8</v>
      </c>
      <c r="F128" s="7">
        <v>11.99</v>
      </c>
      <c r="G128" s="7">
        <v>0</v>
      </c>
      <c r="H128" s="7">
        <v>20602.230011173699</v>
      </c>
      <c r="I128" s="7">
        <v>0</v>
      </c>
    </row>
    <row r="129" spans="1:9" x14ac:dyDescent="0.2">
      <c r="A129" s="7">
        <v>127026</v>
      </c>
      <c r="B129" s="7">
        <v>3.0945514878124199E-2</v>
      </c>
      <c r="C129" s="7">
        <v>7.4974238972806501E-2</v>
      </c>
      <c r="D129" s="7">
        <v>10000</v>
      </c>
      <c r="E129" s="7" t="s">
        <v>8</v>
      </c>
      <c r="F129" s="7">
        <v>10.74</v>
      </c>
      <c r="G129" s="7">
        <v>0</v>
      </c>
      <c r="H129" s="7">
        <v>10527.239513565701</v>
      </c>
      <c r="I129" s="7">
        <v>0</v>
      </c>
    </row>
    <row r="130" spans="1:9" x14ac:dyDescent="0.2">
      <c r="A130" s="7">
        <v>46614</v>
      </c>
      <c r="B130" s="7">
        <v>-1.02821775776191E-2</v>
      </c>
      <c r="C130" s="7">
        <v>8.4798680815203503E-2</v>
      </c>
      <c r="D130" s="7">
        <v>19600</v>
      </c>
      <c r="E130" s="7" t="s">
        <v>10</v>
      </c>
      <c r="F130" s="7">
        <v>23.5</v>
      </c>
      <c r="G130" s="7">
        <v>1</v>
      </c>
      <c r="H130" s="7">
        <v>6580.15</v>
      </c>
      <c r="I130" s="7">
        <v>2647.86</v>
      </c>
    </row>
    <row r="131" spans="1:9" x14ac:dyDescent="0.2">
      <c r="A131" s="7">
        <v>21096</v>
      </c>
      <c r="B131" s="7">
        <v>2.30269701351659E-2</v>
      </c>
      <c r="C131" s="7">
        <v>7.4974238972806501E-2</v>
      </c>
      <c r="D131" s="7">
        <v>10000</v>
      </c>
      <c r="E131" s="7" t="s">
        <v>4</v>
      </c>
      <c r="F131" s="7">
        <v>9.25</v>
      </c>
      <c r="G131" s="7">
        <v>0</v>
      </c>
      <c r="H131" s="7">
        <v>10798.618271121501</v>
      </c>
      <c r="I131" s="7">
        <v>0</v>
      </c>
    </row>
    <row r="132" spans="1:9" x14ac:dyDescent="0.2">
      <c r="A132" s="7">
        <v>119811</v>
      </c>
      <c r="B132" s="7">
        <v>3.0631490540535999E-2</v>
      </c>
      <c r="C132" s="7">
        <v>8.1509172207196695E-2</v>
      </c>
      <c r="D132" s="7">
        <v>11500</v>
      </c>
      <c r="E132" s="7" t="s">
        <v>6</v>
      </c>
      <c r="F132" s="7">
        <v>18.489999999999998</v>
      </c>
      <c r="G132" s="7">
        <v>1</v>
      </c>
      <c r="H132" s="7">
        <v>3765.42</v>
      </c>
      <c r="I132" s="7">
        <v>20.43</v>
      </c>
    </row>
    <row r="133" spans="1:9" x14ac:dyDescent="0.2">
      <c r="A133" s="7">
        <v>84329</v>
      </c>
      <c r="B133" s="7">
        <v>3.3756823700063401E-2</v>
      </c>
      <c r="C133" s="7">
        <v>8.4798680815203503E-2</v>
      </c>
      <c r="D133" s="7">
        <v>28000</v>
      </c>
      <c r="E133" s="7" t="s">
        <v>8</v>
      </c>
      <c r="F133" s="7">
        <v>13.11</v>
      </c>
      <c r="G133" s="7">
        <v>0</v>
      </c>
      <c r="H133" s="7">
        <v>33890.909988221603</v>
      </c>
      <c r="I133" s="7">
        <v>0</v>
      </c>
    </row>
    <row r="134" spans="1:9" x14ac:dyDescent="0.2">
      <c r="A134" s="7">
        <v>92287</v>
      </c>
      <c r="B134" s="7">
        <v>4.9199244781353298E-2</v>
      </c>
      <c r="C134" s="7">
        <v>5.3944556304700297E-2</v>
      </c>
      <c r="D134" s="7">
        <v>32000</v>
      </c>
      <c r="E134" s="7" t="s">
        <v>5</v>
      </c>
      <c r="F134" s="7">
        <v>14.33</v>
      </c>
      <c r="G134" s="7">
        <v>0</v>
      </c>
      <c r="H134" s="7">
        <v>39557.435724130999</v>
      </c>
      <c r="I134" s="7">
        <v>0</v>
      </c>
    </row>
    <row r="135" spans="1:9" x14ac:dyDescent="0.2">
      <c r="A135" s="7">
        <v>91679</v>
      </c>
      <c r="B135" s="8">
        <v>6.7470148610968207E-5</v>
      </c>
      <c r="C135" s="7">
        <v>5.3944556304700297E-2</v>
      </c>
      <c r="D135" s="7">
        <v>23000</v>
      </c>
      <c r="E135" s="7" t="s">
        <v>8</v>
      </c>
      <c r="F135" s="7">
        <v>11.14</v>
      </c>
      <c r="G135" s="7">
        <v>0</v>
      </c>
      <c r="H135" s="7">
        <v>24040.710043170398</v>
      </c>
      <c r="I135" s="7">
        <v>0</v>
      </c>
    </row>
    <row r="136" spans="1:9" x14ac:dyDescent="0.2">
      <c r="A136" s="7">
        <v>65938</v>
      </c>
      <c r="B136" s="7">
        <v>2.4155475847440901E-2</v>
      </c>
      <c r="C136" s="7">
        <v>7.7054178620260594E-2</v>
      </c>
      <c r="D136" s="7">
        <v>7200</v>
      </c>
      <c r="E136" s="7" t="s">
        <v>8</v>
      </c>
      <c r="F136" s="7">
        <v>10.16</v>
      </c>
      <c r="G136" s="7">
        <v>0</v>
      </c>
      <c r="H136" s="7">
        <v>8383.1097742202001</v>
      </c>
      <c r="I136" s="7">
        <v>0</v>
      </c>
    </row>
    <row r="137" spans="1:9" x14ac:dyDescent="0.2">
      <c r="A137" s="7">
        <v>120971</v>
      </c>
      <c r="B137" s="7">
        <v>1.8727210589202899E-2</v>
      </c>
      <c r="C137" s="7">
        <v>7.4974238972806501E-2</v>
      </c>
      <c r="D137" s="7">
        <v>14400</v>
      </c>
      <c r="E137" s="7" t="s">
        <v>4</v>
      </c>
      <c r="F137" s="7">
        <v>8.9</v>
      </c>
      <c r="G137" s="7">
        <v>0</v>
      </c>
      <c r="H137" s="7">
        <v>15266.225599563601</v>
      </c>
      <c r="I137" s="7">
        <v>0</v>
      </c>
    </row>
    <row r="138" spans="1:9" x14ac:dyDescent="0.2">
      <c r="A138" s="7">
        <v>129274</v>
      </c>
      <c r="B138" s="7">
        <v>-1.6000374571976E-3</v>
      </c>
      <c r="C138" s="7">
        <v>8.4798680815203503E-2</v>
      </c>
      <c r="D138" s="7">
        <v>24000</v>
      </c>
      <c r="E138" s="7" t="s">
        <v>7</v>
      </c>
      <c r="F138" s="7">
        <v>21.48</v>
      </c>
      <c r="G138" s="7">
        <v>0</v>
      </c>
      <c r="H138" s="7">
        <v>33341.010794718401</v>
      </c>
      <c r="I138" s="7">
        <v>0</v>
      </c>
    </row>
    <row r="139" spans="1:9" x14ac:dyDescent="0.2">
      <c r="A139" s="7">
        <v>36854</v>
      </c>
      <c r="B139" s="7">
        <v>3.3311815165788301E-2</v>
      </c>
      <c r="C139" s="7">
        <v>8.1509172207196695E-2</v>
      </c>
      <c r="D139" s="7">
        <v>12500</v>
      </c>
      <c r="E139" s="7" t="s">
        <v>6</v>
      </c>
      <c r="F139" s="7">
        <v>18.25</v>
      </c>
      <c r="G139" s="7">
        <v>1</v>
      </c>
      <c r="H139" s="7">
        <v>5010.95</v>
      </c>
      <c r="I139" s="7">
        <v>0</v>
      </c>
    </row>
    <row r="140" spans="1:9" x14ac:dyDescent="0.2">
      <c r="A140" s="7">
        <v>7205</v>
      </c>
      <c r="B140" s="7">
        <v>3.1498300257078997E-2</v>
      </c>
      <c r="C140" s="7">
        <v>7.4974238972806501E-2</v>
      </c>
      <c r="D140" s="7">
        <v>6375</v>
      </c>
      <c r="E140" s="7" t="s">
        <v>6</v>
      </c>
      <c r="F140" s="7">
        <v>18.55</v>
      </c>
      <c r="G140" s="7">
        <v>0</v>
      </c>
      <c r="H140" s="7">
        <v>7922.7599989163</v>
      </c>
      <c r="I140" s="7">
        <v>0</v>
      </c>
    </row>
    <row r="141" spans="1:9" x14ac:dyDescent="0.2">
      <c r="A141" s="7">
        <v>72257</v>
      </c>
      <c r="B141" s="7">
        <v>3.2870512558032201E-2</v>
      </c>
      <c r="C141" s="7">
        <v>8.1509172207196695E-2</v>
      </c>
      <c r="D141" s="7">
        <v>4525</v>
      </c>
      <c r="E141" s="7" t="s">
        <v>8</v>
      </c>
      <c r="F141" s="7">
        <v>12.12</v>
      </c>
      <c r="G141" s="7">
        <v>0</v>
      </c>
      <c r="H141" s="7">
        <v>5279.0600011309998</v>
      </c>
      <c r="I141" s="7">
        <v>0</v>
      </c>
    </row>
    <row r="142" spans="1:9" x14ac:dyDescent="0.2">
      <c r="A142" s="7">
        <v>49484</v>
      </c>
      <c r="B142" s="7">
        <v>2.58768378392084E-2</v>
      </c>
      <c r="C142" s="7">
        <v>7.4974238972806501E-2</v>
      </c>
      <c r="D142" s="7">
        <v>11625</v>
      </c>
      <c r="E142" s="7" t="s">
        <v>4</v>
      </c>
      <c r="F142" s="7">
        <v>7.62</v>
      </c>
      <c r="G142" s="7">
        <v>0</v>
      </c>
      <c r="H142" s="7">
        <v>12827.929996876401</v>
      </c>
      <c r="I142" s="7">
        <v>0</v>
      </c>
    </row>
    <row r="143" spans="1:9" x14ac:dyDescent="0.2">
      <c r="A143" s="7">
        <v>137649</v>
      </c>
      <c r="B143" s="7">
        <v>5.55024981481803E-3</v>
      </c>
      <c r="C143" s="7">
        <v>8.4798680815203503E-2</v>
      </c>
      <c r="D143" s="7">
        <v>16800</v>
      </c>
      <c r="E143" s="7" t="s">
        <v>6</v>
      </c>
      <c r="F143" s="7">
        <v>19.22</v>
      </c>
      <c r="G143" s="7">
        <v>0</v>
      </c>
      <c r="H143" s="7">
        <v>17095.242475042502</v>
      </c>
      <c r="I143" s="7">
        <v>0</v>
      </c>
    </row>
    <row r="144" spans="1:9" x14ac:dyDescent="0.2">
      <c r="A144" s="7">
        <v>56764</v>
      </c>
      <c r="B144" s="7">
        <v>2.98934720394241E-2</v>
      </c>
      <c r="C144" s="7">
        <v>7.7054178620260594E-2</v>
      </c>
      <c r="D144" s="7">
        <v>4000</v>
      </c>
      <c r="E144" s="7" t="s">
        <v>8</v>
      </c>
      <c r="F144" s="7">
        <v>13.11</v>
      </c>
      <c r="G144" s="7">
        <v>0</v>
      </c>
      <c r="H144" s="7">
        <v>4860.9729974720003</v>
      </c>
      <c r="I144" s="7">
        <v>0</v>
      </c>
    </row>
    <row r="145" spans="1:9" x14ac:dyDescent="0.2">
      <c r="A145" s="7">
        <v>83941</v>
      </c>
      <c r="B145" s="7">
        <v>8.3267207962372993E-3</v>
      </c>
      <c r="C145" s="7">
        <v>8.4798680815203503E-2</v>
      </c>
      <c r="D145" s="7">
        <v>33600</v>
      </c>
      <c r="E145" s="7" t="s">
        <v>7</v>
      </c>
      <c r="F145" s="7">
        <v>21.98</v>
      </c>
      <c r="G145" s="7">
        <v>1</v>
      </c>
      <c r="H145" s="7">
        <v>31304.91</v>
      </c>
      <c r="I145" s="7">
        <v>3430.03</v>
      </c>
    </row>
    <row r="146" spans="1:9" x14ac:dyDescent="0.2">
      <c r="A146" s="7">
        <v>9264</v>
      </c>
      <c r="B146" s="7">
        <v>4.1418073786692398E-2</v>
      </c>
      <c r="C146" s="7">
        <v>5.3944556304700297E-2</v>
      </c>
      <c r="D146" s="7">
        <v>18000</v>
      </c>
      <c r="E146" s="7" t="s">
        <v>8</v>
      </c>
      <c r="F146" s="7">
        <v>13.67</v>
      </c>
      <c r="G146" s="7">
        <v>0</v>
      </c>
      <c r="H146" s="7">
        <v>20568.04</v>
      </c>
      <c r="I146" s="7">
        <v>0</v>
      </c>
    </row>
    <row r="147" spans="1:9" x14ac:dyDescent="0.2">
      <c r="A147" s="7">
        <v>9871</v>
      </c>
      <c r="B147" s="7">
        <v>3.4528301436431499E-2</v>
      </c>
      <c r="C147" s="7">
        <v>5.3944556304700297E-2</v>
      </c>
      <c r="D147" s="7">
        <v>25000</v>
      </c>
      <c r="E147" s="7" t="s">
        <v>4</v>
      </c>
      <c r="F147" s="7">
        <v>7.9</v>
      </c>
      <c r="G147" s="7">
        <v>0</v>
      </c>
      <c r="H147" s="7">
        <v>27542.240000000002</v>
      </c>
      <c r="I147" s="7">
        <v>0</v>
      </c>
    </row>
    <row r="148" spans="1:9" x14ac:dyDescent="0.2">
      <c r="A148" s="7">
        <v>2015</v>
      </c>
      <c r="B148" s="7">
        <v>2.3659166542027699E-2</v>
      </c>
      <c r="C148" s="7">
        <v>8.1509172207196695E-2</v>
      </c>
      <c r="D148" s="7">
        <v>8000</v>
      </c>
      <c r="E148" s="7" t="s">
        <v>8</v>
      </c>
      <c r="F148" s="7">
        <v>12.85</v>
      </c>
      <c r="G148" s="7">
        <v>0</v>
      </c>
      <c r="H148" s="7">
        <v>8629.1768595819995</v>
      </c>
      <c r="I148" s="7">
        <v>0</v>
      </c>
    </row>
    <row r="149" spans="1:9" x14ac:dyDescent="0.2">
      <c r="A149" s="7">
        <v>79598</v>
      </c>
      <c r="B149" s="7">
        <v>1.5346731687594E-2</v>
      </c>
      <c r="C149" s="7">
        <v>8.4798680815203503E-2</v>
      </c>
      <c r="D149" s="7">
        <v>28000</v>
      </c>
      <c r="E149" s="7" t="s">
        <v>5</v>
      </c>
      <c r="F149" s="7">
        <v>17.27</v>
      </c>
      <c r="G149" s="7">
        <v>0</v>
      </c>
      <c r="H149" s="7">
        <v>37174.379959635196</v>
      </c>
      <c r="I149" s="7">
        <v>0</v>
      </c>
    </row>
    <row r="150" spans="1:9" x14ac:dyDescent="0.2">
      <c r="A150" s="7">
        <v>5124</v>
      </c>
      <c r="B150" s="7">
        <v>2.7622378032305401E-2</v>
      </c>
      <c r="C150" s="7">
        <v>5.3944556304700297E-2</v>
      </c>
      <c r="D150" s="7">
        <v>21000</v>
      </c>
      <c r="E150" s="7" t="s">
        <v>4</v>
      </c>
      <c r="F150" s="7">
        <v>7.9</v>
      </c>
      <c r="G150" s="7">
        <v>0</v>
      </c>
      <c r="H150" s="7">
        <v>22119.3748569458</v>
      </c>
      <c r="I150" s="7">
        <v>0</v>
      </c>
    </row>
    <row r="151" spans="1:9" x14ac:dyDescent="0.2">
      <c r="A151" s="7">
        <v>94396</v>
      </c>
      <c r="B151" s="7">
        <v>3.1567138947182397E-2</v>
      </c>
      <c r="C151" s="7">
        <v>7.7054178620260594E-2</v>
      </c>
      <c r="D151" s="7">
        <v>9600</v>
      </c>
      <c r="E151" s="7" t="s">
        <v>8</v>
      </c>
      <c r="F151" s="7">
        <v>12.12</v>
      </c>
      <c r="G151" s="7">
        <v>0</v>
      </c>
      <c r="H151" s="7">
        <v>11132.7471259634</v>
      </c>
      <c r="I151" s="7">
        <v>0</v>
      </c>
    </row>
    <row r="152" spans="1:9" x14ac:dyDescent="0.2">
      <c r="A152" s="7">
        <v>18253</v>
      </c>
      <c r="B152" s="7">
        <v>3.0440853892805798E-2</v>
      </c>
      <c r="C152" s="7">
        <v>5.3944556304700297E-2</v>
      </c>
      <c r="D152" s="7">
        <v>20000</v>
      </c>
      <c r="E152" s="7" t="s">
        <v>8</v>
      </c>
      <c r="F152" s="7">
        <v>12.99</v>
      </c>
      <c r="G152" s="7">
        <v>0</v>
      </c>
      <c r="H152" s="7">
        <v>23946.77</v>
      </c>
      <c r="I152" s="7">
        <v>0</v>
      </c>
    </row>
    <row r="153" spans="1:9" x14ac:dyDescent="0.2">
      <c r="A153" s="7">
        <v>24814</v>
      </c>
      <c r="B153" s="7">
        <v>4.0722599537516297E-3</v>
      </c>
      <c r="C153" s="7">
        <v>8.4798680815203503E-2</v>
      </c>
      <c r="D153" s="7">
        <v>25225</v>
      </c>
      <c r="E153" s="7" t="s">
        <v>6</v>
      </c>
      <c r="F153" s="7">
        <v>20.2</v>
      </c>
      <c r="G153" s="7">
        <v>1</v>
      </c>
      <c r="H153" s="7">
        <v>5508.56</v>
      </c>
      <c r="I153" s="7">
        <v>3496.4</v>
      </c>
    </row>
    <row r="154" spans="1:9" x14ac:dyDescent="0.2">
      <c r="A154" s="7">
        <v>46213</v>
      </c>
      <c r="B154" s="7">
        <v>-2.6517623323043401E-3</v>
      </c>
      <c r="C154" s="7">
        <v>8.4798680815203503E-2</v>
      </c>
      <c r="D154" s="7">
        <v>26500</v>
      </c>
      <c r="E154" s="7" t="s">
        <v>6</v>
      </c>
      <c r="F154" s="7">
        <v>17.559999999999999</v>
      </c>
      <c r="G154" s="7">
        <v>0</v>
      </c>
      <c r="H154" s="7">
        <v>36607.06</v>
      </c>
      <c r="I154" s="7">
        <v>0</v>
      </c>
    </row>
    <row r="155" spans="1:9" x14ac:dyDescent="0.2">
      <c r="A155" s="7">
        <v>88317</v>
      </c>
      <c r="B155" s="7">
        <v>2.25602886395973E-2</v>
      </c>
      <c r="C155" s="7">
        <v>7.4974238972806501E-2</v>
      </c>
      <c r="D155" s="7">
        <v>15500</v>
      </c>
      <c r="E155" s="7" t="s">
        <v>4</v>
      </c>
      <c r="F155" s="7">
        <v>6.03</v>
      </c>
      <c r="G155" s="7">
        <v>0</v>
      </c>
      <c r="H155" s="7">
        <v>15938.469426244699</v>
      </c>
      <c r="I155" s="7">
        <v>0</v>
      </c>
    </row>
    <row r="156" spans="1:9" x14ac:dyDescent="0.2">
      <c r="A156" s="7">
        <v>39247</v>
      </c>
      <c r="B156" s="7">
        <v>3.3246424104638399E-2</v>
      </c>
      <c r="C156" s="7">
        <v>7.7054178620260594E-2</v>
      </c>
      <c r="D156" s="7">
        <v>10000</v>
      </c>
      <c r="E156" s="7" t="s">
        <v>8</v>
      </c>
      <c r="F156" s="7">
        <v>11.55</v>
      </c>
      <c r="G156" s="7">
        <v>0</v>
      </c>
      <c r="H156" s="7">
        <v>10146.323774013799</v>
      </c>
      <c r="I156" s="7">
        <v>0</v>
      </c>
    </row>
    <row r="157" spans="1:9" x14ac:dyDescent="0.2">
      <c r="A157" s="7">
        <v>83067</v>
      </c>
      <c r="B157" s="7">
        <v>2.44818648417989E-2</v>
      </c>
      <c r="C157" s="7">
        <v>8.1509172207196695E-2</v>
      </c>
      <c r="D157" s="7">
        <v>18000</v>
      </c>
      <c r="E157" s="7" t="s">
        <v>5</v>
      </c>
      <c r="F157" s="7">
        <v>16.29</v>
      </c>
      <c r="G157" s="7">
        <v>0</v>
      </c>
      <c r="H157" s="7">
        <v>22874.610538604498</v>
      </c>
      <c r="I157" s="7">
        <v>0</v>
      </c>
    </row>
    <row r="158" spans="1:9" x14ac:dyDescent="0.2">
      <c r="A158" s="7">
        <v>20389</v>
      </c>
      <c r="B158" s="7">
        <v>-2.3461159588442E-3</v>
      </c>
      <c r="C158" s="7">
        <v>5.3944556304700297E-2</v>
      </c>
      <c r="D158" s="7">
        <v>21725</v>
      </c>
      <c r="E158" s="7" t="s">
        <v>10</v>
      </c>
      <c r="F158" s="7">
        <v>23.7</v>
      </c>
      <c r="G158" s="7">
        <v>0</v>
      </c>
      <c r="H158" s="7">
        <v>32256.500036859601</v>
      </c>
      <c r="I158" s="7">
        <v>0</v>
      </c>
    </row>
    <row r="159" spans="1:9" x14ac:dyDescent="0.2">
      <c r="A159" s="7">
        <v>24762</v>
      </c>
      <c r="B159" s="7">
        <v>2.4128438919532799E-2</v>
      </c>
      <c r="C159" s="7">
        <v>5.3944556304700297E-2</v>
      </c>
      <c r="D159" s="7">
        <v>28000</v>
      </c>
      <c r="E159" s="7" t="s">
        <v>4</v>
      </c>
      <c r="F159" s="7">
        <v>7.62</v>
      </c>
      <c r="G159" s="7">
        <v>0</v>
      </c>
      <c r="H159" s="7">
        <v>31070.469967750101</v>
      </c>
      <c r="I159" s="7">
        <v>0</v>
      </c>
    </row>
    <row r="160" spans="1:9" x14ac:dyDescent="0.2">
      <c r="A160" s="7">
        <v>139994</v>
      </c>
      <c r="B160" s="7">
        <v>1.8950035777283599E-2</v>
      </c>
      <c r="C160" s="7">
        <v>5.3944556304700297E-2</v>
      </c>
      <c r="D160" s="7">
        <v>18000</v>
      </c>
      <c r="E160" s="7" t="s">
        <v>4</v>
      </c>
      <c r="F160" s="7">
        <v>7.9</v>
      </c>
      <c r="G160" s="7">
        <v>0</v>
      </c>
      <c r="H160" s="7">
        <v>20276.0700059187</v>
      </c>
      <c r="I160" s="7">
        <v>0</v>
      </c>
    </row>
    <row r="161" spans="1:9" x14ac:dyDescent="0.2">
      <c r="A161" s="7">
        <v>76854</v>
      </c>
      <c r="B161" s="7">
        <v>2.2805727958651701E-2</v>
      </c>
      <c r="C161" s="7">
        <v>8.1509172207196695E-2</v>
      </c>
      <c r="D161" s="7">
        <v>8500</v>
      </c>
      <c r="E161" s="7" t="s">
        <v>6</v>
      </c>
      <c r="F161" s="7">
        <v>18.489999999999998</v>
      </c>
      <c r="G161" s="7">
        <v>0</v>
      </c>
      <c r="H161" s="7">
        <v>11137.981178886101</v>
      </c>
      <c r="I161" s="7">
        <v>0</v>
      </c>
    </row>
    <row r="162" spans="1:9" x14ac:dyDescent="0.2">
      <c r="A162" s="7">
        <v>52985</v>
      </c>
      <c r="B162" s="7">
        <v>2.9217452284895501E-2</v>
      </c>
      <c r="C162" s="7">
        <v>7.4974238972806501E-2</v>
      </c>
      <c r="D162" s="7">
        <v>10000</v>
      </c>
      <c r="E162" s="7" t="s">
        <v>5</v>
      </c>
      <c r="F162" s="7">
        <v>16.29</v>
      </c>
      <c r="G162" s="7">
        <v>0</v>
      </c>
      <c r="H162" s="7">
        <v>12701.48</v>
      </c>
      <c r="I162" s="7">
        <v>0</v>
      </c>
    </row>
    <row r="163" spans="1:9" x14ac:dyDescent="0.2">
      <c r="A163" s="7">
        <v>61414</v>
      </c>
      <c r="B163" s="7">
        <v>2.9610168049701499E-2</v>
      </c>
      <c r="C163" s="7">
        <v>7.4974238972806501E-2</v>
      </c>
      <c r="D163" s="7">
        <v>10000</v>
      </c>
      <c r="E163" s="7" t="s">
        <v>5</v>
      </c>
      <c r="F163" s="7">
        <v>15.31</v>
      </c>
      <c r="G163" s="7">
        <v>0</v>
      </c>
      <c r="H163" s="7">
        <v>12490.882569827399</v>
      </c>
      <c r="I163" s="7">
        <v>0</v>
      </c>
    </row>
    <row r="164" spans="1:9" x14ac:dyDescent="0.2">
      <c r="A164" s="7">
        <v>63865</v>
      </c>
      <c r="B164" s="7">
        <v>3.3015766327690897E-2</v>
      </c>
      <c r="C164" s="7">
        <v>7.4974238972806501E-2</v>
      </c>
      <c r="D164" s="7">
        <v>14000</v>
      </c>
      <c r="E164" s="7" t="s">
        <v>6</v>
      </c>
      <c r="F164" s="7">
        <v>19.72</v>
      </c>
      <c r="G164" s="7">
        <v>0</v>
      </c>
      <c r="H164" s="7">
        <v>14892.403902472</v>
      </c>
      <c r="I164" s="7">
        <v>0</v>
      </c>
    </row>
    <row r="165" spans="1:9" x14ac:dyDescent="0.2">
      <c r="A165" s="7">
        <v>51481</v>
      </c>
      <c r="B165" s="7">
        <v>3.19460644562619E-2</v>
      </c>
      <c r="C165" s="7">
        <v>8.1509172207196695E-2</v>
      </c>
      <c r="D165" s="7">
        <v>20000</v>
      </c>
      <c r="E165" s="7" t="s">
        <v>8</v>
      </c>
      <c r="F165" s="7">
        <v>13.11</v>
      </c>
      <c r="G165" s="7">
        <v>0</v>
      </c>
      <c r="H165" s="7">
        <v>23440.030000000999</v>
      </c>
      <c r="I165" s="7">
        <v>0</v>
      </c>
    </row>
    <row r="166" spans="1:9" x14ac:dyDescent="0.2">
      <c r="A166" s="7">
        <v>128890</v>
      </c>
      <c r="B166" s="7">
        <v>4.7648650593503601E-2</v>
      </c>
      <c r="C166" s="7">
        <v>8.1509172207196695E-2</v>
      </c>
      <c r="D166" s="7">
        <v>9600</v>
      </c>
      <c r="E166" s="7" t="s">
        <v>6</v>
      </c>
      <c r="F166" s="7">
        <v>19.22</v>
      </c>
      <c r="G166" s="7">
        <v>0</v>
      </c>
      <c r="H166" s="7">
        <v>10738.825348851</v>
      </c>
      <c r="I166" s="7">
        <v>0</v>
      </c>
    </row>
    <row r="167" spans="1:9" x14ac:dyDescent="0.2">
      <c r="A167" s="7">
        <v>89505</v>
      </c>
      <c r="B167" s="7">
        <v>-2.8740072434784701E-3</v>
      </c>
      <c r="C167" s="7">
        <v>8.4798680815203503E-2</v>
      </c>
      <c r="D167" s="7">
        <v>29375</v>
      </c>
      <c r="E167" s="7" t="s">
        <v>5</v>
      </c>
      <c r="F167" s="7">
        <v>16.29</v>
      </c>
      <c r="G167" s="7">
        <v>0</v>
      </c>
      <c r="H167" s="7">
        <v>33160.583814703801</v>
      </c>
      <c r="I167" s="7">
        <v>0</v>
      </c>
    </row>
    <row r="168" spans="1:9" x14ac:dyDescent="0.2">
      <c r="A168" s="7">
        <v>49060</v>
      </c>
      <c r="B168" s="7">
        <v>1.09223801218675E-3</v>
      </c>
      <c r="C168" s="7">
        <v>7.4974238972806501E-2</v>
      </c>
      <c r="D168" s="7">
        <v>15000</v>
      </c>
      <c r="E168" s="7" t="s">
        <v>5</v>
      </c>
      <c r="F168" s="7">
        <v>16.29</v>
      </c>
      <c r="G168" s="7">
        <v>1</v>
      </c>
      <c r="H168" s="7">
        <v>6970.95</v>
      </c>
      <c r="I168" s="7">
        <v>0</v>
      </c>
    </row>
    <row r="169" spans="1:9" x14ac:dyDescent="0.2">
      <c r="A169" s="7">
        <v>37289</v>
      </c>
      <c r="B169" s="7">
        <v>3.4397814994824603E-2</v>
      </c>
      <c r="C169" s="7">
        <v>7.4974238972806501E-2</v>
      </c>
      <c r="D169" s="7">
        <v>6000</v>
      </c>
      <c r="E169" s="7" t="s">
        <v>4</v>
      </c>
      <c r="F169" s="7">
        <v>8.9</v>
      </c>
      <c r="G169" s="7">
        <v>0</v>
      </c>
      <c r="H169" s="7">
        <v>6739.4000023663002</v>
      </c>
      <c r="I169" s="7">
        <v>0</v>
      </c>
    </row>
    <row r="170" spans="1:9" x14ac:dyDescent="0.2">
      <c r="A170" s="7">
        <v>45449</v>
      </c>
      <c r="B170" s="7">
        <v>3.5889449221999999E-2</v>
      </c>
      <c r="C170" s="7">
        <v>5.3944556304700297E-2</v>
      </c>
      <c r="D170" s="7">
        <v>30000</v>
      </c>
      <c r="E170" s="7" t="s">
        <v>5</v>
      </c>
      <c r="F170" s="7">
        <v>15.22</v>
      </c>
      <c r="G170" s="7">
        <v>0</v>
      </c>
      <c r="H170" s="7">
        <v>35249.567625437499</v>
      </c>
      <c r="I170" s="7">
        <v>0</v>
      </c>
    </row>
    <row r="171" spans="1:9" x14ac:dyDescent="0.2">
      <c r="A171" s="7">
        <v>134347</v>
      </c>
      <c r="B171" s="7">
        <v>3.3167516301434503E-2</v>
      </c>
      <c r="C171" s="7">
        <v>8.1509172207196695E-2</v>
      </c>
      <c r="D171" s="7">
        <v>7000</v>
      </c>
      <c r="E171" s="7" t="s">
        <v>8</v>
      </c>
      <c r="F171" s="7">
        <v>9.76</v>
      </c>
      <c r="G171" s="7">
        <v>0</v>
      </c>
      <c r="H171" s="7">
        <v>7866.3890331703997</v>
      </c>
      <c r="I171" s="7">
        <v>0</v>
      </c>
    </row>
    <row r="172" spans="1:9" x14ac:dyDescent="0.2">
      <c r="A172" s="7">
        <v>37083</v>
      </c>
      <c r="B172" s="7">
        <v>7.17302419515751E-3</v>
      </c>
      <c r="C172" s="7">
        <v>7.7054178620260594E-2</v>
      </c>
      <c r="D172" s="7">
        <v>12000</v>
      </c>
      <c r="E172" s="7" t="s">
        <v>5</v>
      </c>
      <c r="F172" s="7">
        <v>15.22</v>
      </c>
      <c r="G172" s="7">
        <v>0</v>
      </c>
      <c r="H172" s="7">
        <v>14685.67</v>
      </c>
      <c r="I172" s="7">
        <v>0</v>
      </c>
    </row>
    <row r="173" spans="1:9" x14ac:dyDescent="0.2">
      <c r="A173" s="7">
        <v>122477</v>
      </c>
      <c r="B173" s="7">
        <v>2.9422283897888299E-2</v>
      </c>
      <c r="C173" s="7">
        <v>8.1509172207196695E-2</v>
      </c>
      <c r="D173" s="7">
        <v>12175</v>
      </c>
      <c r="E173" s="7" t="s">
        <v>8</v>
      </c>
      <c r="F173" s="7">
        <v>12.12</v>
      </c>
      <c r="G173" s="7">
        <v>0</v>
      </c>
      <c r="H173" s="7">
        <v>14582.9111220869</v>
      </c>
      <c r="I173" s="7">
        <v>0</v>
      </c>
    </row>
    <row r="174" spans="1:9" x14ac:dyDescent="0.2">
      <c r="A174" s="7">
        <v>42157</v>
      </c>
      <c r="B174" s="7">
        <v>2.7533709363898901E-2</v>
      </c>
      <c r="C174" s="7">
        <v>7.7054178620260594E-2</v>
      </c>
      <c r="D174" s="7">
        <v>9600</v>
      </c>
      <c r="E174" s="7" t="s">
        <v>8</v>
      </c>
      <c r="F174" s="7">
        <v>10.64</v>
      </c>
      <c r="G174" s="7">
        <v>0</v>
      </c>
      <c r="H174" s="7">
        <v>10848.200002117799</v>
      </c>
      <c r="I174" s="7">
        <v>0</v>
      </c>
    </row>
    <row r="175" spans="1:9" x14ac:dyDescent="0.2">
      <c r="A175" s="7">
        <v>90193</v>
      </c>
      <c r="B175" s="7">
        <v>4.3077979667903903E-3</v>
      </c>
      <c r="C175" s="7">
        <v>8.4798680815203503E-2</v>
      </c>
      <c r="D175" s="7">
        <v>21275</v>
      </c>
      <c r="E175" s="7" t="s">
        <v>5</v>
      </c>
      <c r="F175" s="7">
        <v>17.27</v>
      </c>
      <c r="G175" s="7">
        <v>1</v>
      </c>
      <c r="H175" s="7">
        <v>15423.36</v>
      </c>
      <c r="I175" s="7">
        <v>10.199999999999999</v>
      </c>
    </row>
    <row r="176" spans="1:9" x14ac:dyDescent="0.2">
      <c r="A176" s="7">
        <v>84736</v>
      </c>
      <c r="B176" s="7">
        <v>2.4591105129055501E-2</v>
      </c>
      <c r="C176" s="7">
        <v>8.1509172207196695E-2</v>
      </c>
      <c r="D176" s="7">
        <v>6000</v>
      </c>
      <c r="E176" s="7" t="s">
        <v>8</v>
      </c>
      <c r="F176" s="7">
        <v>12.12</v>
      </c>
      <c r="G176" s="7">
        <v>0</v>
      </c>
      <c r="H176" s="7">
        <v>6483.7540821752</v>
      </c>
      <c r="I176" s="7">
        <v>0</v>
      </c>
    </row>
    <row r="177" spans="1:9" x14ac:dyDescent="0.2">
      <c r="A177" s="7">
        <v>42276</v>
      </c>
      <c r="B177" s="7">
        <v>-8.7657005484508596E-4</v>
      </c>
      <c r="C177" s="7">
        <v>7.7054178620260594E-2</v>
      </c>
      <c r="D177" s="7">
        <v>13500</v>
      </c>
      <c r="E177" s="7" t="s">
        <v>7</v>
      </c>
      <c r="F177" s="7">
        <v>22.7</v>
      </c>
      <c r="G177" s="7">
        <v>0</v>
      </c>
      <c r="H177" s="7">
        <v>15943.7</v>
      </c>
      <c r="I177" s="7">
        <v>0</v>
      </c>
    </row>
    <row r="178" spans="1:9" x14ac:dyDescent="0.2">
      <c r="A178" s="7">
        <v>136009</v>
      </c>
      <c r="B178" s="7">
        <v>3.9060609252146501E-2</v>
      </c>
      <c r="C178" s="7">
        <v>7.4974238972806501E-2</v>
      </c>
      <c r="D178" s="7">
        <v>10000</v>
      </c>
      <c r="E178" s="7" t="s">
        <v>5</v>
      </c>
      <c r="F178" s="7">
        <v>14.65</v>
      </c>
      <c r="G178" s="7">
        <v>0</v>
      </c>
      <c r="H178" s="7">
        <v>12417.840000000801</v>
      </c>
      <c r="I178" s="7">
        <v>0</v>
      </c>
    </row>
    <row r="179" spans="1:9" x14ac:dyDescent="0.2">
      <c r="A179" s="7">
        <v>51010</v>
      </c>
      <c r="B179" s="7">
        <v>2.92116530125048E-2</v>
      </c>
      <c r="C179" s="7">
        <v>8.1509172207196695E-2</v>
      </c>
      <c r="D179" s="7">
        <v>15000</v>
      </c>
      <c r="E179" s="7" t="s">
        <v>8</v>
      </c>
      <c r="F179" s="7">
        <v>13.11</v>
      </c>
      <c r="G179" s="7">
        <v>0</v>
      </c>
      <c r="H179" s="7">
        <v>18223.314153764</v>
      </c>
      <c r="I179" s="7">
        <v>0</v>
      </c>
    </row>
    <row r="180" spans="1:9" x14ac:dyDescent="0.2">
      <c r="A180" s="7">
        <v>87607</v>
      </c>
      <c r="B180" s="7">
        <v>3.02164178511393E-2</v>
      </c>
      <c r="C180" s="7">
        <v>7.4974238972806501E-2</v>
      </c>
      <c r="D180" s="7">
        <v>10500</v>
      </c>
      <c r="E180" s="7" t="s">
        <v>8</v>
      </c>
      <c r="F180" s="7">
        <v>12.12</v>
      </c>
      <c r="G180" s="7">
        <v>0</v>
      </c>
      <c r="H180" s="7">
        <v>10607.555827656101</v>
      </c>
      <c r="I180" s="7">
        <v>0</v>
      </c>
    </row>
    <row r="181" spans="1:9" x14ac:dyDescent="0.2">
      <c r="A181" s="7">
        <v>35903</v>
      </c>
      <c r="B181" s="7">
        <v>4.02455977570415E-2</v>
      </c>
      <c r="C181" s="7">
        <v>7.4974238972806501E-2</v>
      </c>
      <c r="D181" s="7">
        <v>5000</v>
      </c>
      <c r="E181" s="7" t="s">
        <v>8</v>
      </c>
      <c r="F181" s="7">
        <v>13.05</v>
      </c>
      <c r="G181" s="7">
        <v>0</v>
      </c>
      <c r="H181" s="7">
        <v>5922.8700000011004</v>
      </c>
      <c r="I181" s="7">
        <v>0</v>
      </c>
    </row>
    <row r="182" spans="1:9" x14ac:dyDescent="0.2">
      <c r="A182" s="7">
        <v>143165</v>
      </c>
      <c r="B182" s="7">
        <v>1.28096455774666E-2</v>
      </c>
      <c r="C182" s="7">
        <v>8.1509172207196695E-2</v>
      </c>
      <c r="D182" s="7">
        <v>13000</v>
      </c>
      <c r="E182" s="7" t="s">
        <v>4</v>
      </c>
      <c r="F182" s="7">
        <v>7.9</v>
      </c>
      <c r="G182" s="7">
        <v>1</v>
      </c>
      <c r="H182" s="7">
        <v>8621.18</v>
      </c>
      <c r="I182" s="7">
        <v>895.97</v>
      </c>
    </row>
    <row r="183" spans="1:9" x14ac:dyDescent="0.2">
      <c r="A183" s="7">
        <v>10302</v>
      </c>
      <c r="B183" s="7">
        <v>-3.1450261653096999E-3</v>
      </c>
      <c r="C183" s="7">
        <v>8.4798680815203503E-2</v>
      </c>
      <c r="D183" s="7">
        <v>16750</v>
      </c>
      <c r="E183" s="7" t="s">
        <v>6</v>
      </c>
      <c r="F183" s="7">
        <v>19.52</v>
      </c>
      <c r="G183" s="7">
        <v>1</v>
      </c>
      <c r="H183" s="7">
        <v>2828.96</v>
      </c>
      <c r="I183" s="7">
        <v>632.63</v>
      </c>
    </row>
    <row r="184" spans="1:9" x14ac:dyDescent="0.2">
      <c r="A184" s="7">
        <v>36012</v>
      </c>
      <c r="B184" s="7">
        <v>3.2297439977544598E-2</v>
      </c>
      <c r="C184" s="7">
        <v>8.1509172207196695E-2</v>
      </c>
      <c r="D184" s="7">
        <v>12000</v>
      </c>
      <c r="E184" s="7" t="s">
        <v>8</v>
      </c>
      <c r="F184" s="7">
        <v>11.55</v>
      </c>
      <c r="G184" s="7">
        <v>0</v>
      </c>
      <c r="H184" s="7">
        <v>12923.3871529223</v>
      </c>
      <c r="I184" s="7">
        <v>0</v>
      </c>
    </row>
    <row r="185" spans="1:9" x14ac:dyDescent="0.2">
      <c r="A185" s="7">
        <v>75891</v>
      </c>
      <c r="B185" s="7">
        <v>3.9501094842653101E-2</v>
      </c>
      <c r="C185" s="7">
        <v>7.4974238972806501E-2</v>
      </c>
      <c r="D185" s="7">
        <v>3500</v>
      </c>
      <c r="E185" s="7" t="s">
        <v>6</v>
      </c>
      <c r="F185" s="7">
        <v>18.75</v>
      </c>
      <c r="G185" s="7">
        <v>0</v>
      </c>
      <c r="H185" s="7">
        <v>4602.6779480347996</v>
      </c>
      <c r="I185" s="7">
        <v>0</v>
      </c>
    </row>
    <row r="186" spans="1:9" x14ac:dyDescent="0.2">
      <c r="A186" s="7">
        <v>89523</v>
      </c>
      <c r="B186" s="7">
        <v>6.4477395370484197E-3</v>
      </c>
      <c r="C186" s="7">
        <v>8.4798680815203503E-2</v>
      </c>
      <c r="D186" s="7">
        <v>35000</v>
      </c>
      <c r="E186" s="7" t="s">
        <v>7</v>
      </c>
      <c r="F186" s="7">
        <v>21</v>
      </c>
      <c r="G186" s="7">
        <v>0</v>
      </c>
      <c r="H186" s="7">
        <v>42475.475681470103</v>
      </c>
      <c r="I186" s="7">
        <v>0</v>
      </c>
    </row>
    <row r="187" spans="1:9" x14ac:dyDescent="0.2">
      <c r="A187" s="7">
        <v>99028</v>
      </c>
      <c r="B187" s="7">
        <v>3.3521958858504002E-2</v>
      </c>
      <c r="C187" s="7">
        <v>8.1509172207196695E-2</v>
      </c>
      <c r="D187" s="7">
        <v>5000</v>
      </c>
      <c r="E187" s="7" t="s">
        <v>8</v>
      </c>
      <c r="F187" s="7">
        <v>12.12</v>
      </c>
      <c r="G187" s="7">
        <v>0</v>
      </c>
      <c r="H187" s="7">
        <v>5988.8851954455004</v>
      </c>
      <c r="I187" s="7">
        <v>0</v>
      </c>
    </row>
    <row r="188" spans="1:9" x14ac:dyDescent="0.2">
      <c r="A188" s="7">
        <v>139215</v>
      </c>
      <c r="B188" s="7">
        <v>1.46774868417105E-2</v>
      </c>
      <c r="C188" s="7">
        <v>8.4798680815203503E-2</v>
      </c>
      <c r="D188" s="7">
        <v>28000</v>
      </c>
      <c r="E188" s="7" t="s">
        <v>5</v>
      </c>
      <c r="F188" s="7">
        <v>16.29</v>
      </c>
      <c r="G188" s="7">
        <v>0</v>
      </c>
      <c r="H188" s="7">
        <v>35574.749948488898</v>
      </c>
      <c r="I188" s="7">
        <v>0</v>
      </c>
    </row>
    <row r="189" spans="1:9" x14ac:dyDescent="0.2">
      <c r="A189" s="7">
        <v>125679</v>
      </c>
      <c r="B189" s="7">
        <v>3.0466925331850501E-2</v>
      </c>
      <c r="C189" s="7">
        <v>8.1509172207196695E-2</v>
      </c>
      <c r="D189" s="7">
        <v>10000</v>
      </c>
      <c r="E189" s="7" t="s">
        <v>6</v>
      </c>
      <c r="F189" s="7">
        <v>18.489999999999998</v>
      </c>
      <c r="G189" s="7">
        <v>0</v>
      </c>
      <c r="H189" s="7">
        <v>13038.3800000008</v>
      </c>
      <c r="I189" s="7">
        <v>0</v>
      </c>
    </row>
    <row r="190" spans="1:9" x14ac:dyDescent="0.2">
      <c r="A190" s="7">
        <v>38340</v>
      </c>
      <c r="B190" s="7">
        <v>3.2712627450687898E-2</v>
      </c>
      <c r="C190" s="7">
        <v>7.4974238972806501E-2</v>
      </c>
      <c r="D190" s="7">
        <v>10000</v>
      </c>
      <c r="E190" s="7" t="s">
        <v>8</v>
      </c>
      <c r="F190" s="7">
        <v>9.7100000000000009</v>
      </c>
      <c r="G190" s="7">
        <v>0</v>
      </c>
      <c r="H190" s="7">
        <v>11139.5499999982</v>
      </c>
      <c r="I190" s="7">
        <v>0</v>
      </c>
    </row>
    <row r="191" spans="1:9" x14ac:dyDescent="0.2">
      <c r="A191" s="7">
        <v>50011</v>
      </c>
      <c r="B191" s="7">
        <v>2.58332002506803E-2</v>
      </c>
      <c r="C191" s="7">
        <v>8.1509172207196695E-2</v>
      </c>
      <c r="D191" s="7">
        <v>18000</v>
      </c>
      <c r="E191" s="7" t="s">
        <v>8</v>
      </c>
      <c r="F191" s="7">
        <v>10.16</v>
      </c>
      <c r="G191" s="7">
        <v>1</v>
      </c>
      <c r="H191" s="7">
        <v>12184.4</v>
      </c>
      <c r="I191" s="7">
        <v>1128.8499999999999</v>
      </c>
    </row>
    <row r="192" spans="1:9" x14ac:dyDescent="0.2">
      <c r="A192" s="7">
        <v>14778</v>
      </c>
      <c r="B192" s="7">
        <v>3.2402871721388497E-2</v>
      </c>
      <c r="C192" s="7">
        <v>8.1509172207196695E-2</v>
      </c>
      <c r="D192" s="7">
        <v>3000</v>
      </c>
      <c r="E192" s="7" t="s">
        <v>5</v>
      </c>
      <c r="F192" s="7">
        <v>15.1</v>
      </c>
      <c r="G192" s="7">
        <v>0</v>
      </c>
      <c r="H192" s="7">
        <v>3180.29</v>
      </c>
      <c r="I192" s="7">
        <v>0</v>
      </c>
    </row>
    <row r="193" spans="1:9" x14ac:dyDescent="0.2">
      <c r="A193" s="7">
        <v>85845</v>
      </c>
      <c r="B193" s="7">
        <v>3.1728394311445703E-2</v>
      </c>
      <c r="C193" s="7">
        <v>8.1509172207196695E-2</v>
      </c>
      <c r="D193" s="7">
        <v>8000</v>
      </c>
      <c r="E193" s="7" t="s">
        <v>6</v>
      </c>
      <c r="F193" s="7">
        <v>17.77</v>
      </c>
      <c r="G193" s="7">
        <v>0</v>
      </c>
      <c r="H193" s="7">
        <v>10378.6571447105</v>
      </c>
      <c r="I193" s="7">
        <v>0</v>
      </c>
    </row>
    <row r="194" spans="1:9" x14ac:dyDescent="0.2">
      <c r="A194" s="7">
        <v>76835</v>
      </c>
      <c r="B194" s="7">
        <v>3.05176977398165E-2</v>
      </c>
      <c r="C194" s="7">
        <v>7.7054178620260594E-2</v>
      </c>
      <c r="D194" s="7">
        <v>3000</v>
      </c>
      <c r="E194" s="7" t="s">
        <v>5</v>
      </c>
      <c r="F194" s="7">
        <v>17.27</v>
      </c>
      <c r="G194" s="7">
        <v>0</v>
      </c>
      <c r="H194" s="7">
        <v>3245.5440114162998</v>
      </c>
      <c r="I194" s="7">
        <v>0</v>
      </c>
    </row>
    <row r="195" spans="1:9" x14ac:dyDescent="0.2">
      <c r="A195" s="7">
        <v>124859</v>
      </c>
      <c r="B195" s="7">
        <v>2.98955286087253E-2</v>
      </c>
      <c r="C195" s="7">
        <v>7.4974238972806501E-2</v>
      </c>
      <c r="D195" s="7">
        <v>15000</v>
      </c>
      <c r="E195" s="7" t="s">
        <v>8</v>
      </c>
      <c r="F195" s="7">
        <v>14.09</v>
      </c>
      <c r="G195" s="7">
        <v>0</v>
      </c>
      <c r="H195" s="7">
        <v>18479.460003130898</v>
      </c>
      <c r="I195" s="7">
        <v>0</v>
      </c>
    </row>
    <row r="196" spans="1:9" x14ac:dyDescent="0.2">
      <c r="A196" s="7">
        <v>55972</v>
      </c>
      <c r="B196" s="7">
        <v>3.2281191461434003E-2</v>
      </c>
      <c r="C196" s="7">
        <v>5.3944556304700297E-2</v>
      </c>
      <c r="D196" s="7">
        <v>17000</v>
      </c>
      <c r="E196" s="7" t="s">
        <v>8</v>
      </c>
      <c r="F196" s="7">
        <v>10.16</v>
      </c>
      <c r="G196" s="7">
        <v>0</v>
      </c>
      <c r="H196" s="7">
        <v>18873.790670904898</v>
      </c>
      <c r="I196" s="7">
        <v>0</v>
      </c>
    </row>
    <row r="197" spans="1:9" x14ac:dyDescent="0.2">
      <c r="A197" s="7">
        <v>22331</v>
      </c>
      <c r="B197" s="7">
        <v>1.9024161133205E-2</v>
      </c>
      <c r="C197" s="7">
        <v>8.1509172207196695E-2</v>
      </c>
      <c r="D197" s="7">
        <v>18200</v>
      </c>
      <c r="E197" s="7" t="s">
        <v>4</v>
      </c>
      <c r="F197" s="7">
        <v>9.25</v>
      </c>
      <c r="G197" s="7">
        <v>0</v>
      </c>
      <c r="H197" s="7">
        <v>20779.73</v>
      </c>
      <c r="I197" s="7">
        <v>0</v>
      </c>
    </row>
    <row r="198" spans="1:9" x14ac:dyDescent="0.2">
      <c r="A198" s="7">
        <v>75840</v>
      </c>
      <c r="B198" s="7">
        <v>1.8105331106091201E-2</v>
      </c>
      <c r="C198" s="7">
        <v>5.3944556304700297E-2</v>
      </c>
      <c r="D198" s="7">
        <v>24000</v>
      </c>
      <c r="E198" s="7" t="s">
        <v>4</v>
      </c>
      <c r="F198" s="7">
        <v>8.9</v>
      </c>
      <c r="G198" s="7">
        <v>0</v>
      </c>
      <c r="H198" s="7">
        <v>27203.540025627401</v>
      </c>
      <c r="I198" s="7">
        <v>0</v>
      </c>
    </row>
    <row r="199" spans="1:9" x14ac:dyDescent="0.2">
      <c r="A199" s="7">
        <v>113461</v>
      </c>
      <c r="B199" s="7">
        <v>3.7567272760815403E-2</v>
      </c>
      <c r="C199" s="7">
        <v>5.3944556304700297E-2</v>
      </c>
      <c r="D199" s="7">
        <v>25000</v>
      </c>
      <c r="E199" s="7" t="s">
        <v>5</v>
      </c>
      <c r="F199" s="7">
        <v>14.33</v>
      </c>
      <c r="G199" s="7">
        <v>0</v>
      </c>
      <c r="H199" s="7">
        <v>30904.2547687683</v>
      </c>
      <c r="I199" s="7">
        <v>0</v>
      </c>
    </row>
    <row r="200" spans="1:9" x14ac:dyDescent="0.2">
      <c r="A200" s="7">
        <v>64103</v>
      </c>
      <c r="B200" s="7">
        <v>4.15609177649802E-2</v>
      </c>
      <c r="C200" s="7">
        <v>7.4974238972806501E-2</v>
      </c>
      <c r="D200" s="7">
        <v>8000</v>
      </c>
      <c r="E200" s="7" t="s">
        <v>8</v>
      </c>
      <c r="F200" s="7">
        <v>11.14</v>
      </c>
      <c r="G200" s="7">
        <v>0</v>
      </c>
      <c r="H200" s="7">
        <v>9447.7938434335992</v>
      </c>
      <c r="I200" s="7">
        <v>0</v>
      </c>
    </row>
    <row r="201" spans="1:9" x14ac:dyDescent="0.2">
      <c r="A201" s="7">
        <v>40945</v>
      </c>
      <c r="B201" s="7">
        <v>3.1661459685829701E-2</v>
      </c>
      <c r="C201" s="7">
        <v>8.1509172207196695E-2</v>
      </c>
      <c r="D201" s="7">
        <v>10000</v>
      </c>
      <c r="E201" s="7" t="s">
        <v>5</v>
      </c>
      <c r="F201" s="7">
        <v>14.33</v>
      </c>
      <c r="G201" s="7">
        <v>1</v>
      </c>
      <c r="H201" s="7">
        <v>5440.9</v>
      </c>
      <c r="I201" s="7">
        <v>976.83</v>
      </c>
    </row>
    <row r="202" spans="1:9" x14ac:dyDescent="0.2">
      <c r="A202" s="7">
        <v>12694</v>
      </c>
      <c r="B202" s="7">
        <v>6.6569985921060403E-3</v>
      </c>
      <c r="C202" s="7">
        <v>8.4798680815203503E-2</v>
      </c>
      <c r="D202" s="7">
        <v>20000</v>
      </c>
      <c r="E202" s="7" t="s">
        <v>6</v>
      </c>
      <c r="F202" s="7">
        <v>17.760000000000002</v>
      </c>
      <c r="G202" s="7">
        <v>0</v>
      </c>
      <c r="H202" s="7">
        <v>26913.34</v>
      </c>
      <c r="I202" s="7">
        <v>0</v>
      </c>
    </row>
    <row r="203" spans="1:9" x14ac:dyDescent="0.2">
      <c r="A203" s="7">
        <v>24034</v>
      </c>
      <c r="B203" s="7">
        <v>7.2155105907483101E-3</v>
      </c>
      <c r="C203" s="7">
        <v>8.1509172207196695E-2</v>
      </c>
      <c r="D203" s="7">
        <v>11000</v>
      </c>
      <c r="E203" s="7" t="s">
        <v>5</v>
      </c>
      <c r="F203" s="7">
        <v>16.2</v>
      </c>
      <c r="G203" s="7">
        <v>0</v>
      </c>
      <c r="H203" s="7">
        <v>14722.870001117801</v>
      </c>
      <c r="I203" s="7">
        <v>0</v>
      </c>
    </row>
    <row r="204" spans="1:9" x14ac:dyDescent="0.2">
      <c r="A204" s="7">
        <v>129636</v>
      </c>
      <c r="B204" s="7">
        <v>3.06399085406007E-2</v>
      </c>
      <c r="C204" s="7">
        <v>8.1509172207196695E-2</v>
      </c>
      <c r="D204" s="7">
        <v>10000</v>
      </c>
      <c r="E204" s="7" t="s">
        <v>6</v>
      </c>
      <c r="F204" s="7">
        <v>17.989999999999998</v>
      </c>
      <c r="G204" s="7">
        <v>0</v>
      </c>
      <c r="H204" s="7">
        <v>12677.433431175699</v>
      </c>
      <c r="I204" s="7">
        <v>0</v>
      </c>
    </row>
    <row r="205" spans="1:9" x14ac:dyDescent="0.2">
      <c r="A205" s="7">
        <v>18579</v>
      </c>
      <c r="B205" s="7">
        <v>3.1492935845924601E-2</v>
      </c>
      <c r="C205" s="7">
        <v>8.1509172207196695E-2</v>
      </c>
      <c r="D205" s="7">
        <v>5000</v>
      </c>
      <c r="E205" s="7" t="s">
        <v>6</v>
      </c>
      <c r="F205" s="7">
        <v>18.55</v>
      </c>
      <c r="G205" s="7">
        <v>1</v>
      </c>
      <c r="H205" s="7">
        <v>3840.15</v>
      </c>
      <c r="I205" s="7">
        <v>0</v>
      </c>
    </row>
    <row r="206" spans="1:9" x14ac:dyDescent="0.2">
      <c r="A206" s="7">
        <v>49711</v>
      </c>
      <c r="B206" s="7">
        <v>2.96876549481952E-2</v>
      </c>
      <c r="C206" s="7">
        <v>8.1509172207196695E-2</v>
      </c>
      <c r="D206" s="7">
        <v>6000</v>
      </c>
      <c r="E206" s="7" t="s">
        <v>8</v>
      </c>
      <c r="F206" s="7">
        <v>13.11</v>
      </c>
      <c r="G206" s="7">
        <v>0</v>
      </c>
      <c r="H206" s="7">
        <v>6534.6958089027003</v>
      </c>
      <c r="I206" s="7">
        <v>0</v>
      </c>
    </row>
    <row r="207" spans="1:9" x14ac:dyDescent="0.2">
      <c r="A207" s="7">
        <v>49347</v>
      </c>
      <c r="B207" s="7">
        <v>2.5025463122812001E-4</v>
      </c>
      <c r="C207" s="7">
        <v>7.4974238972806501E-2</v>
      </c>
      <c r="D207" s="7">
        <v>12000</v>
      </c>
      <c r="E207" s="7" t="s">
        <v>5</v>
      </c>
      <c r="F207" s="7">
        <v>14.33</v>
      </c>
      <c r="G207" s="7">
        <v>0</v>
      </c>
      <c r="H207" s="7">
        <v>15283.5399920118</v>
      </c>
      <c r="I207" s="7">
        <v>0</v>
      </c>
    </row>
    <row r="208" spans="1:9" x14ac:dyDescent="0.2">
      <c r="A208" s="7">
        <v>35639</v>
      </c>
      <c r="B208" s="7">
        <v>1.49598195495195E-2</v>
      </c>
      <c r="C208" s="7">
        <v>7.4974238972806501E-2</v>
      </c>
      <c r="D208" s="7">
        <v>6000</v>
      </c>
      <c r="E208" s="7" t="s">
        <v>6</v>
      </c>
      <c r="F208" s="7">
        <v>17.559999999999999</v>
      </c>
      <c r="G208" s="7">
        <v>0</v>
      </c>
      <c r="H208" s="7">
        <v>6720.5254845869003</v>
      </c>
      <c r="I208" s="7">
        <v>0</v>
      </c>
    </row>
    <row r="209" spans="1:9" x14ac:dyDescent="0.2">
      <c r="A209" s="7">
        <v>104809</v>
      </c>
      <c r="B209" s="7">
        <v>3.7714814074435103E-2</v>
      </c>
      <c r="C209" s="7">
        <v>8.4798680815203503E-2</v>
      </c>
      <c r="D209" s="7">
        <v>35000</v>
      </c>
      <c r="E209" s="7" t="s">
        <v>7</v>
      </c>
      <c r="F209" s="7">
        <v>21.98</v>
      </c>
      <c r="G209" s="7">
        <v>0</v>
      </c>
      <c r="H209" s="7">
        <v>48106.845697072102</v>
      </c>
      <c r="I209" s="7">
        <v>0</v>
      </c>
    </row>
    <row r="210" spans="1:9" x14ac:dyDescent="0.2">
      <c r="A210" s="7">
        <v>36498</v>
      </c>
      <c r="B210" s="7">
        <v>3.1490609988915501E-2</v>
      </c>
      <c r="C210" s="7">
        <v>5.3944556304700297E-2</v>
      </c>
      <c r="D210" s="7">
        <v>16000</v>
      </c>
      <c r="E210" s="7" t="s">
        <v>8</v>
      </c>
      <c r="F210" s="7">
        <v>12.35</v>
      </c>
      <c r="G210" s="7">
        <v>0</v>
      </c>
      <c r="H210" s="7">
        <v>19008.370000000101</v>
      </c>
      <c r="I210" s="7">
        <v>0</v>
      </c>
    </row>
    <row r="211" spans="1:9" x14ac:dyDescent="0.2">
      <c r="A211" s="7">
        <v>2022</v>
      </c>
      <c r="B211" s="7">
        <v>1.7751890792896401E-2</v>
      </c>
      <c r="C211" s="7">
        <v>8.1509172207196695E-2</v>
      </c>
      <c r="D211" s="7">
        <v>10000</v>
      </c>
      <c r="E211" s="7" t="s">
        <v>4</v>
      </c>
      <c r="F211" s="7">
        <v>7.9</v>
      </c>
      <c r="G211" s="7">
        <v>0</v>
      </c>
      <c r="H211" s="7">
        <v>11162.05</v>
      </c>
      <c r="I211" s="7">
        <v>0</v>
      </c>
    </row>
    <row r="212" spans="1:9" x14ac:dyDescent="0.2">
      <c r="A212" s="7">
        <v>134465</v>
      </c>
      <c r="B212" s="7">
        <v>2.44290047063625E-2</v>
      </c>
      <c r="C212" s="7">
        <v>7.4974238972806501E-2</v>
      </c>
      <c r="D212" s="7">
        <v>9000</v>
      </c>
      <c r="E212" s="7" t="s">
        <v>4</v>
      </c>
      <c r="F212" s="7">
        <v>7.9</v>
      </c>
      <c r="G212" s="7">
        <v>0</v>
      </c>
      <c r="H212" s="7">
        <v>10087.118467705899</v>
      </c>
      <c r="I212" s="7">
        <v>0</v>
      </c>
    </row>
    <row r="213" spans="1:9" x14ac:dyDescent="0.2">
      <c r="A213" s="7">
        <v>40135</v>
      </c>
      <c r="B213" s="7">
        <v>6.5616727828500998E-4</v>
      </c>
      <c r="C213" s="7">
        <v>7.7054178620260594E-2</v>
      </c>
      <c r="D213" s="7">
        <v>12000</v>
      </c>
      <c r="E213" s="7" t="s">
        <v>8</v>
      </c>
      <c r="F213" s="7">
        <v>12.35</v>
      </c>
      <c r="G213" s="7">
        <v>0</v>
      </c>
      <c r="H213" s="7">
        <v>14567.32</v>
      </c>
      <c r="I213" s="7">
        <v>0</v>
      </c>
    </row>
    <row r="214" spans="1:9" x14ac:dyDescent="0.2">
      <c r="A214" s="7">
        <v>69762</v>
      </c>
      <c r="B214" s="7">
        <v>2.92511606872108E-2</v>
      </c>
      <c r="C214" s="7">
        <v>8.1509172207196695E-2</v>
      </c>
      <c r="D214" s="7">
        <v>5600</v>
      </c>
      <c r="E214" s="7" t="s">
        <v>8</v>
      </c>
      <c r="F214" s="7">
        <v>13.11</v>
      </c>
      <c r="G214" s="7">
        <v>0</v>
      </c>
      <c r="H214" s="7">
        <v>6686.0899981527</v>
      </c>
      <c r="I214" s="7">
        <v>0</v>
      </c>
    </row>
    <row r="215" spans="1:9" x14ac:dyDescent="0.2">
      <c r="A215" s="7">
        <v>121306</v>
      </c>
      <c r="B215" s="7">
        <v>2.75669567641064E-2</v>
      </c>
      <c r="C215" s="7">
        <v>8.1509172207196695E-2</v>
      </c>
      <c r="D215" s="7">
        <v>8500</v>
      </c>
      <c r="E215" s="7" t="s">
        <v>4</v>
      </c>
      <c r="F215" s="7">
        <v>6.62</v>
      </c>
      <c r="G215" s="7">
        <v>0</v>
      </c>
      <c r="H215" s="7">
        <v>9394.9600008923007</v>
      </c>
      <c r="I215" s="7">
        <v>0</v>
      </c>
    </row>
    <row r="216" spans="1:9" x14ac:dyDescent="0.2">
      <c r="A216" s="7">
        <v>88446</v>
      </c>
      <c r="B216" s="7">
        <v>4.1062892771407997E-2</v>
      </c>
      <c r="C216" s="7">
        <v>8.1509172207196695E-2</v>
      </c>
      <c r="D216" s="7">
        <v>8000</v>
      </c>
      <c r="E216" s="7" t="s">
        <v>8</v>
      </c>
      <c r="F216" s="7">
        <v>13.11</v>
      </c>
      <c r="G216" s="7">
        <v>0</v>
      </c>
      <c r="H216" s="7">
        <v>9715.15</v>
      </c>
      <c r="I216" s="7">
        <v>0</v>
      </c>
    </row>
    <row r="217" spans="1:9" x14ac:dyDescent="0.2">
      <c r="A217" s="7">
        <v>85977</v>
      </c>
      <c r="B217" s="7">
        <v>3.2560629193240501E-2</v>
      </c>
      <c r="C217" s="7">
        <v>8.1509172207196695E-2</v>
      </c>
      <c r="D217" s="7">
        <v>10000</v>
      </c>
      <c r="E217" s="7" t="s">
        <v>8</v>
      </c>
      <c r="F217" s="7">
        <v>12.12</v>
      </c>
      <c r="G217" s="7">
        <v>0</v>
      </c>
      <c r="H217" s="7">
        <v>11811.860000000401</v>
      </c>
      <c r="I217" s="7">
        <v>0</v>
      </c>
    </row>
    <row r="218" spans="1:9" x14ac:dyDescent="0.2">
      <c r="A218" s="7">
        <v>25822</v>
      </c>
      <c r="B218" s="7">
        <v>2.58955131403493E-2</v>
      </c>
      <c r="C218" s="7">
        <v>7.7054178620260594E-2</v>
      </c>
      <c r="D218" s="7">
        <v>12000</v>
      </c>
      <c r="E218" s="7" t="s">
        <v>8</v>
      </c>
      <c r="F218" s="7">
        <v>10.99</v>
      </c>
      <c r="G218" s="7">
        <v>0</v>
      </c>
      <c r="H218" s="7">
        <v>13520.089994072699</v>
      </c>
      <c r="I218" s="7">
        <v>0</v>
      </c>
    </row>
    <row r="219" spans="1:9" x14ac:dyDescent="0.2">
      <c r="A219" s="7">
        <v>74063</v>
      </c>
      <c r="B219" s="7">
        <v>2.60326450804866E-2</v>
      </c>
      <c r="C219" s="7">
        <v>8.1509172207196695E-2</v>
      </c>
      <c r="D219" s="7">
        <v>13000</v>
      </c>
      <c r="E219" s="7" t="s">
        <v>8</v>
      </c>
      <c r="F219" s="7">
        <v>14.09</v>
      </c>
      <c r="G219" s="7">
        <v>0</v>
      </c>
      <c r="H219" s="7">
        <v>15539.519997716199</v>
      </c>
      <c r="I219" s="7">
        <v>0</v>
      </c>
    </row>
    <row r="220" spans="1:9" x14ac:dyDescent="0.2">
      <c r="A220" s="7">
        <v>102382</v>
      </c>
      <c r="B220" s="7">
        <v>2.0747604966448702E-2</v>
      </c>
      <c r="C220" s="7">
        <v>7.4974238972806501E-2</v>
      </c>
      <c r="D220" s="7">
        <v>9100</v>
      </c>
      <c r="E220" s="7" t="s">
        <v>4</v>
      </c>
      <c r="F220" s="7">
        <v>8.9</v>
      </c>
      <c r="G220" s="7">
        <v>0</v>
      </c>
      <c r="H220" s="7">
        <v>10402.322799282099</v>
      </c>
      <c r="I220" s="7">
        <v>0</v>
      </c>
    </row>
    <row r="221" spans="1:9" x14ac:dyDescent="0.2">
      <c r="A221" s="7">
        <v>18677</v>
      </c>
      <c r="B221" s="7">
        <v>3.7066737452637298E-2</v>
      </c>
      <c r="C221" s="7">
        <v>8.4798680815203503E-2</v>
      </c>
      <c r="D221" s="7">
        <v>25000</v>
      </c>
      <c r="E221" s="7" t="s">
        <v>6</v>
      </c>
      <c r="F221" s="7">
        <v>19.2</v>
      </c>
      <c r="G221" s="7">
        <v>0</v>
      </c>
      <c r="H221" s="7">
        <v>30766.58</v>
      </c>
      <c r="I221" s="7">
        <v>0</v>
      </c>
    </row>
    <row r="222" spans="1:9" x14ac:dyDescent="0.2">
      <c r="A222" s="7">
        <v>55759</v>
      </c>
      <c r="B222" s="7">
        <v>3.1880146444180503E-2</v>
      </c>
      <c r="C222" s="7">
        <v>7.4974238972806501E-2</v>
      </c>
      <c r="D222" s="7">
        <v>15000</v>
      </c>
      <c r="E222" s="7" t="s">
        <v>8</v>
      </c>
      <c r="F222" s="7">
        <v>11.14</v>
      </c>
      <c r="G222" s="7">
        <v>0</v>
      </c>
      <c r="H222" s="7">
        <v>17712.140005150901</v>
      </c>
      <c r="I222" s="7">
        <v>0</v>
      </c>
    </row>
    <row r="223" spans="1:9" x14ac:dyDescent="0.2">
      <c r="A223" s="7">
        <v>47278</v>
      </c>
      <c r="B223" s="7">
        <v>2.7071451306597299E-2</v>
      </c>
      <c r="C223" s="7">
        <v>7.4974238972806501E-2</v>
      </c>
      <c r="D223" s="7">
        <v>14000</v>
      </c>
      <c r="E223" s="7" t="s">
        <v>6</v>
      </c>
      <c r="F223" s="7">
        <v>17.77</v>
      </c>
      <c r="G223" s="7">
        <v>0</v>
      </c>
      <c r="H223" s="7">
        <v>17832.492247305501</v>
      </c>
      <c r="I223" s="7">
        <v>0</v>
      </c>
    </row>
    <row r="224" spans="1:9" x14ac:dyDescent="0.2">
      <c r="A224" s="7">
        <v>129098</v>
      </c>
      <c r="B224" s="7">
        <v>3.7445450203669503E-2</v>
      </c>
      <c r="C224" s="7">
        <v>7.4974238972806501E-2</v>
      </c>
      <c r="D224" s="7">
        <v>10000</v>
      </c>
      <c r="E224" s="7" t="s">
        <v>5</v>
      </c>
      <c r="F224" s="7">
        <v>13.99</v>
      </c>
      <c r="G224" s="7">
        <v>1</v>
      </c>
      <c r="H224" s="7">
        <v>5535.53</v>
      </c>
      <c r="I224" s="7">
        <v>1787.06</v>
      </c>
    </row>
    <row r="225" spans="1:9" x14ac:dyDescent="0.2">
      <c r="A225" s="7">
        <v>117804</v>
      </c>
      <c r="B225" s="7">
        <v>2.5347193516264299E-2</v>
      </c>
      <c r="C225" s="7">
        <v>7.4974238972806501E-2</v>
      </c>
      <c r="D225" s="7">
        <v>14125</v>
      </c>
      <c r="E225" s="7" t="s">
        <v>8</v>
      </c>
      <c r="F225" s="7">
        <v>12.12</v>
      </c>
      <c r="G225" s="7">
        <v>0</v>
      </c>
      <c r="H225" s="7">
        <v>16797.079997860801</v>
      </c>
      <c r="I225" s="7">
        <v>0</v>
      </c>
    </row>
    <row r="226" spans="1:9" x14ac:dyDescent="0.2">
      <c r="A226" s="7">
        <v>60812</v>
      </c>
      <c r="B226" s="7">
        <v>2.6824027087532499E-2</v>
      </c>
      <c r="C226" s="7">
        <v>8.1509172207196695E-2</v>
      </c>
      <c r="D226" s="7">
        <v>12000</v>
      </c>
      <c r="E226" s="7" t="s">
        <v>8</v>
      </c>
      <c r="F226" s="7">
        <v>13.11</v>
      </c>
      <c r="G226" s="7">
        <v>0</v>
      </c>
      <c r="H226" s="7">
        <v>14448.6199960799</v>
      </c>
      <c r="I226" s="7">
        <v>0</v>
      </c>
    </row>
    <row r="227" spans="1:9" x14ac:dyDescent="0.2">
      <c r="A227" s="7">
        <v>121438</v>
      </c>
      <c r="B227" s="7">
        <v>3.6649943724201703E-2</v>
      </c>
      <c r="C227" s="7">
        <v>7.4974238972806501E-2</v>
      </c>
      <c r="D227" s="7">
        <v>14400</v>
      </c>
      <c r="E227" s="7" t="s">
        <v>6</v>
      </c>
      <c r="F227" s="7">
        <v>18.489999999999998</v>
      </c>
      <c r="G227" s="7">
        <v>0</v>
      </c>
      <c r="H227" s="7">
        <v>16784.825789463601</v>
      </c>
      <c r="I227" s="7">
        <v>0</v>
      </c>
    </row>
    <row r="228" spans="1:9" x14ac:dyDescent="0.2">
      <c r="A228" s="7">
        <v>120753</v>
      </c>
      <c r="B228" s="7">
        <v>2.9148046078387901E-2</v>
      </c>
      <c r="C228" s="7">
        <v>7.4974238972806501E-2</v>
      </c>
      <c r="D228" s="7">
        <v>12000</v>
      </c>
      <c r="E228" s="7" t="s">
        <v>5</v>
      </c>
      <c r="F228" s="7">
        <v>16.29</v>
      </c>
      <c r="G228" s="7">
        <v>0</v>
      </c>
      <c r="H228" s="7">
        <v>15156.2499914744</v>
      </c>
      <c r="I228" s="7">
        <v>0</v>
      </c>
    </row>
    <row r="229" spans="1:9" x14ac:dyDescent="0.2">
      <c r="A229" s="7">
        <v>143723</v>
      </c>
      <c r="B229" s="7">
        <v>2.88019551776818E-2</v>
      </c>
      <c r="C229" s="7">
        <v>8.1509172207196695E-2</v>
      </c>
      <c r="D229" s="7">
        <v>10000</v>
      </c>
      <c r="E229" s="7" t="s">
        <v>8</v>
      </c>
      <c r="F229" s="7">
        <v>12.69</v>
      </c>
      <c r="G229" s="7">
        <v>1</v>
      </c>
      <c r="H229" s="7">
        <v>9772.8799999999992</v>
      </c>
      <c r="I229" s="7">
        <v>387.01</v>
      </c>
    </row>
    <row r="230" spans="1:9" x14ac:dyDescent="0.2">
      <c r="A230" s="7">
        <v>145186</v>
      </c>
      <c r="B230" s="7">
        <v>-4.2631364119654104E-3</v>
      </c>
      <c r="C230" s="7">
        <v>8.1509172207196695E-2</v>
      </c>
      <c r="D230" s="7">
        <v>8050</v>
      </c>
      <c r="E230" s="7" t="s">
        <v>6</v>
      </c>
      <c r="F230" s="7">
        <v>17.579999999999998</v>
      </c>
      <c r="G230" s="7">
        <v>1</v>
      </c>
      <c r="H230" s="7">
        <v>9926.91</v>
      </c>
      <c r="I230" s="7">
        <v>36.5</v>
      </c>
    </row>
    <row r="231" spans="1:9" x14ac:dyDescent="0.2">
      <c r="A231" s="7">
        <v>105111</v>
      </c>
      <c r="B231" s="7">
        <v>7.9709756209512296E-3</v>
      </c>
      <c r="C231" s="7">
        <v>8.4798680815203503E-2</v>
      </c>
      <c r="D231" s="7">
        <v>19600</v>
      </c>
      <c r="E231" s="7" t="s">
        <v>6</v>
      </c>
      <c r="F231" s="7">
        <v>19.72</v>
      </c>
      <c r="G231" s="7">
        <v>1</v>
      </c>
      <c r="H231" s="7">
        <v>14884.25</v>
      </c>
      <c r="I231" s="7">
        <v>1981.7</v>
      </c>
    </row>
    <row r="232" spans="1:9" x14ac:dyDescent="0.2">
      <c r="A232" s="7">
        <v>90623</v>
      </c>
      <c r="B232" s="7">
        <v>2.8968901578576099E-2</v>
      </c>
      <c r="C232" s="7">
        <v>7.7054178620260594E-2</v>
      </c>
      <c r="D232" s="7">
        <v>20000</v>
      </c>
      <c r="E232" s="7" t="s">
        <v>8</v>
      </c>
      <c r="F232" s="7">
        <v>13.11</v>
      </c>
      <c r="G232" s="7">
        <v>0</v>
      </c>
      <c r="H232" s="7">
        <v>23718.2300000014</v>
      </c>
      <c r="I232" s="7">
        <v>0</v>
      </c>
    </row>
    <row r="233" spans="1:9" x14ac:dyDescent="0.2">
      <c r="A233" s="7">
        <v>116325</v>
      </c>
      <c r="B233" s="7">
        <v>1.9674344359548498E-2</v>
      </c>
      <c r="C233" s="7">
        <v>7.4974238972806501E-2</v>
      </c>
      <c r="D233" s="7">
        <v>16800</v>
      </c>
      <c r="E233" s="7" t="s">
        <v>4</v>
      </c>
      <c r="F233" s="7">
        <v>6.03</v>
      </c>
      <c r="G233" s="7">
        <v>0</v>
      </c>
      <c r="H233" s="7">
        <v>18407.399711189399</v>
      </c>
      <c r="I233" s="7">
        <v>0</v>
      </c>
    </row>
    <row r="234" spans="1:9" x14ac:dyDescent="0.2">
      <c r="A234" s="7">
        <v>32464</v>
      </c>
      <c r="B234" s="7">
        <v>2.5782394434256499E-2</v>
      </c>
      <c r="C234" s="7">
        <v>8.1509172207196695E-2</v>
      </c>
      <c r="D234" s="7">
        <v>6000</v>
      </c>
      <c r="E234" s="7" t="s">
        <v>8</v>
      </c>
      <c r="F234" s="7">
        <v>12.35</v>
      </c>
      <c r="G234" s="7">
        <v>0</v>
      </c>
      <c r="H234" s="7">
        <v>6912.3500006366003</v>
      </c>
      <c r="I234" s="7">
        <v>0</v>
      </c>
    </row>
    <row r="235" spans="1:9" x14ac:dyDescent="0.2">
      <c r="A235" s="7">
        <v>130143</v>
      </c>
      <c r="B235" s="7">
        <v>4.04977423335883E-4</v>
      </c>
      <c r="C235" s="7">
        <v>8.4798680815203503E-2</v>
      </c>
      <c r="D235" s="7">
        <v>19425</v>
      </c>
      <c r="E235" s="7" t="s">
        <v>5</v>
      </c>
      <c r="F235" s="7">
        <v>15.81</v>
      </c>
      <c r="G235" s="7">
        <v>1</v>
      </c>
      <c r="H235" s="7">
        <v>12620.5</v>
      </c>
      <c r="I235" s="7">
        <v>2140.84</v>
      </c>
    </row>
    <row r="236" spans="1:9" x14ac:dyDescent="0.2">
      <c r="A236" s="7">
        <v>130315</v>
      </c>
      <c r="B236" s="7">
        <v>3.3969306327141603E-2</v>
      </c>
      <c r="C236" s="7">
        <v>8.4798680815203503E-2</v>
      </c>
      <c r="D236" s="7">
        <v>35000</v>
      </c>
      <c r="E236" s="7" t="s">
        <v>5</v>
      </c>
      <c r="F236" s="7">
        <v>14.65</v>
      </c>
      <c r="G236" s="7">
        <v>0</v>
      </c>
      <c r="H236" s="7">
        <v>43462.639992383003</v>
      </c>
      <c r="I236" s="7">
        <v>0</v>
      </c>
    </row>
    <row r="237" spans="1:9" x14ac:dyDescent="0.2">
      <c r="A237" s="7">
        <v>82366</v>
      </c>
      <c r="B237" s="7">
        <v>3.8888812105667497E-2</v>
      </c>
      <c r="C237" s="7">
        <v>8.4798680815203503E-2</v>
      </c>
      <c r="D237" s="7">
        <v>35000</v>
      </c>
      <c r="E237" s="7" t="s">
        <v>6</v>
      </c>
      <c r="F237" s="7">
        <v>18.489999999999998</v>
      </c>
      <c r="G237" s="7">
        <v>0</v>
      </c>
      <c r="H237" s="7">
        <v>45862.261713581</v>
      </c>
      <c r="I237" s="7">
        <v>0</v>
      </c>
    </row>
    <row r="238" spans="1:9" x14ac:dyDescent="0.2">
      <c r="A238" s="7">
        <v>102683</v>
      </c>
      <c r="B238" s="7">
        <v>2.3268191693186599E-2</v>
      </c>
      <c r="C238" s="7">
        <v>8.1509172207196695E-2</v>
      </c>
      <c r="D238" s="7">
        <v>14000</v>
      </c>
      <c r="E238" s="7" t="s">
        <v>8</v>
      </c>
      <c r="F238" s="7">
        <v>12.12</v>
      </c>
      <c r="G238" s="7">
        <v>0</v>
      </c>
      <c r="H238" s="7">
        <v>16092.908603456101</v>
      </c>
      <c r="I238" s="7">
        <v>0</v>
      </c>
    </row>
    <row r="239" spans="1:9" x14ac:dyDescent="0.2">
      <c r="A239" s="7">
        <v>1751</v>
      </c>
      <c r="B239" s="7">
        <v>2.8073582247438601E-2</v>
      </c>
      <c r="C239" s="7">
        <v>7.4974238972806501E-2</v>
      </c>
      <c r="D239" s="7">
        <v>16000</v>
      </c>
      <c r="E239" s="7" t="s">
        <v>8</v>
      </c>
      <c r="F239" s="7">
        <v>12.85</v>
      </c>
      <c r="G239" s="7">
        <v>0</v>
      </c>
      <c r="H239" s="7">
        <v>18375.349999993501</v>
      </c>
      <c r="I239" s="7">
        <v>0</v>
      </c>
    </row>
    <row r="240" spans="1:9" x14ac:dyDescent="0.2">
      <c r="A240" s="7">
        <v>134605</v>
      </c>
      <c r="B240" s="7">
        <v>-1.74490323876468E-3</v>
      </c>
      <c r="C240" s="7">
        <v>8.4798680815203503E-2</v>
      </c>
      <c r="D240" s="7">
        <v>35000</v>
      </c>
      <c r="E240" s="7" t="s">
        <v>7</v>
      </c>
      <c r="F240" s="7">
        <v>21.97</v>
      </c>
      <c r="G240" s="7">
        <v>0</v>
      </c>
      <c r="H240" s="7">
        <v>48019.444501533901</v>
      </c>
      <c r="I240" s="7">
        <v>0</v>
      </c>
    </row>
    <row r="241" spans="1:9" x14ac:dyDescent="0.2">
      <c r="A241" s="7">
        <v>116431</v>
      </c>
      <c r="B241" s="7">
        <v>3.3430782480185002E-2</v>
      </c>
      <c r="C241" s="7">
        <v>7.4974238972806501E-2</v>
      </c>
      <c r="D241" s="7">
        <v>11500</v>
      </c>
      <c r="E241" s="7" t="s">
        <v>8</v>
      </c>
      <c r="F241" s="7">
        <v>13.11</v>
      </c>
      <c r="G241" s="7">
        <v>0</v>
      </c>
      <c r="H241" s="7">
        <v>12986.610101509201</v>
      </c>
      <c r="I241" s="7">
        <v>0</v>
      </c>
    </row>
    <row r="242" spans="1:9" x14ac:dyDescent="0.2">
      <c r="A242" s="7">
        <v>112810</v>
      </c>
      <c r="B242" s="7">
        <v>7.4165869529116699E-3</v>
      </c>
      <c r="C242" s="7">
        <v>7.4974238972806501E-2</v>
      </c>
      <c r="D242" s="7">
        <v>7125</v>
      </c>
      <c r="E242" s="7" t="s">
        <v>4</v>
      </c>
      <c r="F242" s="7">
        <v>7.9</v>
      </c>
      <c r="G242" s="7">
        <v>0</v>
      </c>
      <c r="H242" s="7">
        <v>8027.3754085167002</v>
      </c>
      <c r="I242" s="7">
        <v>0</v>
      </c>
    </row>
    <row r="243" spans="1:9" x14ac:dyDescent="0.2">
      <c r="A243" s="7">
        <v>50651</v>
      </c>
      <c r="B243" s="7">
        <v>2.93720709575187E-2</v>
      </c>
      <c r="C243" s="7">
        <v>7.4974238972806501E-2</v>
      </c>
      <c r="D243" s="7">
        <v>12600</v>
      </c>
      <c r="E243" s="7" t="s">
        <v>8</v>
      </c>
      <c r="F243" s="7">
        <v>11.14</v>
      </c>
      <c r="G243" s="7">
        <v>0</v>
      </c>
      <c r="H243" s="7">
        <v>14880.332299977699</v>
      </c>
      <c r="I243" s="7">
        <v>0</v>
      </c>
    </row>
    <row r="244" spans="1:9" x14ac:dyDescent="0.2">
      <c r="A244" s="7">
        <v>86066</v>
      </c>
      <c r="B244" s="7">
        <v>2.9470813095147701E-2</v>
      </c>
      <c r="C244" s="7">
        <v>8.1509172207196695E-2</v>
      </c>
      <c r="D244" s="7">
        <v>13375</v>
      </c>
      <c r="E244" s="7" t="s">
        <v>5</v>
      </c>
      <c r="F244" s="7">
        <v>14.33</v>
      </c>
      <c r="G244" s="7">
        <v>0</v>
      </c>
      <c r="H244" s="7">
        <v>14806.240262609401</v>
      </c>
      <c r="I244" s="7">
        <v>0</v>
      </c>
    </row>
    <row r="245" spans="1:9" x14ac:dyDescent="0.2">
      <c r="A245" s="7">
        <v>100409</v>
      </c>
      <c r="B245" s="7">
        <v>3.5286460651476503E-2</v>
      </c>
      <c r="C245" s="7">
        <v>7.7054178620260594E-2</v>
      </c>
      <c r="D245" s="7">
        <v>3325</v>
      </c>
      <c r="E245" s="7" t="s">
        <v>6</v>
      </c>
      <c r="F245" s="7">
        <v>18.489999999999998</v>
      </c>
      <c r="G245" s="7">
        <v>0</v>
      </c>
      <c r="H245" s="7">
        <v>4356.8754920264</v>
      </c>
      <c r="I245" s="7">
        <v>0</v>
      </c>
    </row>
    <row r="246" spans="1:9" x14ac:dyDescent="0.2">
      <c r="A246" s="7">
        <v>111800</v>
      </c>
      <c r="B246" s="7">
        <v>2.8746986109803599E-2</v>
      </c>
      <c r="C246" s="7">
        <v>8.1509172207196695E-2</v>
      </c>
      <c r="D246" s="7">
        <v>7000</v>
      </c>
      <c r="E246" s="7" t="s">
        <v>6</v>
      </c>
      <c r="F246" s="7">
        <v>18.489999999999998</v>
      </c>
      <c r="G246" s="7">
        <v>1</v>
      </c>
      <c r="H246" s="7">
        <v>4924.04</v>
      </c>
      <c r="I246" s="7">
        <v>592.44000000000005</v>
      </c>
    </row>
    <row r="247" spans="1:9" x14ac:dyDescent="0.2">
      <c r="A247" s="7">
        <v>142698</v>
      </c>
      <c r="B247" s="7">
        <v>1.33717994737486E-2</v>
      </c>
      <c r="C247" s="7">
        <v>7.4974238972806501E-2</v>
      </c>
      <c r="D247" s="7">
        <v>5000</v>
      </c>
      <c r="E247" s="7" t="s">
        <v>4</v>
      </c>
      <c r="F247" s="7">
        <v>6.62</v>
      </c>
      <c r="G247" s="7">
        <v>1</v>
      </c>
      <c r="H247" s="7">
        <v>1071.49</v>
      </c>
      <c r="I247" s="7">
        <v>0</v>
      </c>
    </row>
    <row r="248" spans="1:9" x14ac:dyDescent="0.2">
      <c r="A248" s="7">
        <v>52202</v>
      </c>
      <c r="B248" s="7">
        <v>2.65819880463543E-2</v>
      </c>
      <c r="C248" s="7">
        <v>8.1509172207196695E-2</v>
      </c>
      <c r="D248" s="7">
        <v>9750</v>
      </c>
      <c r="E248" s="7" t="s">
        <v>6</v>
      </c>
      <c r="F248" s="7">
        <v>18.75</v>
      </c>
      <c r="G248" s="7">
        <v>1</v>
      </c>
      <c r="H248" s="7">
        <v>5601.38</v>
      </c>
      <c r="I248" s="7">
        <v>972.37</v>
      </c>
    </row>
    <row r="249" spans="1:9" x14ac:dyDescent="0.2">
      <c r="A249" s="7">
        <v>37266</v>
      </c>
      <c r="B249" s="7">
        <v>3.3478610017211599E-2</v>
      </c>
      <c r="C249" s="7">
        <v>8.1509172207196695E-2</v>
      </c>
      <c r="D249" s="7">
        <v>11200</v>
      </c>
      <c r="E249" s="7" t="s">
        <v>8</v>
      </c>
      <c r="F249" s="7">
        <v>13.05</v>
      </c>
      <c r="G249" s="7">
        <v>0</v>
      </c>
      <c r="H249" s="7">
        <v>13365.9900064993</v>
      </c>
      <c r="I249" s="7">
        <v>0</v>
      </c>
    </row>
    <row r="250" spans="1:9" x14ac:dyDescent="0.2">
      <c r="A250" s="7">
        <v>84524</v>
      </c>
      <c r="B250" s="7">
        <v>3.27858525272995E-2</v>
      </c>
      <c r="C250" s="7">
        <v>8.1509172207196695E-2</v>
      </c>
      <c r="D250" s="7">
        <v>5000</v>
      </c>
      <c r="E250" s="7" t="s">
        <v>8</v>
      </c>
      <c r="F250" s="7">
        <v>13.11</v>
      </c>
      <c r="G250" s="7">
        <v>0</v>
      </c>
      <c r="H250" s="7">
        <v>6074.4147572391003</v>
      </c>
      <c r="I250" s="7">
        <v>0</v>
      </c>
    </row>
    <row r="251" spans="1:9" x14ac:dyDescent="0.2">
      <c r="A251" s="7">
        <v>121994</v>
      </c>
      <c r="B251" s="7">
        <v>2.0166191022755998E-2</v>
      </c>
      <c r="C251" s="7">
        <v>8.1509172207196695E-2</v>
      </c>
      <c r="D251" s="7">
        <v>12000</v>
      </c>
      <c r="E251" s="7" t="s">
        <v>4</v>
      </c>
      <c r="F251" s="7">
        <v>6.62</v>
      </c>
      <c r="G251" s="7">
        <v>0</v>
      </c>
      <c r="H251" s="7">
        <v>13263.9546390052</v>
      </c>
      <c r="I251" s="7">
        <v>0</v>
      </c>
    </row>
    <row r="252" spans="1:9" x14ac:dyDescent="0.2">
      <c r="A252" s="7">
        <v>84375</v>
      </c>
      <c r="B252" s="7">
        <v>3.4166490167445898E-2</v>
      </c>
      <c r="C252" s="7">
        <v>8.4798680815203503E-2</v>
      </c>
      <c r="D252" s="7">
        <v>35000</v>
      </c>
      <c r="E252" s="7" t="s">
        <v>5</v>
      </c>
      <c r="F252" s="7">
        <v>15.8</v>
      </c>
      <c r="G252" s="7">
        <v>0</v>
      </c>
      <c r="H252" s="7">
        <v>41649.947766920202</v>
      </c>
      <c r="I252" s="7">
        <v>0</v>
      </c>
    </row>
    <row r="253" spans="1:9" x14ac:dyDescent="0.2">
      <c r="A253" s="7">
        <v>96918</v>
      </c>
      <c r="B253" s="7">
        <v>3.0656551025867201E-2</v>
      </c>
      <c r="C253" s="7">
        <v>7.4974238972806501E-2</v>
      </c>
      <c r="D253" s="7">
        <v>9825</v>
      </c>
      <c r="E253" s="7" t="s">
        <v>5</v>
      </c>
      <c r="F253" s="7">
        <v>14.33</v>
      </c>
      <c r="G253" s="7">
        <v>1</v>
      </c>
      <c r="H253" s="7">
        <v>8631.41</v>
      </c>
      <c r="I253" s="7">
        <v>561.87</v>
      </c>
    </row>
    <row r="254" spans="1:9" x14ac:dyDescent="0.2">
      <c r="A254" s="7">
        <v>136984</v>
      </c>
      <c r="B254" s="7">
        <v>1.6271763460718399E-2</v>
      </c>
      <c r="C254" s="7">
        <v>8.4798680815203503E-2</v>
      </c>
      <c r="D254" s="7">
        <v>25000</v>
      </c>
      <c r="E254" s="7" t="s">
        <v>4</v>
      </c>
      <c r="F254" s="7">
        <v>8.9</v>
      </c>
      <c r="G254" s="7">
        <v>0</v>
      </c>
      <c r="H254" s="7">
        <v>28456.623076132</v>
      </c>
      <c r="I254" s="7">
        <v>0</v>
      </c>
    </row>
    <row r="255" spans="1:9" x14ac:dyDescent="0.2">
      <c r="A255" s="7">
        <v>124616</v>
      </c>
      <c r="B255" s="7">
        <v>-1.4285216518099901E-4</v>
      </c>
      <c r="C255" s="7">
        <v>8.4798680815203503E-2</v>
      </c>
      <c r="D255" s="7">
        <v>31825</v>
      </c>
      <c r="E255" s="7" t="s">
        <v>7</v>
      </c>
      <c r="F255" s="7">
        <v>22.47</v>
      </c>
      <c r="G255" s="7">
        <v>0</v>
      </c>
      <c r="H255" s="7">
        <v>37527.309849746103</v>
      </c>
      <c r="I255" s="7">
        <v>0</v>
      </c>
    </row>
    <row r="256" spans="1:9" x14ac:dyDescent="0.2">
      <c r="A256" s="7">
        <v>103200</v>
      </c>
      <c r="B256" s="7">
        <v>1.9721186504556999E-2</v>
      </c>
      <c r="C256" s="7">
        <v>7.4974238972806501E-2</v>
      </c>
      <c r="D256" s="7">
        <v>5000</v>
      </c>
      <c r="E256" s="7" t="s">
        <v>4</v>
      </c>
      <c r="F256" s="7">
        <v>6.03</v>
      </c>
      <c r="G256" s="7">
        <v>0</v>
      </c>
      <c r="H256" s="7">
        <v>5377.4574904600004</v>
      </c>
      <c r="I256" s="7">
        <v>0</v>
      </c>
    </row>
    <row r="257" spans="1:9" x14ac:dyDescent="0.2">
      <c r="A257" s="7">
        <v>27552</v>
      </c>
      <c r="B257" s="7">
        <v>3.4828556996108803E-2</v>
      </c>
      <c r="C257" s="7">
        <v>7.4974238972806501E-2</v>
      </c>
      <c r="D257" s="7">
        <v>18000</v>
      </c>
      <c r="E257" s="7" t="s">
        <v>8</v>
      </c>
      <c r="F257" s="7">
        <v>12.35</v>
      </c>
      <c r="G257" s="7">
        <v>0</v>
      </c>
      <c r="H257" s="7">
        <v>19930.7702909568</v>
      </c>
      <c r="I257" s="7">
        <v>0</v>
      </c>
    </row>
    <row r="258" spans="1:9" x14ac:dyDescent="0.2">
      <c r="A258" s="7">
        <v>90034</v>
      </c>
      <c r="B258" s="7">
        <v>3.2133600777748302E-2</v>
      </c>
      <c r="C258" s="7">
        <v>5.3944556304700297E-2</v>
      </c>
      <c r="D258" s="7">
        <v>21000</v>
      </c>
      <c r="E258" s="7" t="s">
        <v>4</v>
      </c>
      <c r="F258" s="7">
        <v>8.9</v>
      </c>
      <c r="G258" s="7">
        <v>0</v>
      </c>
      <c r="H258" s="7">
        <v>23744.47</v>
      </c>
      <c r="I258" s="7">
        <v>0</v>
      </c>
    </row>
    <row r="259" spans="1:9" x14ac:dyDescent="0.2">
      <c r="A259" s="7">
        <v>106780</v>
      </c>
      <c r="B259" s="7">
        <v>2.4537907309952301E-2</v>
      </c>
      <c r="C259" s="7">
        <v>7.4974238972806501E-2</v>
      </c>
      <c r="D259" s="7">
        <v>7200</v>
      </c>
      <c r="E259" s="7" t="s">
        <v>4</v>
      </c>
      <c r="F259" s="7">
        <v>8.9</v>
      </c>
      <c r="G259" s="7">
        <v>0</v>
      </c>
      <c r="H259" s="7">
        <v>8230.3975053881004</v>
      </c>
      <c r="I259" s="7">
        <v>0</v>
      </c>
    </row>
    <row r="260" spans="1:9" x14ac:dyDescent="0.2">
      <c r="A260" s="7">
        <v>141191</v>
      </c>
      <c r="B260" s="7">
        <v>3.2743526057750001E-2</v>
      </c>
      <c r="C260" s="7">
        <v>8.1509172207196695E-2</v>
      </c>
      <c r="D260" s="7">
        <v>6000</v>
      </c>
      <c r="E260" s="7" t="s">
        <v>8</v>
      </c>
      <c r="F260" s="7">
        <v>10.74</v>
      </c>
      <c r="G260" s="7">
        <v>0</v>
      </c>
      <c r="H260" s="7">
        <v>7044.9700008369</v>
      </c>
      <c r="I260" s="7">
        <v>0</v>
      </c>
    </row>
    <row r="261" spans="1:9" x14ac:dyDescent="0.2">
      <c r="A261" s="7">
        <v>89692</v>
      </c>
      <c r="B261" s="7">
        <v>3.1444067337987498E-2</v>
      </c>
      <c r="C261" s="7">
        <v>8.4798680815203503E-2</v>
      </c>
      <c r="D261" s="7">
        <v>28000</v>
      </c>
      <c r="E261" s="7" t="s">
        <v>8</v>
      </c>
      <c r="F261" s="7">
        <v>10.16</v>
      </c>
      <c r="G261" s="7">
        <v>0</v>
      </c>
      <c r="H261" s="7">
        <v>30939.313603966501</v>
      </c>
      <c r="I261" s="7">
        <v>0</v>
      </c>
    </row>
    <row r="262" spans="1:9" x14ac:dyDescent="0.2">
      <c r="A262" s="7">
        <v>134158</v>
      </c>
      <c r="B262" s="7">
        <v>2.3187725735040701E-2</v>
      </c>
      <c r="C262" s="7">
        <v>7.4974238972806501E-2</v>
      </c>
      <c r="D262" s="7">
        <v>14400</v>
      </c>
      <c r="E262" s="7" t="s">
        <v>4</v>
      </c>
      <c r="F262" s="7">
        <v>6.03</v>
      </c>
      <c r="G262" s="7">
        <v>0</v>
      </c>
      <c r="H262" s="7">
        <v>15777.7520179115</v>
      </c>
      <c r="I262" s="7">
        <v>0</v>
      </c>
    </row>
    <row r="263" spans="1:9" x14ac:dyDescent="0.2">
      <c r="A263" s="7">
        <v>137200</v>
      </c>
      <c r="B263" s="7">
        <v>9.3198124800571904E-3</v>
      </c>
      <c r="C263" s="7">
        <v>7.4974238972806501E-2</v>
      </c>
      <c r="D263" s="7">
        <v>4000</v>
      </c>
      <c r="E263" s="7" t="s">
        <v>4</v>
      </c>
      <c r="F263" s="7">
        <v>7.9</v>
      </c>
      <c r="G263" s="7">
        <v>1</v>
      </c>
      <c r="H263" s="7">
        <v>706.55</v>
      </c>
      <c r="I263" s="7">
        <v>206.71</v>
      </c>
    </row>
    <row r="264" spans="1:9" x14ac:dyDescent="0.2">
      <c r="A264" s="7">
        <v>125924</v>
      </c>
      <c r="B264" s="7">
        <v>-2.4754729278568602E-3</v>
      </c>
      <c r="C264" s="7">
        <v>8.4798680815203503E-2</v>
      </c>
      <c r="D264" s="7">
        <v>24000</v>
      </c>
      <c r="E264" s="7" t="s">
        <v>10</v>
      </c>
      <c r="F264" s="7">
        <v>23.63</v>
      </c>
      <c r="G264" s="7">
        <v>0</v>
      </c>
      <c r="H264" s="7">
        <v>37606.600068035499</v>
      </c>
      <c r="I264" s="7">
        <v>0</v>
      </c>
    </row>
    <row r="265" spans="1:9" x14ac:dyDescent="0.2">
      <c r="A265" s="7">
        <v>35709</v>
      </c>
      <c r="B265" s="7">
        <v>2.4843302855160499E-2</v>
      </c>
      <c r="C265" s="7">
        <v>7.7054178620260594E-2</v>
      </c>
      <c r="D265" s="7">
        <v>5000</v>
      </c>
      <c r="E265" s="7" t="s">
        <v>4</v>
      </c>
      <c r="F265" s="7">
        <v>8.9</v>
      </c>
      <c r="G265" s="7">
        <v>0</v>
      </c>
      <c r="H265" s="7">
        <v>5712.15</v>
      </c>
      <c r="I265" s="7">
        <v>0</v>
      </c>
    </row>
    <row r="266" spans="1:9" x14ac:dyDescent="0.2">
      <c r="A266" s="7">
        <v>27611</v>
      </c>
      <c r="B266" s="7">
        <v>4.1363822424916603E-2</v>
      </c>
      <c r="C266" s="7">
        <v>5.3944556304700297E-2</v>
      </c>
      <c r="D266" s="7">
        <v>13000</v>
      </c>
      <c r="E266" s="7" t="s">
        <v>8</v>
      </c>
      <c r="F266" s="7">
        <v>9.7100000000000009</v>
      </c>
      <c r="G266" s="7">
        <v>0</v>
      </c>
      <c r="H266" s="7">
        <v>14923.479999038</v>
      </c>
      <c r="I266" s="7">
        <v>0</v>
      </c>
    </row>
    <row r="267" spans="1:9" x14ac:dyDescent="0.2">
      <c r="A267" s="7">
        <v>77782</v>
      </c>
      <c r="B267" s="7">
        <v>3.2726230952932402E-2</v>
      </c>
      <c r="C267" s="7">
        <v>7.4974238972806501E-2</v>
      </c>
      <c r="D267" s="7">
        <v>15000</v>
      </c>
      <c r="E267" s="7" t="s">
        <v>8</v>
      </c>
      <c r="F267" s="7">
        <v>14.09</v>
      </c>
      <c r="G267" s="7">
        <v>0</v>
      </c>
      <c r="H267" s="7">
        <v>18479.4517558515</v>
      </c>
      <c r="I267" s="7">
        <v>0</v>
      </c>
    </row>
    <row r="268" spans="1:9" x14ac:dyDescent="0.2">
      <c r="A268" s="7">
        <v>116851</v>
      </c>
      <c r="B268" s="7">
        <v>3.3656919045417698E-2</v>
      </c>
      <c r="C268" s="7">
        <v>7.4974238972806501E-2</v>
      </c>
      <c r="D268" s="7">
        <v>11850</v>
      </c>
      <c r="E268" s="7" t="s">
        <v>6</v>
      </c>
      <c r="F268" s="7">
        <v>17.77</v>
      </c>
      <c r="G268" s="7">
        <v>0</v>
      </c>
      <c r="H268" s="7">
        <v>14670.2141428715</v>
      </c>
      <c r="I268" s="7">
        <v>0</v>
      </c>
    </row>
    <row r="269" spans="1:9" x14ac:dyDescent="0.2">
      <c r="A269" s="7">
        <v>140932</v>
      </c>
      <c r="B269" s="7">
        <v>1.6849330264212099E-2</v>
      </c>
      <c r="C269" s="7">
        <v>8.1509172207196695E-2</v>
      </c>
      <c r="D269" s="7">
        <v>7300</v>
      </c>
      <c r="E269" s="7" t="s">
        <v>4</v>
      </c>
      <c r="F269" s="7">
        <v>7.9</v>
      </c>
      <c r="G269" s="7">
        <v>0</v>
      </c>
      <c r="H269" s="7">
        <v>8090.6573323488001</v>
      </c>
      <c r="I269" s="7">
        <v>0</v>
      </c>
    </row>
    <row r="270" spans="1:9" x14ac:dyDescent="0.2">
      <c r="A270" s="7">
        <v>6808</v>
      </c>
      <c r="B270" s="7">
        <v>3.2075389223816898E-2</v>
      </c>
      <c r="C270" s="7">
        <v>5.3944556304700297E-2</v>
      </c>
      <c r="D270" s="7">
        <v>25000</v>
      </c>
      <c r="E270" s="7" t="s">
        <v>4</v>
      </c>
      <c r="F270" s="7">
        <v>7.9</v>
      </c>
      <c r="G270" s="7">
        <v>0</v>
      </c>
      <c r="H270" s="7">
        <v>28070.27</v>
      </c>
      <c r="I270" s="7">
        <v>0</v>
      </c>
    </row>
    <row r="271" spans="1:9" x14ac:dyDescent="0.2">
      <c r="A271" s="7">
        <v>41649</v>
      </c>
      <c r="B271" s="7">
        <v>2.67846093522629E-2</v>
      </c>
      <c r="C271" s="7">
        <v>7.4974238972806501E-2</v>
      </c>
      <c r="D271" s="7">
        <v>7300</v>
      </c>
      <c r="E271" s="7" t="s">
        <v>8</v>
      </c>
      <c r="F271" s="7">
        <v>9.7100000000000009</v>
      </c>
      <c r="G271" s="7">
        <v>0</v>
      </c>
      <c r="H271" s="7">
        <v>7825.3925169032</v>
      </c>
      <c r="I271" s="7">
        <v>0</v>
      </c>
    </row>
    <row r="272" spans="1:9" x14ac:dyDescent="0.2">
      <c r="A272" s="7">
        <v>73161</v>
      </c>
      <c r="B272" s="7">
        <v>4.0619701683361903E-2</v>
      </c>
      <c r="C272" s="7">
        <v>7.7054178620260594E-2</v>
      </c>
      <c r="D272" s="7">
        <v>21000</v>
      </c>
      <c r="E272" s="7" t="s">
        <v>8</v>
      </c>
      <c r="F272" s="7">
        <v>13.11</v>
      </c>
      <c r="G272" s="7">
        <v>0</v>
      </c>
      <c r="H272" s="7">
        <v>25512.147301959099</v>
      </c>
      <c r="I272" s="7">
        <v>0</v>
      </c>
    </row>
    <row r="273" spans="1:9" x14ac:dyDescent="0.2">
      <c r="A273" s="7">
        <v>76566</v>
      </c>
      <c r="B273" s="7">
        <v>2.7802865230050999E-2</v>
      </c>
      <c r="C273" s="7">
        <v>5.3944556304700297E-2</v>
      </c>
      <c r="D273" s="7">
        <v>19200</v>
      </c>
      <c r="E273" s="7" t="s">
        <v>4</v>
      </c>
      <c r="F273" s="7">
        <v>8.9</v>
      </c>
      <c r="G273" s="7">
        <v>0</v>
      </c>
      <c r="H273" s="7">
        <v>21706.319981717999</v>
      </c>
      <c r="I273" s="7">
        <v>0</v>
      </c>
    </row>
    <row r="274" spans="1:9" x14ac:dyDescent="0.2">
      <c r="A274" s="7">
        <v>44844</v>
      </c>
      <c r="B274" s="7">
        <v>3.6059874074791901E-2</v>
      </c>
      <c r="C274" s="7">
        <v>7.4974238972806501E-2</v>
      </c>
      <c r="D274" s="7">
        <v>7200</v>
      </c>
      <c r="E274" s="7" t="s">
        <v>8</v>
      </c>
      <c r="F274" s="7">
        <v>11.55</v>
      </c>
      <c r="G274" s="7">
        <v>1</v>
      </c>
      <c r="H274" s="7">
        <v>4645.8100000000004</v>
      </c>
      <c r="I274" s="7">
        <v>1084.4000000000001</v>
      </c>
    </row>
    <row r="275" spans="1:9" x14ac:dyDescent="0.2">
      <c r="A275" s="7">
        <v>127862</v>
      </c>
      <c r="B275" s="7">
        <v>3.5042345038910197E-2</v>
      </c>
      <c r="C275" s="7">
        <v>7.4974238972806501E-2</v>
      </c>
      <c r="D275" s="7">
        <v>14475</v>
      </c>
      <c r="E275" s="7" t="s">
        <v>8</v>
      </c>
      <c r="F275" s="7">
        <v>13.11</v>
      </c>
      <c r="G275" s="7">
        <v>0</v>
      </c>
      <c r="H275" s="7">
        <v>17585.519993780301</v>
      </c>
      <c r="I275" s="7">
        <v>0</v>
      </c>
    </row>
    <row r="276" spans="1:9" x14ac:dyDescent="0.2">
      <c r="A276" s="7">
        <v>95623</v>
      </c>
      <c r="B276" s="7">
        <v>3.6884825020701201E-2</v>
      </c>
      <c r="C276" s="7">
        <v>7.4974238972806501E-2</v>
      </c>
      <c r="D276" s="7">
        <v>5000</v>
      </c>
      <c r="E276" s="7" t="s">
        <v>5</v>
      </c>
      <c r="F276" s="7">
        <v>15.31</v>
      </c>
      <c r="G276" s="7">
        <v>0</v>
      </c>
      <c r="H276" s="7">
        <v>6269.2791594617001</v>
      </c>
      <c r="I276" s="7">
        <v>0</v>
      </c>
    </row>
    <row r="277" spans="1:9" x14ac:dyDescent="0.2">
      <c r="A277" s="7">
        <v>88600</v>
      </c>
      <c r="B277" s="7">
        <v>2.9993208558857998E-2</v>
      </c>
      <c r="C277" s="7">
        <v>7.4974238972806501E-2</v>
      </c>
      <c r="D277" s="7">
        <v>12000</v>
      </c>
      <c r="E277" s="7" t="s">
        <v>8</v>
      </c>
      <c r="F277" s="7">
        <v>11.14</v>
      </c>
      <c r="G277" s="7">
        <v>0</v>
      </c>
      <c r="H277" s="7">
        <v>12565.0723609005</v>
      </c>
      <c r="I277" s="7">
        <v>0</v>
      </c>
    </row>
    <row r="278" spans="1:9" x14ac:dyDescent="0.2">
      <c r="A278" s="7">
        <v>90485</v>
      </c>
      <c r="B278" s="7">
        <v>4.2381363558622202E-2</v>
      </c>
      <c r="C278" s="7">
        <v>8.1509172207196695E-2</v>
      </c>
      <c r="D278" s="7">
        <v>6000</v>
      </c>
      <c r="E278" s="7" t="s">
        <v>5</v>
      </c>
      <c r="F278" s="7">
        <v>15.31</v>
      </c>
      <c r="G278" s="7">
        <v>0</v>
      </c>
      <c r="H278" s="7">
        <v>7520.4868865319004</v>
      </c>
      <c r="I278" s="7">
        <v>0</v>
      </c>
    </row>
    <row r="279" spans="1:9" x14ac:dyDescent="0.2">
      <c r="A279" s="7">
        <v>24203</v>
      </c>
      <c r="B279" s="7">
        <v>1.6831222713055798E-2</v>
      </c>
      <c r="C279" s="7">
        <v>5.3944556304700297E-2</v>
      </c>
      <c r="D279" s="7">
        <v>22875</v>
      </c>
      <c r="E279" s="7" t="s">
        <v>4</v>
      </c>
      <c r="F279" s="7">
        <v>6.03</v>
      </c>
      <c r="G279" s="7">
        <v>1</v>
      </c>
      <c r="H279" s="7">
        <v>16364.37</v>
      </c>
      <c r="I279" s="7">
        <v>1744.91</v>
      </c>
    </row>
    <row r="280" spans="1:9" x14ac:dyDescent="0.2">
      <c r="A280" s="7">
        <v>46252</v>
      </c>
      <c r="B280" s="7">
        <v>3.1081452709388301E-2</v>
      </c>
      <c r="C280" s="7">
        <v>7.7054178620260594E-2</v>
      </c>
      <c r="D280" s="7">
        <v>8000</v>
      </c>
      <c r="E280" s="7" t="s">
        <v>5</v>
      </c>
      <c r="F280" s="7">
        <v>15.22</v>
      </c>
      <c r="G280" s="7">
        <v>0</v>
      </c>
      <c r="H280" s="7">
        <v>8201.5772387685993</v>
      </c>
      <c r="I280" s="7">
        <v>0</v>
      </c>
    </row>
    <row r="281" spans="1:9" x14ac:dyDescent="0.2">
      <c r="A281" s="7">
        <v>145062</v>
      </c>
      <c r="B281" s="7">
        <v>1.39587184549716E-2</v>
      </c>
      <c r="C281" s="7">
        <v>8.4798680815203503E-2</v>
      </c>
      <c r="D281" s="7">
        <v>20000</v>
      </c>
      <c r="E281" s="7" t="s">
        <v>5</v>
      </c>
      <c r="F281" s="7">
        <v>14.27</v>
      </c>
      <c r="G281" s="7">
        <v>0</v>
      </c>
      <c r="H281" s="7">
        <v>24702.410000001299</v>
      </c>
      <c r="I281" s="7">
        <v>0</v>
      </c>
    </row>
    <row r="282" spans="1:9" x14ac:dyDescent="0.2">
      <c r="A282" s="7">
        <v>60995</v>
      </c>
      <c r="B282" s="7">
        <v>4.14216518006243E-2</v>
      </c>
      <c r="C282" s="7">
        <v>7.4974238972806501E-2</v>
      </c>
      <c r="D282" s="7">
        <v>8000</v>
      </c>
      <c r="E282" s="7" t="s">
        <v>8</v>
      </c>
      <c r="F282" s="7">
        <v>13.11</v>
      </c>
      <c r="G282" s="7">
        <v>0</v>
      </c>
      <c r="H282" s="7">
        <v>9033.9076499737002</v>
      </c>
      <c r="I282" s="7">
        <v>0</v>
      </c>
    </row>
    <row r="283" spans="1:9" x14ac:dyDescent="0.2">
      <c r="A283" s="7">
        <v>38211</v>
      </c>
      <c r="B283" s="7">
        <v>2.03096992896982E-2</v>
      </c>
      <c r="C283" s="7">
        <v>5.3944556304700297E-2</v>
      </c>
      <c r="D283" s="7">
        <v>24000</v>
      </c>
      <c r="E283" s="7" t="s">
        <v>4</v>
      </c>
      <c r="F283" s="7">
        <v>6.62</v>
      </c>
      <c r="G283" s="7">
        <v>0</v>
      </c>
      <c r="H283" s="7">
        <v>25069.992025299201</v>
      </c>
      <c r="I283" s="7">
        <v>0</v>
      </c>
    </row>
    <row r="284" spans="1:9" x14ac:dyDescent="0.2">
      <c r="A284" s="7">
        <v>53177</v>
      </c>
      <c r="B284" s="7">
        <v>2.4979743438697698E-2</v>
      </c>
      <c r="C284" s="7">
        <v>8.4798680815203503E-2</v>
      </c>
      <c r="D284" s="7">
        <v>20050</v>
      </c>
      <c r="E284" s="7" t="s">
        <v>6</v>
      </c>
      <c r="F284" s="7">
        <v>17.77</v>
      </c>
      <c r="G284" s="7">
        <v>1</v>
      </c>
      <c r="H284" s="7">
        <v>5486.03</v>
      </c>
      <c r="I284" s="7">
        <v>2595.9499999999998</v>
      </c>
    </row>
    <row r="285" spans="1:9" x14ac:dyDescent="0.2">
      <c r="A285" s="7">
        <v>48189</v>
      </c>
      <c r="B285" s="7">
        <v>2.8576208691488698E-2</v>
      </c>
      <c r="C285" s="7">
        <v>7.4974238972806501E-2</v>
      </c>
      <c r="D285" s="7">
        <v>17000</v>
      </c>
      <c r="E285" s="7" t="s">
        <v>8</v>
      </c>
      <c r="F285" s="7">
        <v>12.12</v>
      </c>
      <c r="G285" s="7">
        <v>0</v>
      </c>
      <c r="H285" s="7">
        <v>20362.2382855381</v>
      </c>
      <c r="I285" s="7">
        <v>0</v>
      </c>
    </row>
    <row r="286" spans="1:9" x14ac:dyDescent="0.2">
      <c r="A286" s="7">
        <v>73454</v>
      </c>
      <c r="B286" s="7">
        <v>-3.0637209531891299E-3</v>
      </c>
      <c r="C286" s="7">
        <v>8.4798680815203503E-2</v>
      </c>
      <c r="D286" s="7">
        <v>24000</v>
      </c>
      <c r="E286" s="7" t="s">
        <v>10</v>
      </c>
      <c r="F286" s="7">
        <v>23.83</v>
      </c>
      <c r="G286" s="7">
        <v>1</v>
      </c>
      <c r="H286" s="7">
        <v>13912.53</v>
      </c>
      <c r="I286" s="7">
        <v>2926.71</v>
      </c>
    </row>
    <row r="287" spans="1:9" x14ac:dyDescent="0.2">
      <c r="A287" s="7">
        <v>112311</v>
      </c>
      <c r="B287" s="7">
        <v>3.5808280230751999E-2</v>
      </c>
      <c r="C287" s="7">
        <v>8.1509172207196695E-2</v>
      </c>
      <c r="D287" s="7">
        <v>12000</v>
      </c>
      <c r="E287" s="7" t="s">
        <v>5</v>
      </c>
      <c r="F287" s="7">
        <v>15.8</v>
      </c>
      <c r="G287" s="7">
        <v>1</v>
      </c>
      <c r="H287" s="7">
        <v>3920.8</v>
      </c>
      <c r="I287" s="7">
        <v>562.72</v>
      </c>
    </row>
    <row r="288" spans="1:9" x14ac:dyDescent="0.2">
      <c r="A288" s="7">
        <v>68086</v>
      </c>
      <c r="B288" s="7">
        <v>1.9961149640236001E-2</v>
      </c>
      <c r="C288" s="7">
        <v>7.4974238972806501E-2</v>
      </c>
      <c r="D288" s="7">
        <v>15000</v>
      </c>
      <c r="E288" s="7" t="s">
        <v>4</v>
      </c>
      <c r="F288" s="7">
        <v>7.9</v>
      </c>
      <c r="G288" s="7">
        <v>0</v>
      </c>
      <c r="H288" s="7">
        <v>16896.7094536404</v>
      </c>
      <c r="I288" s="7">
        <v>0</v>
      </c>
    </row>
    <row r="289" spans="1:9" x14ac:dyDescent="0.2">
      <c r="A289" s="7">
        <v>95705</v>
      </c>
      <c r="B289" s="7">
        <v>3.5943943257616302E-2</v>
      </c>
      <c r="C289" s="7">
        <v>8.1509172207196695E-2</v>
      </c>
      <c r="D289" s="7">
        <v>7000</v>
      </c>
      <c r="E289" s="7" t="s">
        <v>8</v>
      </c>
      <c r="F289" s="7">
        <v>13.11</v>
      </c>
      <c r="G289" s="7">
        <v>0</v>
      </c>
      <c r="H289" s="7">
        <v>8504.2236909620005</v>
      </c>
      <c r="I289" s="7">
        <v>0</v>
      </c>
    </row>
    <row r="290" spans="1:9" x14ac:dyDescent="0.2">
      <c r="A290" s="7">
        <v>110369</v>
      </c>
      <c r="B290" s="7">
        <v>3.3048679487730402E-2</v>
      </c>
      <c r="C290" s="7">
        <v>8.4798680815203503E-2</v>
      </c>
      <c r="D290" s="7">
        <v>29000</v>
      </c>
      <c r="E290" s="7" t="s">
        <v>5</v>
      </c>
      <c r="F290" s="7">
        <v>14.33</v>
      </c>
      <c r="G290" s="7">
        <v>0</v>
      </c>
      <c r="H290" s="7">
        <v>35848.966684473999</v>
      </c>
      <c r="I290" s="7">
        <v>0</v>
      </c>
    </row>
    <row r="291" spans="1:9" x14ac:dyDescent="0.2">
      <c r="A291" s="7">
        <v>47532</v>
      </c>
      <c r="B291" s="7">
        <v>3.2718839550047903E-2</v>
      </c>
      <c r="C291" s="7">
        <v>5.3944556304700297E-2</v>
      </c>
      <c r="D291" s="7">
        <v>16000</v>
      </c>
      <c r="E291" s="7" t="s">
        <v>4</v>
      </c>
      <c r="F291" s="7">
        <v>6.03</v>
      </c>
      <c r="G291" s="7">
        <v>0</v>
      </c>
      <c r="H291" s="7">
        <v>16311.199068886701</v>
      </c>
      <c r="I291" s="7">
        <v>0</v>
      </c>
    </row>
    <row r="292" spans="1:9" x14ac:dyDescent="0.2">
      <c r="A292" s="7">
        <v>62366</v>
      </c>
      <c r="B292" s="7">
        <v>2.6870945479077101E-2</v>
      </c>
      <c r="C292" s="7">
        <v>8.1509172207196695E-2</v>
      </c>
      <c r="D292" s="7">
        <v>12500</v>
      </c>
      <c r="E292" s="7" t="s">
        <v>8</v>
      </c>
      <c r="F292" s="7">
        <v>13.11</v>
      </c>
      <c r="G292" s="7">
        <v>0</v>
      </c>
      <c r="H292" s="7">
        <v>13272.1623809879</v>
      </c>
      <c r="I292" s="7">
        <v>0</v>
      </c>
    </row>
    <row r="293" spans="1:9" x14ac:dyDescent="0.2">
      <c r="A293" s="7">
        <v>24132</v>
      </c>
      <c r="B293" s="7">
        <v>1.07444919436037E-2</v>
      </c>
      <c r="C293" s="7">
        <v>8.1509172207196695E-2</v>
      </c>
      <c r="D293" s="7">
        <v>18000</v>
      </c>
      <c r="E293" s="7" t="s">
        <v>5</v>
      </c>
      <c r="F293" s="7">
        <v>15.61</v>
      </c>
      <c r="G293" s="7">
        <v>0</v>
      </c>
      <c r="H293" s="7">
        <v>23261.2300026294</v>
      </c>
      <c r="I293" s="7">
        <v>0</v>
      </c>
    </row>
    <row r="294" spans="1:9" x14ac:dyDescent="0.2">
      <c r="A294" s="7">
        <v>66322</v>
      </c>
      <c r="B294" s="7">
        <v>3.0516822737169901E-2</v>
      </c>
      <c r="C294" s="7">
        <v>8.1509172207196695E-2</v>
      </c>
      <c r="D294" s="7">
        <v>7000</v>
      </c>
      <c r="E294" s="7" t="s">
        <v>8</v>
      </c>
      <c r="F294" s="7">
        <v>12.12</v>
      </c>
      <c r="G294" s="7">
        <v>1</v>
      </c>
      <c r="H294" s="7">
        <v>4729.21</v>
      </c>
      <c r="I294" s="7">
        <v>538.53</v>
      </c>
    </row>
    <row r="295" spans="1:9" x14ac:dyDescent="0.2">
      <c r="A295" s="7">
        <v>28547</v>
      </c>
      <c r="B295" s="7">
        <v>-9.2854440887468904E-3</v>
      </c>
      <c r="C295" s="7">
        <v>8.4798680815203503E-2</v>
      </c>
      <c r="D295" s="7">
        <v>24000</v>
      </c>
      <c r="E295" s="7" t="s">
        <v>10</v>
      </c>
      <c r="F295" s="7">
        <v>23.5</v>
      </c>
      <c r="G295" s="7">
        <v>0</v>
      </c>
      <c r="H295" s="7">
        <v>26755.625587735201</v>
      </c>
      <c r="I295" s="7">
        <v>0</v>
      </c>
    </row>
    <row r="296" spans="1:9" x14ac:dyDescent="0.2">
      <c r="A296" s="7">
        <v>61465</v>
      </c>
      <c r="B296" s="7">
        <v>3.2095799908550403E-2</v>
      </c>
      <c r="C296" s="7">
        <v>8.4798680815203503E-2</v>
      </c>
      <c r="D296" s="7">
        <v>35000</v>
      </c>
      <c r="E296" s="7" t="s">
        <v>7</v>
      </c>
      <c r="F296" s="7">
        <v>21</v>
      </c>
      <c r="G296" s="7">
        <v>0</v>
      </c>
      <c r="H296" s="7">
        <v>36213.419099760802</v>
      </c>
      <c r="I296" s="7">
        <v>0</v>
      </c>
    </row>
    <row r="297" spans="1:9" x14ac:dyDescent="0.2">
      <c r="A297" s="7">
        <v>97664</v>
      </c>
      <c r="B297" s="7">
        <v>2.55059267246696E-2</v>
      </c>
      <c r="C297" s="7">
        <v>7.4974238972806501E-2</v>
      </c>
      <c r="D297" s="7">
        <v>14125</v>
      </c>
      <c r="E297" s="7" t="s">
        <v>8</v>
      </c>
      <c r="F297" s="7">
        <v>10.16</v>
      </c>
      <c r="G297" s="7">
        <v>0</v>
      </c>
      <c r="H297" s="7">
        <v>16003.3829814241</v>
      </c>
      <c r="I297" s="7">
        <v>0</v>
      </c>
    </row>
    <row r="298" spans="1:9" x14ac:dyDescent="0.2">
      <c r="A298" s="7">
        <v>122688</v>
      </c>
      <c r="B298" s="7">
        <v>3.1451341343716001E-2</v>
      </c>
      <c r="C298" s="7">
        <v>7.4974238972806501E-2</v>
      </c>
      <c r="D298" s="7">
        <v>12000</v>
      </c>
      <c r="E298" s="7" t="s">
        <v>8</v>
      </c>
      <c r="F298" s="7">
        <v>11.14</v>
      </c>
      <c r="G298" s="7">
        <v>0</v>
      </c>
      <c r="H298" s="7">
        <v>14171.723328105199</v>
      </c>
      <c r="I298" s="7">
        <v>0</v>
      </c>
    </row>
    <row r="299" spans="1:9" x14ac:dyDescent="0.2">
      <c r="A299" s="7">
        <v>75773</v>
      </c>
      <c r="B299" s="7">
        <v>1.87325966445426E-3</v>
      </c>
      <c r="C299" s="7">
        <v>8.1509172207196695E-2</v>
      </c>
      <c r="D299" s="7">
        <v>19750</v>
      </c>
      <c r="E299" s="7" t="s">
        <v>5</v>
      </c>
      <c r="F299" s="7">
        <v>15.8</v>
      </c>
      <c r="G299" s="7">
        <v>0</v>
      </c>
      <c r="H299" s="7">
        <v>22672.3572942268</v>
      </c>
      <c r="I299" s="7">
        <v>0</v>
      </c>
    </row>
    <row r="300" spans="1:9" x14ac:dyDescent="0.2">
      <c r="A300" s="7">
        <v>128214</v>
      </c>
      <c r="B300" s="7">
        <v>2.6642969141754499E-2</v>
      </c>
      <c r="C300" s="7">
        <v>7.4974238972806501E-2</v>
      </c>
      <c r="D300" s="7">
        <v>7000</v>
      </c>
      <c r="E300" s="7" t="s">
        <v>8</v>
      </c>
      <c r="F300" s="7">
        <v>13.11</v>
      </c>
      <c r="G300" s="7">
        <v>0</v>
      </c>
      <c r="H300" s="7">
        <v>8504.2300025584991</v>
      </c>
      <c r="I300" s="7">
        <v>0</v>
      </c>
    </row>
    <row r="301" spans="1:9" x14ac:dyDescent="0.2">
      <c r="A301" s="7">
        <v>135650</v>
      </c>
      <c r="B301" s="7">
        <v>2.60815495412243E-2</v>
      </c>
      <c r="C301" s="7">
        <v>7.4974238972806501E-2</v>
      </c>
      <c r="D301" s="7">
        <v>2650</v>
      </c>
      <c r="E301" s="7" t="s">
        <v>5</v>
      </c>
      <c r="F301" s="7">
        <v>13.99</v>
      </c>
      <c r="G301" s="7">
        <v>0</v>
      </c>
      <c r="H301" s="7">
        <v>3252.8500006650002</v>
      </c>
      <c r="I301" s="7">
        <v>0</v>
      </c>
    </row>
    <row r="302" spans="1:9" x14ac:dyDescent="0.2">
      <c r="A302" s="7">
        <v>67421</v>
      </c>
      <c r="B302" s="7">
        <v>3.05029529442899E-2</v>
      </c>
      <c r="C302" s="7">
        <v>5.3944556304700297E-2</v>
      </c>
      <c r="D302" s="7">
        <v>21600</v>
      </c>
      <c r="E302" s="7" t="s">
        <v>4</v>
      </c>
      <c r="F302" s="7">
        <v>8.9</v>
      </c>
      <c r="G302" s="7">
        <v>0</v>
      </c>
      <c r="H302" s="7">
        <v>23871.379996587501</v>
      </c>
      <c r="I302" s="7">
        <v>0</v>
      </c>
    </row>
    <row r="303" spans="1:9" x14ac:dyDescent="0.2">
      <c r="A303" s="7">
        <v>95635</v>
      </c>
      <c r="B303" s="7">
        <v>3.2159658073532799E-2</v>
      </c>
      <c r="C303" s="7">
        <v>5.3944556304700297E-2</v>
      </c>
      <c r="D303" s="7">
        <v>14400</v>
      </c>
      <c r="E303" s="7" t="s">
        <v>4</v>
      </c>
      <c r="F303" s="7">
        <v>8.9</v>
      </c>
      <c r="G303" s="7">
        <v>0</v>
      </c>
      <c r="H303" s="7">
        <v>16460.845916283801</v>
      </c>
      <c r="I303" s="7">
        <v>0</v>
      </c>
    </row>
    <row r="304" spans="1:9" x14ac:dyDescent="0.2">
      <c r="A304" s="7">
        <v>41469</v>
      </c>
      <c r="B304" s="7">
        <v>1.1674165661192E-3</v>
      </c>
      <c r="C304" s="7">
        <v>7.4974238972806501E-2</v>
      </c>
      <c r="D304" s="7">
        <v>16000</v>
      </c>
      <c r="E304" s="7" t="s">
        <v>5</v>
      </c>
      <c r="F304" s="7">
        <v>15.88</v>
      </c>
      <c r="G304" s="7">
        <v>0</v>
      </c>
      <c r="H304" s="7">
        <v>19791.060000002199</v>
      </c>
      <c r="I304" s="7">
        <v>0</v>
      </c>
    </row>
    <row r="305" spans="1:9" x14ac:dyDescent="0.2">
      <c r="A305" s="7">
        <v>22532</v>
      </c>
      <c r="B305" s="7">
        <v>3.19576004862221E-2</v>
      </c>
      <c r="C305" s="7">
        <v>7.7054178620260594E-2</v>
      </c>
      <c r="D305" s="7">
        <v>5000</v>
      </c>
      <c r="E305" s="7" t="s">
        <v>8</v>
      </c>
      <c r="F305" s="7">
        <v>13.67</v>
      </c>
      <c r="G305" s="7">
        <v>1</v>
      </c>
      <c r="H305" s="7">
        <v>4252.05</v>
      </c>
      <c r="I305" s="7">
        <v>0</v>
      </c>
    </row>
    <row r="306" spans="1:9" x14ac:dyDescent="0.2">
      <c r="A306" s="7">
        <v>54062</v>
      </c>
      <c r="B306" s="7">
        <v>2.3699560833333799E-2</v>
      </c>
      <c r="C306" s="7">
        <v>8.1509172207196695E-2</v>
      </c>
      <c r="D306" s="7">
        <v>8875</v>
      </c>
      <c r="E306" s="7" t="s">
        <v>8</v>
      </c>
      <c r="F306" s="7">
        <v>14.09</v>
      </c>
      <c r="G306" s="7">
        <v>0</v>
      </c>
      <c r="H306" s="7">
        <v>10933.6777384326</v>
      </c>
      <c r="I306" s="7">
        <v>0</v>
      </c>
    </row>
    <row r="307" spans="1:9" x14ac:dyDescent="0.2">
      <c r="A307" s="7">
        <v>133210</v>
      </c>
      <c r="B307" s="7">
        <v>2.4029912735935601E-2</v>
      </c>
      <c r="C307" s="7">
        <v>7.4974238972806501E-2</v>
      </c>
      <c r="D307" s="7">
        <v>8600</v>
      </c>
      <c r="E307" s="7" t="s">
        <v>4</v>
      </c>
      <c r="F307" s="7">
        <v>7.62</v>
      </c>
      <c r="G307" s="7">
        <v>0</v>
      </c>
      <c r="H307" s="7">
        <v>9647.5499988486008</v>
      </c>
      <c r="I307" s="7">
        <v>0</v>
      </c>
    </row>
    <row r="308" spans="1:9" x14ac:dyDescent="0.2">
      <c r="A308" s="7">
        <v>89821</v>
      </c>
      <c r="B308" s="7">
        <v>2.6577815204966999E-2</v>
      </c>
      <c r="C308" s="7">
        <v>7.4974238972806501E-2</v>
      </c>
      <c r="D308" s="7">
        <v>10000</v>
      </c>
      <c r="E308" s="7" t="s">
        <v>8</v>
      </c>
      <c r="F308" s="7">
        <v>13.11</v>
      </c>
      <c r="G308" s="7">
        <v>0</v>
      </c>
      <c r="H308" s="7">
        <v>10216.2112253224</v>
      </c>
      <c r="I308" s="7">
        <v>0</v>
      </c>
    </row>
    <row r="309" spans="1:9" x14ac:dyDescent="0.2">
      <c r="A309" s="7">
        <v>5491</v>
      </c>
      <c r="B309" s="7">
        <v>2.22944038424462E-2</v>
      </c>
      <c r="C309" s="7">
        <v>7.7054178620260594E-2</v>
      </c>
      <c r="D309" s="7">
        <v>7500</v>
      </c>
      <c r="E309" s="7" t="s">
        <v>5</v>
      </c>
      <c r="F309" s="7">
        <v>14.47</v>
      </c>
      <c r="G309" s="7">
        <v>1</v>
      </c>
      <c r="H309" s="7">
        <v>5172.42</v>
      </c>
      <c r="I309" s="7">
        <v>785.65</v>
      </c>
    </row>
    <row r="310" spans="1:9" x14ac:dyDescent="0.2">
      <c r="A310" s="7">
        <v>28746</v>
      </c>
      <c r="B310" s="7">
        <v>3.2259066966053102E-2</v>
      </c>
      <c r="C310" s="7">
        <v>8.1509172207196695E-2</v>
      </c>
      <c r="D310" s="7">
        <v>11000</v>
      </c>
      <c r="E310" s="7" t="s">
        <v>8</v>
      </c>
      <c r="F310" s="7">
        <v>12.35</v>
      </c>
      <c r="G310" s="7">
        <v>0</v>
      </c>
      <c r="H310" s="7">
        <v>12836.250002200401</v>
      </c>
      <c r="I310" s="7">
        <v>0</v>
      </c>
    </row>
    <row r="311" spans="1:9" x14ac:dyDescent="0.2">
      <c r="A311" s="7">
        <v>73748</v>
      </c>
      <c r="B311" s="7">
        <v>4.9200080928742403E-2</v>
      </c>
      <c r="C311" s="7">
        <v>5.3944556304700297E-2</v>
      </c>
      <c r="D311" s="7">
        <v>16000</v>
      </c>
      <c r="E311" s="7" t="s">
        <v>8</v>
      </c>
      <c r="F311" s="7">
        <v>13.11</v>
      </c>
      <c r="G311" s="7">
        <v>0</v>
      </c>
      <c r="H311" s="7">
        <v>17563.150000000001</v>
      </c>
      <c r="I311" s="7">
        <v>0</v>
      </c>
    </row>
    <row r="312" spans="1:9" x14ac:dyDescent="0.2">
      <c r="A312" s="7">
        <v>58432</v>
      </c>
      <c r="B312" s="7">
        <v>2.2987522423670598E-2</v>
      </c>
      <c r="C312" s="7">
        <v>8.1509172207196695E-2</v>
      </c>
      <c r="D312" s="7">
        <v>5000</v>
      </c>
      <c r="E312" s="7" t="s">
        <v>8</v>
      </c>
      <c r="F312" s="7">
        <v>10.16</v>
      </c>
      <c r="G312" s="7">
        <v>0</v>
      </c>
      <c r="H312" s="7">
        <v>5551.1093090880004</v>
      </c>
      <c r="I312" s="7">
        <v>0</v>
      </c>
    </row>
    <row r="313" spans="1:9" x14ac:dyDescent="0.2">
      <c r="A313" s="7">
        <v>75769</v>
      </c>
      <c r="B313" s="7">
        <v>-1.6227831267123199E-3</v>
      </c>
      <c r="C313" s="7">
        <v>7.4974238972806501E-2</v>
      </c>
      <c r="D313" s="7">
        <v>12175</v>
      </c>
      <c r="E313" s="7" t="s">
        <v>5</v>
      </c>
      <c r="F313" s="7">
        <v>16.29</v>
      </c>
      <c r="G313" s="7">
        <v>0</v>
      </c>
      <c r="H313" s="7">
        <v>16013.1100095949</v>
      </c>
      <c r="I313" s="7">
        <v>0</v>
      </c>
    </row>
    <row r="314" spans="1:9" x14ac:dyDescent="0.2">
      <c r="A314" s="7">
        <v>127102</v>
      </c>
      <c r="B314" s="7">
        <v>4.0381738364567099E-2</v>
      </c>
      <c r="C314" s="7">
        <v>7.4974238972806501E-2</v>
      </c>
      <c r="D314" s="7">
        <v>10000</v>
      </c>
      <c r="E314" s="7" t="s">
        <v>8</v>
      </c>
      <c r="F314" s="7">
        <v>13.11</v>
      </c>
      <c r="G314" s="7">
        <v>0</v>
      </c>
      <c r="H314" s="7">
        <v>10891.436530876899</v>
      </c>
      <c r="I314" s="7">
        <v>0</v>
      </c>
    </row>
    <row r="315" spans="1:9" x14ac:dyDescent="0.2">
      <c r="A315" s="7">
        <v>53883</v>
      </c>
      <c r="B315" s="7">
        <v>-4.7535828537784404E-3</v>
      </c>
      <c r="C315" s="7">
        <v>8.1509172207196695E-2</v>
      </c>
      <c r="D315" s="7">
        <v>15000</v>
      </c>
      <c r="E315" s="7" t="s">
        <v>7</v>
      </c>
      <c r="F315" s="7">
        <v>21.49</v>
      </c>
      <c r="G315" s="7">
        <v>0</v>
      </c>
      <c r="H315" s="7">
        <v>22410.240000000002</v>
      </c>
      <c r="I315" s="7">
        <v>0</v>
      </c>
    </row>
    <row r="316" spans="1:9" x14ac:dyDescent="0.2">
      <c r="A316" s="7">
        <v>48341</v>
      </c>
      <c r="B316" s="7">
        <v>3.07920937604956E-2</v>
      </c>
      <c r="C316" s="7">
        <v>7.4974238972806501E-2</v>
      </c>
      <c r="D316" s="7">
        <v>12000</v>
      </c>
      <c r="E316" s="7" t="s">
        <v>8</v>
      </c>
      <c r="F316" s="7">
        <v>14.09</v>
      </c>
      <c r="G316" s="7">
        <v>0</v>
      </c>
      <c r="H316" s="7">
        <v>13150.8927316107</v>
      </c>
      <c r="I316" s="7">
        <v>0</v>
      </c>
    </row>
    <row r="317" spans="1:9" x14ac:dyDescent="0.2">
      <c r="A317" s="7">
        <v>144209</v>
      </c>
      <c r="B317" s="7">
        <v>2.72332620489158E-2</v>
      </c>
      <c r="C317" s="7">
        <v>8.1509172207196695E-2</v>
      </c>
      <c r="D317" s="7">
        <v>8000</v>
      </c>
      <c r="E317" s="7" t="s">
        <v>8</v>
      </c>
      <c r="F317" s="7">
        <v>12.42</v>
      </c>
      <c r="G317" s="7">
        <v>0</v>
      </c>
      <c r="H317" s="7">
        <v>9623.5400000008995</v>
      </c>
      <c r="I317" s="7">
        <v>0</v>
      </c>
    </row>
    <row r="318" spans="1:9" x14ac:dyDescent="0.2">
      <c r="A318" s="7">
        <v>45928</v>
      </c>
      <c r="B318" s="7">
        <v>3.8988875653838899E-2</v>
      </c>
      <c r="C318" s="7">
        <v>8.4798680815203503E-2</v>
      </c>
      <c r="D318" s="7">
        <v>28000</v>
      </c>
      <c r="E318" s="7" t="s">
        <v>5</v>
      </c>
      <c r="F318" s="7">
        <v>16.78</v>
      </c>
      <c r="G318" s="7">
        <v>0</v>
      </c>
      <c r="H318" s="7">
        <v>34527.633403177198</v>
      </c>
      <c r="I318" s="7">
        <v>0</v>
      </c>
    </row>
    <row r="319" spans="1:9" x14ac:dyDescent="0.2">
      <c r="A319" s="7">
        <v>111907</v>
      </c>
      <c r="B319" s="7">
        <v>2.7821538596368899E-2</v>
      </c>
      <c r="C319" s="7">
        <v>8.1509172207196695E-2</v>
      </c>
      <c r="D319" s="7">
        <v>13000</v>
      </c>
      <c r="E319" s="7" t="s">
        <v>6</v>
      </c>
      <c r="F319" s="7">
        <v>18.75</v>
      </c>
      <c r="G319" s="7">
        <v>0</v>
      </c>
      <c r="H319" s="7">
        <v>17095.880755720202</v>
      </c>
      <c r="I319" s="7">
        <v>0</v>
      </c>
    </row>
    <row r="320" spans="1:9" x14ac:dyDescent="0.2">
      <c r="A320" s="7">
        <v>16495</v>
      </c>
      <c r="B320" s="7">
        <v>3.12322688940928E-2</v>
      </c>
      <c r="C320" s="7">
        <v>7.7054178620260594E-2</v>
      </c>
      <c r="D320" s="7">
        <v>4000</v>
      </c>
      <c r="E320" s="7" t="s">
        <v>8</v>
      </c>
      <c r="F320" s="7">
        <v>10.99</v>
      </c>
      <c r="G320" s="7">
        <v>0</v>
      </c>
      <c r="H320" s="7">
        <v>4297.9334420040996</v>
      </c>
      <c r="I320" s="7">
        <v>0</v>
      </c>
    </row>
    <row r="321" spans="1:9" x14ac:dyDescent="0.2">
      <c r="A321" s="7">
        <v>113011</v>
      </c>
      <c r="B321" s="7">
        <v>1.89103267931813E-2</v>
      </c>
      <c r="C321" s="7">
        <v>7.4974238972806501E-2</v>
      </c>
      <c r="D321" s="7">
        <v>9600</v>
      </c>
      <c r="E321" s="7" t="s">
        <v>4</v>
      </c>
      <c r="F321" s="7">
        <v>7.9</v>
      </c>
      <c r="G321" s="7">
        <v>0</v>
      </c>
      <c r="H321" s="7">
        <v>10555.260866771599</v>
      </c>
      <c r="I321" s="7">
        <v>0</v>
      </c>
    </row>
    <row r="322" spans="1:9" x14ac:dyDescent="0.2">
      <c r="A322" s="7">
        <v>10148</v>
      </c>
      <c r="B322" s="7">
        <v>3.7304787592639901E-2</v>
      </c>
      <c r="C322" s="7">
        <v>7.4974238972806501E-2</v>
      </c>
      <c r="D322" s="7">
        <v>9000</v>
      </c>
      <c r="E322" s="7" t="s">
        <v>5</v>
      </c>
      <c r="F322" s="7">
        <v>14.3</v>
      </c>
      <c r="G322" s="7">
        <v>0</v>
      </c>
      <c r="H322" s="7">
        <v>11050.1000024612</v>
      </c>
      <c r="I322" s="7">
        <v>0</v>
      </c>
    </row>
    <row r="323" spans="1:9" x14ac:dyDescent="0.2">
      <c r="A323" s="7">
        <v>1641</v>
      </c>
      <c r="B323" s="7">
        <v>2.3980157696581201E-2</v>
      </c>
      <c r="C323" s="7">
        <v>8.1509172207196695E-2</v>
      </c>
      <c r="D323" s="7">
        <v>4000</v>
      </c>
      <c r="E323" s="7" t="s">
        <v>4</v>
      </c>
      <c r="F323" s="7">
        <v>6.62</v>
      </c>
      <c r="G323" s="7">
        <v>0</v>
      </c>
      <c r="H323" s="7">
        <v>4253.3299999991996</v>
      </c>
      <c r="I323" s="7">
        <v>0</v>
      </c>
    </row>
    <row r="324" spans="1:9" x14ac:dyDescent="0.2">
      <c r="A324" s="7">
        <v>23275</v>
      </c>
      <c r="B324" s="7">
        <v>3.1373739239405597E-2</v>
      </c>
      <c r="C324" s="7">
        <v>8.1509172207196695E-2</v>
      </c>
      <c r="D324" s="7">
        <v>15000</v>
      </c>
      <c r="E324" s="7" t="s">
        <v>6</v>
      </c>
      <c r="F324" s="7">
        <v>19.52</v>
      </c>
      <c r="G324" s="7">
        <v>0</v>
      </c>
      <c r="H324" s="7">
        <v>17007.524496113001</v>
      </c>
      <c r="I324" s="7">
        <v>0</v>
      </c>
    </row>
    <row r="325" spans="1:9" x14ac:dyDescent="0.2">
      <c r="A325" s="7">
        <v>131121</v>
      </c>
      <c r="B325" s="7">
        <v>3.7741462233168099E-2</v>
      </c>
      <c r="C325" s="7">
        <v>7.4974238972806501E-2</v>
      </c>
      <c r="D325" s="7">
        <v>6750</v>
      </c>
      <c r="E325" s="7" t="s">
        <v>8</v>
      </c>
      <c r="F325" s="7">
        <v>13.11</v>
      </c>
      <c r="G325" s="7">
        <v>0</v>
      </c>
      <c r="H325" s="7">
        <v>8133.0130834655001</v>
      </c>
      <c r="I325" s="7">
        <v>0</v>
      </c>
    </row>
    <row r="326" spans="1:9" x14ac:dyDescent="0.2">
      <c r="A326" s="7">
        <v>50700</v>
      </c>
      <c r="B326" s="7">
        <v>4.3543067009528501E-2</v>
      </c>
      <c r="C326" s="7">
        <v>7.7054178620260594E-2</v>
      </c>
      <c r="D326" s="7">
        <v>15000</v>
      </c>
      <c r="E326" s="7" t="s">
        <v>6</v>
      </c>
      <c r="F326" s="7">
        <v>19.72</v>
      </c>
      <c r="G326" s="7">
        <v>0</v>
      </c>
      <c r="H326" s="7">
        <v>19224.91</v>
      </c>
      <c r="I326" s="7">
        <v>0</v>
      </c>
    </row>
    <row r="327" spans="1:9" x14ac:dyDescent="0.2">
      <c r="A327" s="7">
        <v>24336</v>
      </c>
      <c r="B327" s="7">
        <v>3.2889260414941002E-2</v>
      </c>
      <c r="C327" s="7">
        <v>8.4798680815203503E-2</v>
      </c>
      <c r="D327" s="7">
        <v>25000</v>
      </c>
      <c r="E327" s="7" t="s">
        <v>6</v>
      </c>
      <c r="F327" s="7">
        <v>17.760000000000002</v>
      </c>
      <c r="G327" s="7">
        <v>0</v>
      </c>
      <c r="H327" s="7">
        <v>28037.197809226898</v>
      </c>
      <c r="I327" s="7">
        <v>0</v>
      </c>
    </row>
    <row r="328" spans="1:9" x14ac:dyDescent="0.2">
      <c r="A328" s="7">
        <v>45139</v>
      </c>
      <c r="B328" s="7">
        <v>3.4950057229221801E-2</v>
      </c>
      <c r="C328" s="7">
        <v>8.1509172207196695E-2</v>
      </c>
      <c r="D328" s="7">
        <v>10000</v>
      </c>
      <c r="E328" s="7" t="s">
        <v>5</v>
      </c>
      <c r="F328" s="7">
        <v>13.68</v>
      </c>
      <c r="G328" s="7">
        <v>0</v>
      </c>
      <c r="H328" s="7">
        <v>11425.3561007345</v>
      </c>
      <c r="I328" s="7">
        <v>0</v>
      </c>
    </row>
    <row r="329" spans="1:9" x14ac:dyDescent="0.2">
      <c r="A329" s="7">
        <v>126103</v>
      </c>
      <c r="B329" s="7">
        <v>-3.4166487872679301E-3</v>
      </c>
      <c r="C329" s="7">
        <v>8.4798680815203503E-2</v>
      </c>
      <c r="D329" s="7">
        <v>21000</v>
      </c>
      <c r="E329" s="7" t="s">
        <v>6</v>
      </c>
      <c r="F329" s="7">
        <v>19.72</v>
      </c>
      <c r="G329" s="7">
        <v>1</v>
      </c>
      <c r="H329" s="7">
        <v>7142.95</v>
      </c>
      <c r="I329" s="7">
        <v>1064.57</v>
      </c>
    </row>
    <row r="330" spans="1:9" x14ac:dyDescent="0.2">
      <c r="A330" s="7">
        <v>13631</v>
      </c>
      <c r="B330" s="7">
        <v>1.19006314779027E-2</v>
      </c>
      <c r="C330" s="7">
        <v>7.4974238972806501E-2</v>
      </c>
      <c r="D330" s="7">
        <v>14000</v>
      </c>
      <c r="E330" s="7" t="s">
        <v>8</v>
      </c>
      <c r="F330" s="7">
        <v>12.99</v>
      </c>
      <c r="G330" s="7">
        <v>1</v>
      </c>
      <c r="H330" s="7">
        <v>8209.57</v>
      </c>
      <c r="I330" s="7">
        <v>1845.28</v>
      </c>
    </row>
    <row r="331" spans="1:9" x14ac:dyDescent="0.2">
      <c r="A331" s="7">
        <v>73432</v>
      </c>
      <c r="B331" s="7">
        <v>2.44668358509809E-2</v>
      </c>
      <c r="C331" s="7">
        <v>8.1509172207196695E-2</v>
      </c>
      <c r="D331" s="7">
        <v>11625</v>
      </c>
      <c r="E331" s="7" t="s">
        <v>8</v>
      </c>
      <c r="F331" s="7">
        <v>11.14</v>
      </c>
      <c r="G331" s="7">
        <v>0</v>
      </c>
      <c r="H331" s="7">
        <v>13356.789995668199</v>
      </c>
      <c r="I331" s="7">
        <v>0</v>
      </c>
    </row>
    <row r="332" spans="1:9" x14ac:dyDescent="0.2">
      <c r="A332" s="7">
        <v>70111</v>
      </c>
      <c r="B332" s="7">
        <v>2.8979222413059402E-2</v>
      </c>
      <c r="C332" s="7">
        <v>8.1509172207196695E-2</v>
      </c>
      <c r="D332" s="7">
        <v>16000</v>
      </c>
      <c r="E332" s="7" t="s">
        <v>8</v>
      </c>
      <c r="F332" s="7">
        <v>11.14</v>
      </c>
      <c r="G332" s="7">
        <v>0</v>
      </c>
      <c r="H332" s="7">
        <v>17938.548251342301</v>
      </c>
      <c r="I332" s="7">
        <v>0</v>
      </c>
    </row>
    <row r="333" spans="1:9" x14ac:dyDescent="0.2">
      <c r="A333" s="7">
        <v>30280</v>
      </c>
      <c r="B333" s="7">
        <v>2.1962148246055701E-2</v>
      </c>
      <c r="C333" s="7">
        <v>8.1509172207196695E-2</v>
      </c>
      <c r="D333" s="7">
        <v>7000</v>
      </c>
      <c r="E333" s="7" t="s">
        <v>5</v>
      </c>
      <c r="F333" s="7">
        <v>13.68</v>
      </c>
      <c r="G333" s="7">
        <v>0</v>
      </c>
      <c r="H333" s="7">
        <v>8541.84</v>
      </c>
      <c r="I333" s="7">
        <v>0</v>
      </c>
    </row>
    <row r="334" spans="1:9" x14ac:dyDescent="0.2">
      <c r="A334" s="7">
        <v>135438</v>
      </c>
      <c r="B334" s="7">
        <v>1.45999278911774E-2</v>
      </c>
      <c r="C334" s="7">
        <v>8.1509172207196695E-2</v>
      </c>
      <c r="D334" s="7">
        <v>6000</v>
      </c>
      <c r="E334" s="7" t="s">
        <v>4</v>
      </c>
      <c r="F334" s="7">
        <v>7.9</v>
      </c>
      <c r="G334" s="7">
        <v>0</v>
      </c>
      <c r="H334" s="7">
        <v>6715.1367848135997</v>
      </c>
      <c r="I334" s="7">
        <v>0</v>
      </c>
    </row>
    <row r="335" spans="1:9" x14ac:dyDescent="0.2">
      <c r="A335" s="7">
        <v>11804</v>
      </c>
      <c r="B335" s="7">
        <v>7.5314721481266099E-3</v>
      </c>
      <c r="C335" s="7">
        <v>7.7054178620260594E-2</v>
      </c>
      <c r="D335" s="7">
        <v>18000</v>
      </c>
      <c r="E335" s="7" t="s">
        <v>6</v>
      </c>
      <c r="F335" s="7">
        <v>20.2</v>
      </c>
      <c r="G335" s="7">
        <v>1</v>
      </c>
      <c r="H335" s="7">
        <v>7584.3</v>
      </c>
      <c r="I335" s="7">
        <v>2319.34</v>
      </c>
    </row>
    <row r="336" spans="1:9" x14ac:dyDescent="0.2">
      <c r="A336" s="7">
        <v>14878</v>
      </c>
      <c r="B336" s="7">
        <v>3.1814444177186103E-2</v>
      </c>
      <c r="C336" s="7">
        <v>5.3944556304700297E-2</v>
      </c>
      <c r="D336" s="7">
        <v>28000</v>
      </c>
      <c r="E336" s="7" t="s">
        <v>4</v>
      </c>
      <c r="F336" s="7">
        <v>8.9</v>
      </c>
      <c r="G336" s="7">
        <v>0</v>
      </c>
      <c r="H336" s="7">
        <v>30878.959974077701</v>
      </c>
      <c r="I336" s="7">
        <v>0</v>
      </c>
    </row>
    <row r="337" spans="1:9" x14ac:dyDescent="0.2">
      <c r="A337" s="7">
        <v>143540</v>
      </c>
      <c r="B337" s="7">
        <v>2.6019057713280301E-2</v>
      </c>
      <c r="C337" s="7">
        <v>8.4798680815203503E-2</v>
      </c>
      <c r="D337" s="7">
        <v>20000</v>
      </c>
      <c r="E337" s="7" t="s">
        <v>5</v>
      </c>
      <c r="F337" s="7">
        <v>14.65</v>
      </c>
      <c r="G337" s="7">
        <v>1</v>
      </c>
      <c r="H337" s="7">
        <v>3446.2</v>
      </c>
      <c r="I337" s="7">
        <v>0</v>
      </c>
    </row>
    <row r="338" spans="1:9" x14ac:dyDescent="0.2">
      <c r="A338" s="7">
        <v>92936</v>
      </c>
      <c r="B338" s="7">
        <v>3.0801242794223301E-2</v>
      </c>
      <c r="C338" s="7">
        <v>7.7054178620260594E-2</v>
      </c>
      <c r="D338" s="7">
        <v>20000</v>
      </c>
      <c r="E338" s="7" t="s">
        <v>8</v>
      </c>
      <c r="F338" s="7">
        <v>12.12</v>
      </c>
      <c r="G338" s="7">
        <v>0</v>
      </c>
      <c r="H338" s="7">
        <v>21803.7165980032</v>
      </c>
      <c r="I338" s="7">
        <v>0</v>
      </c>
    </row>
    <row r="339" spans="1:9" x14ac:dyDescent="0.2">
      <c r="A339" s="7">
        <v>15603</v>
      </c>
      <c r="B339" s="7">
        <v>2.2405029217045E-2</v>
      </c>
      <c r="C339" s="7">
        <v>5.3944556304700297E-2</v>
      </c>
      <c r="D339" s="7">
        <v>24000</v>
      </c>
      <c r="E339" s="7" t="s">
        <v>4</v>
      </c>
      <c r="F339" s="7">
        <v>7.9</v>
      </c>
      <c r="G339" s="7">
        <v>0</v>
      </c>
      <c r="H339" s="7">
        <v>26557.570017896702</v>
      </c>
      <c r="I339" s="7">
        <v>0</v>
      </c>
    </row>
    <row r="340" spans="1:9" x14ac:dyDescent="0.2">
      <c r="A340" s="7">
        <v>90885</v>
      </c>
      <c r="B340" s="7">
        <v>3.5430321000964798E-2</v>
      </c>
      <c r="C340" s="7">
        <v>8.1509172207196695E-2</v>
      </c>
      <c r="D340" s="7">
        <v>5300</v>
      </c>
      <c r="E340" s="7" t="s">
        <v>6</v>
      </c>
      <c r="F340" s="7">
        <v>17.77</v>
      </c>
      <c r="G340" s="7">
        <v>0</v>
      </c>
      <c r="H340" s="7">
        <v>5600.6543118106001</v>
      </c>
      <c r="I340" s="7">
        <v>0</v>
      </c>
    </row>
    <row r="341" spans="1:9" x14ac:dyDescent="0.2">
      <c r="A341" s="7">
        <v>5814</v>
      </c>
      <c r="B341" s="7">
        <v>3.6663272884190599E-2</v>
      </c>
      <c r="C341" s="7">
        <v>7.4974238972806501E-2</v>
      </c>
      <c r="D341" s="7">
        <v>10000</v>
      </c>
      <c r="E341" s="7" t="s">
        <v>5</v>
      </c>
      <c r="F341" s="7">
        <v>15.61</v>
      </c>
      <c r="G341" s="7">
        <v>0</v>
      </c>
      <c r="H341" s="7">
        <v>12238.66</v>
      </c>
      <c r="I341" s="7">
        <v>0</v>
      </c>
    </row>
    <row r="342" spans="1:9" x14ac:dyDescent="0.2">
      <c r="A342" s="7">
        <v>121970</v>
      </c>
      <c r="B342" s="7">
        <v>3.4773625468536101E-2</v>
      </c>
      <c r="C342" s="7">
        <v>8.1509172207196695E-2</v>
      </c>
      <c r="D342" s="7">
        <v>10000</v>
      </c>
      <c r="E342" s="7" t="s">
        <v>5</v>
      </c>
      <c r="F342" s="7">
        <v>14.33</v>
      </c>
      <c r="G342" s="7">
        <v>0</v>
      </c>
      <c r="H342" s="7">
        <v>12187.347750524101</v>
      </c>
      <c r="I342" s="7">
        <v>0</v>
      </c>
    </row>
    <row r="343" spans="1:9" x14ac:dyDescent="0.2">
      <c r="A343" s="7">
        <v>103736</v>
      </c>
      <c r="B343" s="7">
        <v>-2.4016826193619901E-3</v>
      </c>
      <c r="C343" s="7">
        <v>7.7054178620260594E-2</v>
      </c>
      <c r="D343" s="7">
        <v>17600</v>
      </c>
      <c r="E343" s="7" t="s">
        <v>6</v>
      </c>
      <c r="F343" s="7">
        <v>19.72</v>
      </c>
      <c r="G343" s="7">
        <v>0</v>
      </c>
      <c r="H343" s="7">
        <v>26547.139999105199</v>
      </c>
      <c r="I343" s="7">
        <v>0</v>
      </c>
    </row>
    <row r="344" spans="1:9" x14ac:dyDescent="0.2">
      <c r="A344" s="7">
        <v>95659</v>
      </c>
      <c r="B344" s="7">
        <v>2.3283313852765501E-2</v>
      </c>
      <c r="C344" s="7">
        <v>8.4798680815203503E-2</v>
      </c>
      <c r="D344" s="7">
        <v>24000</v>
      </c>
      <c r="E344" s="7" t="s">
        <v>6</v>
      </c>
      <c r="F344" s="7">
        <v>19.05</v>
      </c>
      <c r="G344" s="7">
        <v>0</v>
      </c>
      <c r="H344" s="7">
        <v>31723.808486319998</v>
      </c>
      <c r="I344" s="7">
        <v>0</v>
      </c>
    </row>
    <row r="345" spans="1:9" x14ac:dyDescent="0.2">
      <c r="A345" s="7">
        <v>48235</v>
      </c>
      <c r="B345" s="7">
        <v>2.8468200798141701E-2</v>
      </c>
      <c r="C345" s="7">
        <v>7.7054178620260594E-2</v>
      </c>
      <c r="D345" s="7">
        <v>4000</v>
      </c>
      <c r="E345" s="7" t="s">
        <v>8</v>
      </c>
      <c r="F345" s="7">
        <v>14.09</v>
      </c>
      <c r="G345" s="7">
        <v>0</v>
      </c>
      <c r="H345" s="7">
        <v>4923.2700000000004</v>
      </c>
      <c r="I345" s="7">
        <v>0</v>
      </c>
    </row>
    <row r="346" spans="1:9" x14ac:dyDescent="0.2">
      <c r="A346" s="7">
        <v>123601</v>
      </c>
      <c r="B346" s="7">
        <v>1.53726333570422E-2</v>
      </c>
      <c r="C346" s="7">
        <v>7.4974238972806501E-2</v>
      </c>
      <c r="D346" s="7">
        <v>6000</v>
      </c>
      <c r="E346" s="7" t="s">
        <v>4</v>
      </c>
      <c r="F346" s="7">
        <v>6.03</v>
      </c>
      <c r="G346" s="7">
        <v>0</v>
      </c>
      <c r="H346" s="7">
        <v>6574.0521635464002</v>
      </c>
      <c r="I346" s="7">
        <v>0</v>
      </c>
    </row>
    <row r="347" spans="1:9" x14ac:dyDescent="0.2">
      <c r="A347" s="7">
        <v>112967</v>
      </c>
      <c r="B347" s="7">
        <v>2.4664721512137298E-2</v>
      </c>
      <c r="C347" s="7">
        <v>8.1509172207196695E-2</v>
      </c>
      <c r="D347" s="7">
        <v>6000</v>
      </c>
      <c r="E347" s="7" t="s">
        <v>5</v>
      </c>
      <c r="F347" s="7">
        <v>17.27</v>
      </c>
      <c r="G347" s="7">
        <v>0</v>
      </c>
      <c r="H347" s="7">
        <v>7728.6600031115004</v>
      </c>
      <c r="I347" s="7">
        <v>0</v>
      </c>
    </row>
    <row r="348" spans="1:9" x14ac:dyDescent="0.2">
      <c r="A348" s="7">
        <v>14088</v>
      </c>
      <c r="B348" s="7">
        <v>9.3607839307833401E-4</v>
      </c>
      <c r="C348" s="7">
        <v>7.7054178620260594E-2</v>
      </c>
      <c r="D348" s="7">
        <v>10000</v>
      </c>
      <c r="E348" s="7" t="s">
        <v>6</v>
      </c>
      <c r="F348" s="7">
        <v>17.760000000000002</v>
      </c>
      <c r="G348" s="7">
        <v>1</v>
      </c>
      <c r="H348" s="7">
        <v>6201.22</v>
      </c>
      <c r="I348" s="7">
        <v>1402.26</v>
      </c>
    </row>
    <row r="349" spans="1:9" x14ac:dyDescent="0.2">
      <c r="A349" s="7">
        <v>140675</v>
      </c>
      <c r="B349" s="7">
        <v>2.8860767414334999E-2</v>
      </c>
      <c r="C349" s="7">
        <v>7.7054178620260594E-2</v>
      </c>
      <c r="D349" s="7">
        <v>2800</v>
      </c>
      <c r="E349" s="7" t="s">
        <v>8</v>
      </c>
      <c r="F349" s="7">
        <v>10.74</v>
      </c>
      <c r="G349" s="7">
        <v>0</v>
      </c>
      <c r="H349" s="7">
        <v>3287.6299993184002</v>
      </c>
      <c r="I349" s="7">
        <v>0</v>
      </c>
    </row>
    <row r="350" spans="1:9" x14ac:dyDescent="0.2">
      <c r="A350" s="7">
        <v>142073</v>
      </c>
      <c r="B350" s="7">
        <v>3.0363383386755399E-2</v>
      </c>
      <c r="C350" s="7">
        <v>8.1509172207196695E-2</v>
      </c>
      <c r="D350" s="7">
        <v>7500</v>
      </c>
      <c r="E350" s="7" t="s">
        <v>8</v>
      </c>
      <c r="F350" s="7">
        <v>12.42</v>
      </c>
      <c r="G350" s="7">
        <v>1</v>
      </c>
      <c r="H350" s="7">
        <v>8422.6299999999992</v>
      </c>
      <c r="I350" s="7">
        <v>150.76</v>
      </c>
    </row>
    <row r="351" spans="1:9" x14ac:dyDescent="0.2">
      <c r="A351" s="7">
        <v>132154</v>
      </c>
      <c r="B351" s="7">
        <v>8.8014932027528393E-3</v>
      </c>
      <c r="C351" s="7">
        <v>8.4798680815203503E-2</v>
      </c>
      <c r="D351" s="7">
        <v>18000</v>
      </c>
      <c r="E351" s="7" t="s">
        <v>7</v>
      </c>
      <c r="F351" s="7">
        <v>20.5</v>
      </c>
      <c r="G351" s="7">
        <v>0</v>
      </c>
      <c r="H351" s="7">
        <v>26508.3700127628</v>
      </c>
      <c r="I351" s="7">
        <v>0</v>
      </c>
    </row>
    <row r="352" spans="1:9" x14ac:dyDescent="0.2">
      <c r="A352" s="7">
        <v>14025</v>
      </c>
      <c r="B352" s="7">
        <v>3.9350434315931299E-2</v>
      </c>
      <c r="C352" s="7">
        <v>7.7054178620260594E-2</v>
      </c>
      <c r="D352" s="7">
        <v>13000</v>
      </c>
      <c r="E352" s="7" t="s">
        <v>8</v>
      </c>
      <c r="F352" s="7">
        <v>13.67</v>
      </c>
      <c r="G352" s="7">
        <v>0</v>
      </c>
      <c r="H352" s="7">
        <v>15276.92</v>
      </c>
      <c r="I352" s="7">
        <v>0</v>
      </c>
    </row>
    <row r="353" spans="1:9" x14ac:dyDescent="0.2">
      <c r="A353" s="7">
        <v>84541</v>
      </c>
      <c r="B353" s="7">
        <v>2.9955281198129201E-2</v>
      </c>
      <c r="C353" s="7">
        <v>7.4974238972806501E-2</v>
      </c>
      <c r="D353" s="7">
        <v>10050</v>
      </c>
      <c r="E353" s="7" t="s">
        <v>5</v>
      </c>
      <c r="F353" s="7">
        <v>14.33</v>
      </c>
      <c r="G353" s="7">
        <v>0</v>
      </c>
      <c r="H353" s="7">
        <v>10622.989200391999</v>
      </c>
      <c r="I353" s="7">
        <v>0</v>
      </c>
    </row>
    <row r="354" spans="1:9" x14ac:dyDescent="0.2">
      <c r="A354" s="7">
        <v>142042</v>
      </c>
      <c r="B354" s="7">
        <v>2.86551626862609E-2</v>
      </c>
      <c r="C354" s="7">
        <v>8.1509172207196695E-2</v>
      </c>
      <c r="D354" s="7">
        <v>7000</v>
      </c>
      <c r="E354" s="7" t="s">
        <v>8</v>
      </c>
      <c r="F354" s="7">
        <v>10.65</v>
      </c>
      <c r="G354" s="7">
        <v>0</v>
      </c>
      <c r="H354" s="7">
        <v>7296.2392572966</v>
      </c>
      <c r="I354" s="7">
        <v>0</v>
      </c>
    </row>
    <row r="355" spans="1:9" x14ac:dyDescent="0.2">
      <c r="A355" s="7">
        <v>132956</v>
      </c>
      <c r="B355" s="7">
        <v>4.1296634989749698E-2</v>
      </c>
      <c r="C355" s="7">
        <v>8.1509172207196695E-2</v>
      </c>
      <c r="D355" s="7">
        <v>12000</v>
      </c>
      <c r="E355" s="7" t="s">
        <v>8</v>
      </c>
      <c r="F355" s="7">
        <v>13.11</v>
      </c>
      <c r="G355" s="7">
        <v>0</v>
      </c>
      <c r="H355" s="7">
        <v>13799.2412841476</v>
      </c>
      <c r="I355" s="7">
        <v>0</v>
      </c>
    </row>
    <row r="356" spans="1:9" x14ac:dyDescent="0.2">
      <c r="A356" s="7">
        <v>97521</v>
      </c>
      <c r="B356" s="7">
        <v>1.37981976209087E-3</v>
      </c>
      <c r="C356" s="7">
        <v>8.4798680815203503E-2</v>
      </c>
      <c r="D356" s="7">
        <v>27300</v>
      </c>
      <c r="E356" s="7" t="s">
        <v>7</v>
      </c>
      <c r="F356" s="7">
        <v>21.98</v>
      </c>
      <c r="G356" s="7">
        <v>0</v>
      </c>
      <c r="H356" s="7">
        <v>41406.809933693403</v>
      </c>
      <c r="I356" s="7">
        <v>0</v>
      </c>
    </row>
    <row r="357" spans="1:9" x14ac:dyDescent="0.2">
      <c r="A357" s="7">
        <v>130998</v>
      </c>
      <c r="B357" s="7">
        <v>6.8250705933196104E-3</v>
      </c>
      <c r="C357" s="7">
        <v>7.4974238972806501E-2</v>
      </c>
      <c r="D357" s="7">
        <v>5000</v>
      </c>
      <c r="E357" s="7" t="s">
        <v>8</v>
      </c>
      <c r="F357" s="7">
        <v>12.12</v>
      </c>
      <c r="G357" s="7">
        <v>0</v>
      </c>
      <c r="H357" s="7">
        <v>6571.8817837915003</v>
      </c>
      <c r="I357" s="7">
        <v>0</v>
      </c>
    </row>
    <row r="358" spans="1:9" x14ac:dyDescent="0.2">
      <c r="A358" s="7">
        <v>103663</v>
      </c>
      <c r="B358" s="7">
        <v>2.7585018583893901E-2</v>
      </c>
      <c r="C358" s="7">
        <v>8.1509172207196695E-2</v>
      </c>
      <c r="D358" s="7">
        <v>11000</v>
      </c>
      <c r="E358" s="7" t="s">
        <v>8</v>
      </c>
      <c r="F358" s="7">
        <v>12.12</v>
      </c>
      <c r="G358" s="7">
        <v>0</v>
      </c>
      <c r="H358" s="7">
        <v>13218.0000040385</v>
      </c>
      <c r="I358" s="7">
        <v>0</v>
      </c>
    </row>
    <row r="359" spans="1:9" x14ac:dyDescent="0.2">
      <c r="A359" s="7">
        <v>50403</v>
      </c>
      <c r="B359" s="7">
        <v>1.8459338388632E-2</v>
      </c>
      <c r="C359" s="7">
        <v>8.1509172207196695E-2</v>
      </c>
      <c r="D359" s="7">
        <v>9000</v>
      </c>
      <c r="E359" s="7" t="s">
        <v>4</v>
      </c>
      <c r="F359" s="7">
        <v>6.03</v>
      </c>
      <c r="G359" s="7">
        <v>0</v>
      </c>
      <c r="H359" s="7">
        <v>9861.1117806833008</v>
      </c>
      <c r="I359" s="7">
        <v>0</v>
      </c>
    </row>
    <row r="360" spans="1:9" x14ac:dyDescent="0.2">
      <c r="A360" s="7">
        <v>22856</v>
      </c>
      <c r="B360" s="7">
        <v>3.88133733051352E-2</v>
      </c>
      <c r="C360" s="7">
        <v>7.7054178620260594E-2</v>
      </c>
      <c r="D360" s="7">
        <v>8000</v>
      </c>
      <c r="E360" s="7" t="s">
        <v>5</v>
      </c>
      <c r="F360" s="7">
        <v>15.61</v>
      </c>
      <c r="G360" s="7">
        <v>0</v>
      </c>
      <c r="H360" s="7">
        <v>9810.5000000001</v>
      </c>
      <c r="I360" s="7">
        <v>0</v>
      </c>
    </row>
    <row r="361" spans="1:9" x14ac:dyDescent="0.2">
      <c r="A361" s="7">
        <v>93287</v>
      </c>
      <c r="B361" s="7">
        <v>1.3668260068803499E-2</v>
      </c>
      <c r="C361" s="7">
        <v>8.4798680815203503E-2</v>
      </c>
      <c r="D361" s="7">
        <v>21725</v>
      </c>
      <c r="E361" s="7" t="s">
        <v>7</v>
      </c>
      <c r="F361" s="7">
        <v>21</v>
      </c>
      <c r="G361" s="7">
        <v>0</v>
      </c>
      <c r="H361" s="7">
        <v>27904.672593918502</v>
      </c>
      <c r="I361" s="7">
        <v>0</v>
      </c>
    </row>
    <row r="362" spans="1:9" x14ac:dyDescent="0.2">
      <c r="A362" s="7">
        <v>67378</v>
      </c>
      <c r="B362" s="7">
        <v>3.8999728676343798E-2</v>
      </c>
      <c r="C362" s="7">
        <v>5.3944556304700297E-2</v>
      </c>
      <c r="D362" s="7">
        <v>35000</v>
      </c>
      <c r="E362" s="7" t="s">
        <v>5</v>
      </c>
      <c r="F362" s="7">
        <v>14.33</v>
      </c>
      <c r="G362" s="7">
        <v>0</v>
      </c>
      <c r="H362" s="7">
        <v>37107.665551331098</v>
      </c>
      <c r="I362" s="7">
        <v>0</v>
      </c>
    </row>
    <row r="363" spans="1:9" x14ac:dyDescent="0.2">
      <c r="A363" s="7">
        <v>3054</v>
      </c>
      <c r="B363" s="7">
        <v>3.5535703184424602E-2</v>
      </c>
      <c r="C363" s="7">
        <v>5.3944556304700297E-2</v>
      </c>
      <c r="D363" s="7">
        <v>22000</v>
      </c>
      <c r="E363" s="7" t="s">
        <v>8</v>
      </c>
      <c r="F363" s="7">
        <v>13.53</v>
      </c>
      <c r="G363" s="7">
        <v>0</v>
      </c>
      <c r="H363" s="7">
        <v>25816.459999618699</v>
      </c>
      <c r="I363" s="7">
        <v>0</v>
      </c>
    </row>
    <row r="364" spans="1:9" x14ac:dyDescent="0.2">
      <c r="A364" s="7">
        <v>108341</v>
      </c>
      <c r="B364" s="7">
        <v>1.9931707882301499E-2</v>
      </c>
      <c r="C364" s="7">
        <v>5.3944556304700297E-2</v>
      </c>
      <c r="D364" s="7">
        <v>20125</v>
      </c>
      <c r="E364" s="7" t="s">
        <v>4</v>
      </c>
      <c r="F364" s="7">
        <v>7.62</v>
      </c>
      <c r="G364" s="7">
        <v>0</v>
      </c>
      <c r="H364" s="7">
        <v>20732.331963295699</v>
      </c>
      <c r="I364" s="7">
        <v>0</v>
      </c>
    </row>
    <row r="365" spans="1:9" x14ac:dyDescent="0.2">
      <c r="A365" s="7">
        <v>124770</v>
      </c>
      <c r="B365" s="7">
        <v>1.3988217562054499E-2</v>
      </c>
      <c r="C365" s="7">
        <v>8.1509172207196695E-2</v>
      </c>
      <c r="D365" s="7">
        <v>10000</v>
      </c>
      <c r="E365" s="7" t="s">
        <v>4</v>
      </c>
      <c r="F365" s="7">
        <v>7.62</v>
      </c>
      <c r="G365" s="7">
        <v>0</v>
      </c>
      <c r="H365" s="7">
        <v>10125.553231690001</v>
      </c>
      <c r="I365" s="7">
        <v>0</v>
      </c>
    </row>
    <row r="366" spans="1:9" x14ac:dyDescent="0.2">
      <c r="A366" s="7">
        <v>72458</v>
      </c>
      <c r="B366" s="7">
        <v>2.8384688251515199E-2</v>
      </c>
      <c r="C366" s="7">
        <v>8.1509172207196695E-2</v>
      </c>
      <c r="D366" s="7">
        <v>3350</v>
      </c>
      <c r="E366" s="7" t="s">
        <v>5</v>
      </c>
      <c r="F366" s="7">
        <v>15.31</v>
      </c>
      <c r="G366" s="7">
        <v>1</v>
      </c>
      <c r="H366" s="7">
        <v>3132.33</v>
      </c>
      <c r="I366" s="7">
        <v>216.53</v>
      </c>
    </row>
    <row r="367" spans="1:9" x14ac:dyDescent="0.2">
      <c r="A367" s="7">
        <v>38535</v>
      </c>
      <c r="B367" s="7">
        <v>3.7515970978508298E-2</v>
      </c>
      <c r="C367" s="7">
        <v>5.3944556304700297E-2</v>
      </c>
      <c r="D367" s="7">
        <v>28000</v>
      </c>
      <c r="E367" s="7" t="s">
        <v>8</v>
      </c>
      <c r="F367" s="7">
        <v>12.35</v>
      </c>
      <c r="G367" s="7">
        <v>0</v>
      </c>
      <c r="H367" s="7">
        <v>33100.949990308298</v>
      </c>
      <c r="I367" s="7">
        <v>0</v>
      </c>
    </row>
    <row r="368" spans="1:9" x14ac:dyDescent="0.2">
      <c r="A368" s="7">
        <v>120988</v>
      </c>
      <c r="B368" s="7">
        <v>3.3310477526766101E-2</v>
      </c>
      <c r="C368" s="7">
        <v>7.4974238972806501E-2</v>
      </c>
      <c r="D368" s="7">
        <v>15000</v>
      </c>
      <c r="E368" s="7" t="s">
        <v>8</v>
      </c>
      <c r="F368" s="7">
        <v>14.09</v>
      </c>
      <c r="G368" s="7">
        <v>0</v>
      </c>
      <c r="H368" s="7">
        <v>18479.460011134299</v>
      </c>
      <c r="I368" s="7">
        <v>0</v>
      </c>
    </row>
    <row r="369" spans="1:9" x14ac:dyDescent="0.2">
      <c r="A369" s="7">
        <v>46259</v>
      </c>
      <c r="B369" s="7">
        <v>2.6949065036481999E-4</v>
      </c>
      <c r="C369" s="7">
        <v>8.4798680815203503E-2</v>
      </c>
      <c r="D369" s="7">
        <v>26375</v>
      </c>
      <c r="E369" s="7" t="s">
        <v>6</v>
      </c>
      <c r="F369" s="7">
        <v>17.559999999999999</v>
      </c>
      <c r="G369" s="7">
        <v>1</v>
      </c>
      <c r="H369" s="7">
        <v>19272.759999999998</v>
      </c>
      <c r="I369" s="7">
        <v>3369.32</v>
      </c>
    </row>
    <row r="370" spans="1:9" x14ac:dyDescent="0.2">
      <c r="A370" s="7">
        <v>138416</v>
      </c>
      <c r="B370" s="7">
        <v>3.1029517478540498E-2</v>
      </c>
      <c r="C370" s="7">
        <v>7.4974238972806501E-2</v>
      </c>
      <c r="D370" s="7">
        <v>6950</v>
      </c>
      <c r="E370" s="7" t="s">
        <v>8</v>
      </c>
      <c r="F370" s="7">
        <v>12.12</v>
      </c>
      <c r="G370" s="7">
        <v>0</v>
      </c>
      <c r="H370" s="7">
        <v>8324.5599994531003</v>
      </c>
      <c r="I370" s="7">
        <v>0</v>
      </c>
    </row>
    <row r="371" spans="1:9" x14ac:dyDescent="0.2">
      <c r="A371" s="7">
        <v>83303</v>
      </c>
      <c r="B371" s="7">
        <v>4.0444604400650001E-2</v>
      </c>
      <c r="C371" s="7">
        <v>8.4798680815203503E-2</v>
      </c>
      <c r="D371" s="7">
        <v>35000</v>
      </c>
      <c r="E371" s="7" t="s">
        <v>5</v>
      </c>
      <c r="F371" s="7">
        <v>15.8</v>
      </c>
      <c r="G371" s="7">
        <v>0</v>
      </c>
      <c r="H371" s="7">
        <v>44173.481813979401</v>
      </c>
      <c r="I371" s="7">
        <v>0</v>
      </c>
    </row>
    <row r="372" spans="1:9" x14ac:dyDescent="0.2">
      <c r="A372" s="7">
        <v>125360</v>
      </c>
      <c r="B372" s="7">
        <v>4.0945699325999403E-2</v>
      </c>
      <c r="C372" s="7">
        <v>5.3944556304700297E-2</v>
      </c>
      <c r="D372" s="7">
        <v>14000</v>
      </c>
      <c r="E372" s="7" t="s">
        <v>8</v>
      </c>
      <c r="F372" s="7">
        <v>13.11</v>
      </c>
      <c r="G372" s="7">
        <v>0</v>
      </c>
      <c r="H372" s="7">
        <v>16350.211757081301</v>
      </c>
      <c r="I372" s="7">
        <v>0</v>
      </c>
    </row>
    <row r="373" spans="1:9" x14ac:dyDescent="0.2">
      <c r="A373" s="7">
        <v>110068</v>
      </c>
      <c r="B373" s="7">
        <v>3.6519795300566697E-2</v>
      </c>
      <c r="C373" s="7">
        <v>7.4974238972806501E-2</v>
      </c>
      <c r="D373" s="7">
        <v>10000</v>
      </c>
      <c r="E373" s="7" t="s">
        <v>5</v>
      </c>
      <c r="F373" s="7">
        <v>15.8</v>
      </c>
      <c r="G373" s="7">
        <v>0</v>
      </c>
      <c r="H373" s="7">
        <v>10510.084594546999</v>
      </c>
      <c r="I373" s="7">
        <v>0</v>
      </c>
    </row>
    <row r="374" spans="1:9" x14ac:dyDescent="0.2">
      <c r="A374" s="7">
        <v>143563</v>
      </c>
      <c r="B374" s="7">
        <v>2.9713224302454801E-2</v>
      </c>
      <c r="C374" s="7">
        <v>7.4974238972806501E-2</v>
      </c>
      <c r="D374" s="7">
        <v>13700</v>
      </c>
      <c r="E374" s="7" t="s">
        <v>8</v>
      </c>
      <c r="F374" s="7">
        <v>12.42</v>
      </c>
      <c r="G374" s="7">
        <v>0</v>
      </c>
      <c r="H374" s="7">
        <v>16230.246208001299</v>
      </c>
      <c r="I374" s="7">
        <v>0</v>
      </c>
    </row>
    <row r="375" spans="1:9" x14ac:dyDescent="0.2">
      <c r="A375" s="7">
        <v>90941</v>
      </c>
      <c r="B375" s="7">
        <v>2.9104363294817401E-2</v>
      </c>
      <c r="C375" s="7">
        <v>8.4798680815203503E-2</v>
      </c>
      <c r="D375" s="7">
        <v>35000</v>
      </c>
      <c r="E375" s="7" t="s">
        <v>8</v>
      </c>
      <c r="F375" s="7">
        <v>13.11</v>
      </c>
      <c r="G375" s="7">
        <v>0</v>
      </c>
      <c r="H375" s="7">
        <v>42121.829989313803</v>
      </c>
      <c r="I375" s="7">
        <v>0</v>
      </c>
    </row>
    <row r="376" spans="1:9" x14ac:dyDescent="0.2">
      <c r="A376" s="7">
        <v>1233</v>
      </c>
      <c r="B376" s="7">
        <v>-8.9294676562682203E-3</v>
      </c>
      <c r="C376" s="7">
        <v>8.1509172207196695E-2</v>
      </c>
      <c r="D376" s="7">
        <v>15875</v>
      </c>
      <c r="E376" s="7" t="s">
        <v>9</v>
      </c>
      <c r="F376" s="7">
        <v>25.89</v>
      </c>
      <c r="G376" s="7">
        <v>0</v>
      </c>
      <c r="H376" s="7">
        <v>20684.22</v>
      </c>
      <c r="I376" s="7">
        <v>0</v>
      </c>
    </row>
    <row r="377" spans="1:9" x14ac:dyDescent="0.2">
      <c r="A377" s="7">
        <v>133909</v>
      </c>
      <c r="B377" s="7">
        <v>1.3943530793873501E-2</v>
      </c>
      <c r="C377" s="7">
        <v>7.4974238972806501E-2</v>
      </c>
      <c r="D377" s="7">
        <v>10500</v>
      </c>
      <c r="E377" s="7" t="s">
        <v>4</v>
      </c>
      <c r="F377" s="7">
        <v>6.03</v>
      </c>
      <c r="G377" s="7">
        <v>0</v>
      </c>
      <c r="H377" s="7">
        <v>11504.6080530987</v>
      </c>
      <c r="I377" s="7">
        <v>0</v>
      </c>
    </row>
    <row r="378" spans="1:9" x14ac:dyDescent="0.2">
      <c r="A378" s="7">
        <v>51825</v>
      </c>
      <c r="B378" s="7">
        <v>3.3823030466135801E-2</v>
      </c>
      <c r="C378" s="7">
        <v>7.7054178620260594E-2</v>
      </c>
      <c r="D378" s="7">
        <v>12000</v>
      </c>
      <c r="E378" s="7" t="s">
        <v>8</v>
      </c>
      <c r="F378" s="7">
        <v>12.12</v>
      </c>
      <c r="G378" s="7">
        <v>0</v>
      </c>
      <c r="H378" s="7">
        <v>14373.353093551599</v>
      </c>
      <c r="I378" s="7">
        <v>0</v>
      </c>
    </row>
    <row r="379" spans="1:9" x14ac:dyDescent="0.2">
      <c r="A379" s="7">
        <v>32208</v>
      </c>
      <c r="B379" s="7">
        <v>2.7861554849127598E-2</v>
      </c>
      <c r="C379" s="7">
        <v>7.7054178620260594E-2</v>
      </c>
      <c r="D379" s="7">
        <v>8000</v>
      </c>
      <c r="E379" s="7" t="s">
        <v>6</v>
      </c>
      <c r="F379" s="7">
        <v>17.559999999999999</v>
      </c>
      <c r="G379" s="7">
        <v>0</v>
      </c>
      <c r="H379" s="7">
        <v>8141.4002528591</v>
      </c>
      <c r="I379" s="7">
        <v>0</v>
      </c>
    </row>
    <row r="380" spans="1:9" x14ac:dyDescent="0.2">
      <c r="A380" s="7">
        <v>109205</v>
      </c>
      <c r="B380" s="7">
        <v>2.18198974021479E-2</v>
      </c>
      <c r="C380" s="7">
        <v>8.1509172207196695E-2</v>
      </c>
      <c r="D380" s="7">
        <v>4500</v>
      </c>
      <c r="E380" s="7" t="s">
        <v>8</v>
      </c>
      <c r="F380" s="7">
        <v>13.11</v>
      </c>
      <c r="G380" s="7">
        <v>1</v>
      </c>
      <c r="H380" s="7">
        <v>2266.0300000000002</v>
      </c>
      <c r="I380" s="7">
        <v>445.75</v>
      </c>
    </row>
    <row r="381" spans="1:9" x14ac:dyDescent="0.2">
      <c r="A381" s="7">
        <v>128880</v>
      </c>
      <c r="B381" s="7">
        <v>2.5388390748877301E-2</v>
      </c>
      <c r="C381" s="7">
        <v>8.1509172207196695E-2</v>
      </c>
      <c r="D381" s="7">
        <v>6500</v>
      </c>
      <c r="E381" s="7" t="s">
        <v>6</v>
      </c>
      <c r="F381" s="7">
        <v>18.25</v>
      </c>
      <c r="G381" s="7">
        <v>0</v>
      </c>
      <c r="H381" s="7">
        <v>8488.9999892613996</v>
      </c>
      <c r="I381" s="7">
        <v>0</v>
      </c>
    </row>
    <row r="382" spans="1:9" x14ac:dyDescent="0.2">
      <c r="A382" s="7">
        <v>30532</v>
      </c>
      <c r="B382" s="7">
        <v>2.8750617615533301E-2</v>
      </c>
      <c r="C382" s="7">
        <v>5.3944556304700297E-2</v>
      </c>
      <c r="D382" s="7">
        <v>20000</v>
      </c>
      <c r="E382" s="7" t="s">
        <v>4</v>
      </c>
      <c r="F382" s="7">
        <v>6.03</v>
      </c>
      <c r="G382" s="7">
        <v>0</v>
      </c>
      <c r="H382" s="7">
        <v>21863.41</v>
      </c>
      <c r="I382" s="7">
        <v>0</v>
      </c>
    </row>
    <row r="383" spans="1:9" x14ac:dyDescent="0.2">
      <c r="A383" s="7">
        <v>56061</v>
      </c>
      <c r="B383" s="7">
        <v>3.1627254431420899E-2</v>
      </c>
      <c r="C383" s="7">
        <v>8.1509172207196695E-2</v>
      </c>
      <c r="D383" s="7">
        <v>3250</v>
      </c>
      <c r="E383" s="7" t="s">
        <v>6</v>
      </c>
      <c r="F383" s="7">
        <v>18.489999999999998</v>
      </c>
      <c r="G383" s="7">
        <v>1</v>
      </c>
      <c r="H383" s="7">
        <v>1435.72</v>
      </c>
      <c r="I383" s="7">
        <v>371.02</v>
      </c>
    </row>
    <row r="384" spans="1:9" x14ac:dyDescent="0.2">
      <c r="A384" s="7">
        <v>94304</v>
      </c>
      <c r="B384" s="7">
        <v>1.5057929733913501E-3</v>
      </c>
      <c r="C384" s="7">
        <v>8.4798680815203503E-2</v>
      </c>
      <c r="D384" s="7">
        <v>35000</v>
      </c>
      <c r="E384" s="7" t="s">
        <v>6</v>
      </c>
      <c r="F384" s="7">
        <v>19.72</v>
      </c>
      <c r="G384" s="7">
        <v>1</v>
      </c>
      <c r="H384" s="7">
        <v>23181.38</v>
      </c>
      <c r="I384" s="7">
        <v>3822.53</v>
      </c>
    </row>
    <row r="385" spans="1:9" x14ac:dyDescent="0.2">
      <c r="A385" s="7">
        <v>114620</v>
      </c>
      <c r="B385" s="7">
        <v>3.01059071643099E-2</v>
      </c>
      <c r="C385" s="7">
        <v>7.4974238972806501E-2</v>
      </c>
      <c r="D385" s="7">
        <v>18825</v>
      </c>
      <c r="E385" s="7" t="s">
        <v>8</v>
      </c>
      <c r="F385" s="7">
        <v>12.12</v>
      </c>
      <c r="G385" s="7">
        <v>0</v>
      </c>
      <c r="H385" s="7">
        <v>22548.191401257202</v>
      </c>
      <c r="I385" s="7">
        <v>0</v>
      </c>
    </row>
    <row r="386" spans="1:9" x14ac:dyDescent="0.2">
      <c r="A386" s="7">
        <v>30026</v>
      </c>
      <c r="B386" s="7">
        <v>3.4895416801312598E-2</v>
      </c>
      <c r="C386" s="7">
        <v>7.4974238972806501E-2</v>
      </c>
      <c r="D386" s="7">
        <v>7000</v>
      </c>
      <c r="E386" s="7" t="s">
        <v>5</v>
      </c>
      <c r="F386" s="7">
        <v>15.22</v>
      </c>
      <c r="G386" s="7">
        <v>1</v>
      </c>
      <c r="H386" s="7">
        <v>3852.8</v>
      </c>
      <c r="I386" s="7">
        <v>689.44</v>
      </c>
    </row>
    <row r="387" spans="1:9" x14ac:dyDescent="0.2">
      <c r="A387" s="7">
        <v>58853</v>
      </c>
      <c r="B387" s="7">
        <v>2.9208723466804001E-2</v>
      </c>
      <c r="C387" s="7">
        <v>7.4974238972806501E-2</v>
      </c>
      <c r="D387" s="7">
        <v>5000</v>
      </c>
      <c r="E387" s="7" t="s">
        <v>8</v>
      </c>
      <c r="F387" s="7">
        <v>11.14</v>
      </c>
      <c r="G387" s="7">
        <v>0</v>
      </c>
      <c r="H387" s="7">
        <v>5904.8792945238001</v>
      </c>
      <c r="I387" s="7">
        <v>0</v>
      </c>
    </row>
    <row r="388" spans="1:9" x14ac:dyDescent="0.2">
      <c r="A388" s="7">
        <v>98236</v>
      </c>
      <c r="B388" s="7">
        <v>3.1662324841446002E-2</v>
      </c>
      <c r="C388" s="7">
        <v>8.1509172207196695E-2</v>
      </c>
      <c r="D388" s="7">
        <v>15500</v>
      </c>
      <c r="E388" s="7" t="s">
        <v>4</v>
      </c>
      <c r="F388" s="7">
        <v>8.9</v>
      </c>
      <c r="G388" s="7">
        <v>0</v>
      </c>
      <c r="H388" s="7">
        <v>17718.265637528599</v>
      </c>
      <c r="I388" s="7">
        <v>0</v>
      </c>
    </row>
    <row r="389" spans="1:9" x14ac:dyDescent="0.2">
      <c r="A389" s="7">
        <v>23086</v>
      </c>
      <c r="B389" s="7">
        <v>-3.2307851586140998E-4</v>
      </c>
      <c r="C389" s="7">
        <v>8.1509172207196695E-2</v>
      </c>
      <c r="D389" s="7">
        <v>6000</v>
      </c>
      <c r="E389" s="7" t="s">
        <v>10</v>
      </c>
      <c r="F389" s="7">
        <v>23.7</v>
      </c>
      <c r="G389" s="7">
        <v>0</v>
      </c>
      <c r="H389" s="7">
        <v>8205.5300046349003</v>
      </c>
      <c r="I389" s="7">
        <v>0</v>
      </c>
    </row>
    <row r="390" spans="1:9" x14ac:dyDescent="0.2">
      <c r="A390" s="7">
        <v>134609</v>
      </c>
      <c r="B390" s="7">
        <v>2.9707790312032099E-2</v>
      </c>
      <c r="C390" s="7">
        <v>8.1509172207196695E-2</v>
      </c>
      <c r="D390" s="7">
        <v>9000</v>
      </c>
      <c r="E390" s="7" t="s">
        <v>5</v>
      </c>
      <c r="F390" s="7">
        <v>13.99</v>
      </c>
      <c r="G390" s="7">
        <v>0</v>
      </c>
      <c r="H390" s="7">
        <v>11052.647638713101</v>
      </c>
      <c r="I390" s="7">
        <v>0</v>
      </c>
    </row>
    <row r="391" spans="1:9" x14ac:dyDescent="0.2">
      <c r="A391" s="7">
        <v>127555</v>
      </c>
      <c r="B391" s="7">
        <v>3.2299916657817403E-2</v>
      </c>
      <c r="C391" s="7">
        <v>8.1509172207196695E-2</v>
      </c>
      <c r="D391" s="7">
        <v>9600</v>
      </c>
      <c r="E391" s="7" t="s">
        <v>5</v>
      </c>
      <c r="F391" s="7">
        <v>13.99</v>
      </c>
      <c r="G391" s="7">
        <v>0</v>
      </c>
      <c r="H391" s="7">
        <v>11569.9300420441</v>
      </c>
      <c r="I391" s="7">
        <v>0</v>
      </c>
    </row>
    <row r="392" spans="1:9" x14ac:dyDescent="0.2">
      <c r="A392" s="7">
        <v>21305</v>
      </c>
      <c r="B392" s="7">
        <v>3.82549817224749E-2</v>
      </c>
      <c r="C392" s="7">
        <v>7.4974238972806501E-2</v>
      </c>
      <c r="D392" s="7">
        <v>8875</v>
      </c>
      <c r="E392" s="7" t="s">
        <v>5</v>
      </c>
      <c r="F392" s="7">
        <v>15.1</v>
      </c>
      <c r="G392" s="7">
        <v>1</v>
      </c>
      <c r="H392" s="7">
        <v>6961.2</v>
      </c>
      <c r="I392" s="7">
        <v>800.36</v>
      </c>
    </row>
    <row r="393" spans="1:9" x14ac:dyDescent="0.2">
      <c r="A393" s="7">
        <v>31529</v>
      </c>
      <c r="B393" s="7">
        <v>3.9608382266022202E-2</v>
      </c>
      <c r="C393" s="7">
        <v>8.1509172207196695E-2</v>
      </c>
      <c r="D393" s="7">
        <v>14400</v>
      </c>
      <c r="E393" s="7" t="s">
        <v>5</v>
      </c>
      <c r="F393" s="7">
        <v>15.88</v>
      </c>
      <c r="G393" s="7">
        <v>0</v>
      </c>
      <c r="H393" s="7">
        <v>14959.13</v>
      </c>
      <c r="I393" s="7">
        <v>0</v>
      </c>
    </row>
    <row r="394" spans="1:9" x14ac:dyDescent="0.2">
      <c r="A394" s="7">
        <v>32689</v>
      </c>
      <c r="B394" s="7">
        <v>3.60068220451552E-2</v>
      </c>
      <c r="C394" s="7">
        <v>7.4974238972806501E-2</v>
      </c>
      <c r="D394" s="7">
        <v>14000</v>
      </c>
      <c r="E394" s="7" t="s">
        <v>6</v>
      </c>
      <c r="F394" s="7">
        <v>18.25</v>
      </c>
      <c r="G394" s="7">
        <v>0</v>
      </c>
      <c r="H394" s="7">
        <v>18067.620001220901</v>
      </c>
      <c r="I394" s="7">
        <v>0</v>
      </c>
    </row>
    <row r="395" spans="1:9" x14ac:dyDescent="0.2">
      <c r="A395" s="7">
        <v>50809</v>
      </c>
      <c r="B395" s="7">
        <v>4.2305934705189598E-2</v>
      </c>
      <c r="C395" s="7">
        <v>8.4798680815203503E-2</v>
      </c>
      <c r="D395" s="7">
        <v>35000</v>
      </c>
      <c r="E395" s="7" t="s">
        <v>6</v>
      </c>
      <c r="F395" s="7">
        <v>18.75</v>
      </c>
      <c r="G395" s="7">
        <v>0</v>
      </c>
      <c r="H395" s="7">
        <v>45989.499957152198</v>
      </c>
      <c r="I395" s="7">
        <v>0</v>
      </c>
    </row>
    <row r="396" spans="1:9" x14ac:dyDescent="0.2">
      <c r="A396" s="7">
        <v>52567</v>
      </c>
      <c r="B396" s="7">
        <v>2.88104522516715E-2</v>
      </c>
      <c r="C396" s="7">
        <v>7.7054178620260594E-2</v>
      </c>
      <c r="D396" s="7">
        <v>9000</v>
      </c>
      <c r="E396" s="7" t="s">
        <v>8</v>
      </c>
      <c r="F396" s="7">
        <v>10.16</v>
      </c>
      <c r="G396" s="7">
        <v>0</v>
      </c>
      <c r="H396" s="7">
        <v>10478.872512457599</v>
      </c>
      <c r="I396" s="7">
        <v>0</v>
      </c>
    </row>
    <row r="397" spans="1:9" x14ac:dyDescent="0.2">
      <c r="A397" s="7">
        <v>81924</v>
      </c>
      <c r="B397" s="7">
        <v>3.0324208373577501E-2</v>
      </c>
      <c r="C397" s="7">
        <v>7.4974238972806501E-2</v>
      </c>
      <c r="D397" s="7">
        <v>10150</v>
      </c>
      <c r="E397" s="7" t="s">
        <v>8</v>
      </c>
      <c r="F397" s="7">
        <v>12.12</v>
      </c>
      <c r="G397" s="7">
        <v>0</v>
      </c>
      <c r="H397" s="7">
        <v>10517.7428892508</v>
      </c>
      <c r="I397" s="7">
        <v>0</v>
      </c>
    </row>
    <row r="398" spans="1:9" x14ac:dyDescent="0.2">
      <c r="A398" s="7">
        <v>127623</v>
      </c>
      <c r="B398" s="7">
        <v>2.1805894146410801E-4</v>
      </c>
      <c r="C398" s="7">
        <v>8.1509172207196695E-2</v>
      </c>
      <c r="D398" s="7">
        <v>9600</v>
      </c>
      <c r="E398" s="7" t="s">
        <v>4</v>
      </c>
      <c r="F398" s="7">
        <v>7.62</v>
      </c>
      <c r="G398" s="7">
        <v>1</v>
      </c>
      <c r="H398" s="7">
        <v>1688.16</v>
      </c>
      <c r="I398" s="7">
        <v>496.12</v>
      </c>
    </row>
    <row r="399" spans="1:9" x14ac:dyDescent="0.2">
      <c r="A399" s="7">
        <v>73932</v>
      </c>
      <c r="B399" s="7">
        <v>1.7921473871110899E-2</v>
      </c>
      <c r="C399" s="7">
        <v>7.4974238972806501E-2</v>
      </c>
      <c r="D399" s="7">
        <v>11250</v>
      </c>
      <c r="E399" s="7" t="s">
        <v>4</v>
      </c>
      <c r="F399" s="7">
        <v>8.9</v>
      </c>
      <c r="G399" s="7">
        <v>0</v>
      </c>
      <c r="H399" s="7">
        <v>12860.0183644422</v>
      </c>
      <c r="I399" s="7">
        <v>0</v>
      </c>
    </row>
    <row r="400" spans="1:9" x14ac:dyDescent="0.2">
      <c r="A400" s="7">
        <v>12286</v>
      </c>
      <c r="B400" s="7">
        <v>2.1071244338625401E-2</v>
      </c>
      <c r="C400" s="7">
        <v>8.1509172207196695E-2</v>
      </c>
      <c r="D400" s="7">
        <v>10000</v>
      </c>
      <c r="E400" s="7" t="s">
        <v>5</v>
      </c>
      <c r="F400" s="7">
        <v>14.3</v>
      </c>
      <c r="G400" s="7">
        <v>0</v>
      </c>
      <c r="H400" s="7">
        <v>11504.8499999999</v>
      </c>
      <c r="I400" s="7">
        <v>0</v>
      </c>
    </row>
    <row r="401" spans="1:9" x14ac:dyDescent="0.2">
      <c r="A401" s="7">
        <v>26358</v>
      </c>
      <c r="B401" s="7">
        <v>4.0225364029455903E-2</v>
      </c>
      <c r="C401" s="7">
        <v>8.4798680815203503E-2</v>
      </c>
      <c r="D401" s="7">
        <v>35000</v>
      </c>
      <c r="E401" s="7" t="s">
        <v>5</v>
      </c>
      <c r="F401" s="7">
        <v>16.2</v>
      </c>
      <c r="G401" s="7">
        <v>0</v>
      </c>
      <c r="H401" s="7">
        <v>41813.009998832502</v>
      </c>
      <c r="I401" s="7">
        <v>0</v>
      </c>
    </row>
    <row r="402" spans="1:9" x14ac:dyDescent="0.2">
      <c r="A402" s="7">
        <v>80353</v>
      </c>
      <c r="B402" s="7">
        <v>2.7983035355241399E-2</v>
      </c>
      <c r="C402" s="7">
        <v>7.4974238972806501E-2</v>
      </c>
      <c r="D402" s="7">
        <v>5000</v>
      </c>
      <c r="E402" s="7" t="s">
        <v>8</v>
      </c>
      <c r="F402" s="7">
        <v>11.14</v>
      </c>
      <c r="G402" s="7">
        <v>0</v>
      </c>
      <c r="H402" s="7">
        <v>5904.8792945216001</v>
      </c>
      <c r="I402" s="7">
        <v>0</v>
      </c>
    </row>
    <row r="403" spans="1:9" x14ac:dyDescent="0.2">
      <c r="A403" s="7">
        <v>87726</v>
      </c>
      <c r="B403" s="7">
        <v>-3.15692916597567E-3</v>
      </c>
      <c r="C403" s="7">
        <v>8.4798680815203503E-2</v>
      </c>
      <c r="D403" s="7">
        <v>16000</v>
      </c>
      <c r="E403" s="7" t="s">
        <v>10</v>
      </c>
      <c r="F403" s="7">
        <v>23.28</v>
      </c>
      <c r="G403" s="7">
        <v>1</v>
      </c>
      <c r="H403" s="7">
        <v>13463.63</v>
      </c>
      <c r="I403" s="7">
        <v>2152.16</v>
      </c>
    </row>
    <row r="404" spans="1:9" x14ac:dyDescent="0.2">
      <c r="A404" s="7">
        <v>25060</v>
      </c>
      <c r="B404" s="7">
        <v>1.86758230109039E-3</v>
      </c>
      <c r="C404" s="7">
        <v>8.4798680815203503E-2</v>
      </c>
      <c r="D404" s="7">
        <v>25000</v>
      </c>
      <c r="E404" s="7" t="s">
        <v>7</v>
      </c>
      <c r="F404" s="7">
        <v>21.7</v>
      </c>
      <c r="G404" s="7">
        <v>1</v>
      </c>
      <c r="H404" s="7">
        <v>14410.62</v>
      </c>
      <c r="I404" s="7">
        <v>0</v>
      </c>
    </row>
    <row r="405" spans="1:9" x14ac:dyDescent="0.2">
      <c r="A405" s="7">
        <v>79554</v>
      </c>
      <c r="B405" s="7">
        <v>3.8181095078867397E-2</v>
      </c>
      <c r="C405" s="7">
        <v>7.4974238972806501E-2</v>
      </c>
      <c r="D405" s="7">
        <v>5000</v>
      </c>
      <c r="E405" s="7" t="s">
        <v>5</v>
      </c>
      <c r="F405" s="7">
        <v>17.27</v>
      </c>
      <c r="G405" s="7">
        <v>0</v>
      </c>
      <c r="H405" s="7">
        <v>6441.6640288763001</v>
      </c>
      <c r="I405" s="7">
        <v>0</v>
      </c>
    </row>
    <row r="406" spans="1:9" x14ac:dyDescent="0.2">
      <c r="A406" s="7">
        <v>130075</v>
      </c>
      <c r="B406" s="7">
        <v>2.6842156401733701E-2</v>
      </c>
      <c r="C406" s="7">
        <v>7.4974238972806501E-2</v>
      </c>
      <c r="D406" s="7">
        <v>15000</v>
      </c>
      <c r="E406" s="7" t="s">
        <v>8</v>
      </c>
      <c r="F406" s="7">
        <v>13.11</v>
      </c>
      <c r="G406" s="7">
        <v>0</v>
      </c>
      <c r="H406" s="7">
        <v>18223.320004509998</v>
      </c>
      <c r="I406" s="7">
        <v>0</v>
      </c>
    </row>
    <row r="407" spans="1:9" x14ac:dyDescent="0.2">
      <c r="A407" s="7">
        <v>25110</v>
      </c>
      <c r="B407" s="7">
        <v>3.5848384149013902E-2</v>
      </c>
      <c r="C407" s="7">
        <v>8.1509172207196695E-2</v>
      </c>
      <c r="D407" s="7">
        <v>9600</v>
      </c>
      <c r="E407" s="7" t="s">
        <v>5</v>
      </c>
      <c r="F407" s="7">
        <v>15.61</v>
      </c>
      <c r="G407" s="7">
        <v>0</v>
      </c>
      <c r="H407" s="7">
        <v>11115.280000151401</v>
      </c>
      <c r="I407" s="7">
        <v>0</v>
      </c>
    </row>
    <row r="408" spans="1:9" x14ac:dyDescent="0.2">
      <c r="A408" s="7">
        <v>135027</v>
      </c>
      <c r="B408" s="7">
        <v>-2.1609961812854499E-3</v>
      </c>
      <c r="C408" s="7">
        <v>8.4798680815203503E-2</v>
      </c>
      <c r="D408" s="7">
        <v>19500</v>
      </c>
      <c r="E408" s="7" t="s">
        <v>7</v>
      </c>
      <c r="F408" s="7">
        <v>21.48</v>
      </c>
      <c r="G408" s="7">
        <v>1</v>
      </c>
      <c r="H408" s="7">
        <v>21845.62</v>
      </c>
      <c r="I408" s="7">
        <v>25.83</v>
      </c>
    </row>
    <row r="409" spans="1:9" x14ac:dyDescent="0.2">
      <c r="A409" s="7">
        <v>39275</v>
      </c>
      <c r="B409" s="7">
        <v>2.58779377215324E-2</v>
      </c>
      <c r="C409" s="7">
        <v>5.3944556304700297E-2</v>
      </c>
      <c r="D409" s="7">
        <v>24000</v>
      </c>
      <c r="E409" s="7" t="s">
        <v>4</v>
      </c>
      <c r="F409" s="7">
        <v>8.9</v>
      </c>
      <c r="G409" s="7">
        <v>0</v>
      </c>
      <c r="H409" s="7">
        <v>26586.880022503101</v>
      </c>
      <c r="I409" s="7">
        <v>0</v>
      </c>
    </row>
    <row r="410" spans="1:9" x14ac:dyDescent="0.2">
      <c r="A410" s="7">
        <v>18456</v>
      </c>
      <c r="B410" s="7">
        <v>2.66200889111557E-2</v>
      </c>
      <c r="C410" s="7">
        <v>7.4974238972806501E-2</v>
      </c>
      <c r="D410" s="7">
        <v>10000</v>
      </c>
      <c r="E410" s="7" t="s">
        <v>8</v>
      </c>
      <c r="F410" s="7">
        <v>9.99</v>
      </c>
      <c r="G410" s="7">
        <v>0</v>
      </c>
      <c r="H410" s="7">
        <v>10676.0966738723</v>
      </c>
      <c r="I410" s="7">
        <v>0</v>
      </c>
    </row>
    <row r="411" spans="1:9" x14ac:dyDescent="0.2">
      <c r="A411" s="7">
        <v>1912</v>
      </c>
      <c r="B411" s="7">
        <v>-3.1939980812717402E-3</v>
      </c>
      <c r="C411" s="7">
        <v>7.4974238972806501E-2</v>
      </c>
      <c r="D411" s="7">
        <v>12000</v>
      </c>
      <c r="E411" s="7" t="s">
        <v>6</v>
      </c>
      <c r="F411" s="7">
        <v>17.57</v>
      </c>
      <c r="G411" s="7">
        <v>0</v>
      </c>
      <c r="H411" s="7">
        <v>14147.0799993565</v>
      </c>
      <c r="I411" s="7">
        <v>0</v>
      </c>
    </row>
    <row r="412" spans="1:9" x14ac:dyDescent="0.2">
      <c r="A412" s="7">
        <v>39121</v>
      </c>
      <c r="B412" s="7">
        <v>2.4681720512631702E-2</v>
      </c>
      <c r="C412" s="7">
        <v>8.4798680815203503E-2</v>
      </c>
      <c r="D412" s="7">
        <v>20000</v>
      </c>
      <c r="E412" s="7" t="s">
        <v>7</v>
      </c>
      <c r="F412" s="7">
        <v>20.8</v>
      </c>
      <c r="G412" s="7">
        <v>0</v>
      </c>
      <c r="H412" s="7">
        <v>25716.819999999399</v>
      </c>
      <c r="I412" s="7">
        <v>0</v>
      </c>
    </row>
    <row r="413" spans="1:9" x14ac:dyDescent="0.2">
      <c r="A413" s="7">
        <v>33596</v>
      </c>
      <c r="B413" s="7">
        <v>4.1544851487839899E-4</v>
      </c>
      <c r="C413" s="7">
        <v>8.4798680815203503E-2</v>
      </c>
      <c r="D413" s="7">
        <v>19200</v>
      </c>
      <c r="E413" s="7" t="s">
        <v>5</v>
      </c>
      <c r="F413" s="7">
        <v>15.22</v>
      </c>
      <c r="G413" s="7">
        <v>0</v>
      </c>
      <c r="H413" s="7">
        <v>19922.716241923499</v>
      </c>
      <c r="I413" s="7">
        <v>0</v>
      </c>
    </row>
    <row r="414" spans="1:9" x14ac:dyDescent="0.2">
      <c r="A414" s="7">
        <v>13503</v>
      </c>
      <c r="B414" s="7">
        <v>2.6501525005823399E-2</v>
      </c>
      <c r="C414" s="7">
        <v>5.3944556304700297E-2</v>
      </c>
      <c r="D414" s="7">
        <v>30000</v>
      </c>
      <c r="E414" s="7" t="s">
        <v>4</v>
      </c>
      <c r="F414" s="7">
        <v>7.62</v>
      </c>
      <c r="G414" s="7">
        <v>0</v>
      </c>
      <c r="H414" s="7">
        <v>32894.799978847397</v>
      </c>
      <c r="I414" s="7">
        <v>0</v>
      </c>
    </row>
    <row r="415" spans="1:9" x14ac:dyDescent="0.2">
      <c r="A415" s="7">
        <v>78824</v>
      </c>
      <c r="B415" s="7">
        <v>3.5468761252102902E-2</v>
      </c>
      <c r="C415" s="7">
        <v>7.4974238972806501E-2</v>
      </c>
      <c r="D415" s="7">
        <v>1200</v>
      </c>
      <c r="E415" s="7" t="s">
        <v>6</v>
      </c>
      <c r="F415" s="7">
        <v>19.72</v>
      </c>
      <c r="G415" s="7">
        <v>1</v>
      </c>
      <c r="H415" s="7">
        <v>1021.89</v>
      </c>
      <c r="I415" s="7">
        <v>0</v>
      </c>
    </row>
    <row r="416" spans="1:9" x14ac:dyDescent="0.2">
      <c r="A416" s="7">
        <v>63089</v>
      </c>
      <c r="B416" s="7">
        <v>2.8494526129114101E-2</v>
      </c>
      <c r="C416" s="7">
        <v>5.3944556304700297E-2</v>
      </c>
      <c r="D416" s="7">
        <v>18000</v>
      </c>
      <c r="E416" s="7" t="s">
        <v>8</v>
      </c>
      <c r="F416" s="7">
        <v>10.16</v>
      </c>
      <c r="G416" s="7">
        <v>0</v>
      </c>
      <c r="H416" s="7">
        <v>19984.0167754555</v>
      </c>
      <c r="I416" s="7">
        <v>0</v>
      </c>
    </row>
    <row r="417" spans="1:9" x14ac:dyDescent="0.2">
      <c r="A417" s="7">
        <v>23177</v>
      </c>
      <c r="B417" s="7">
        <v>1.0069507362909499E-2</v>
      </c>
      <c r="C417" s="7">
        <v>5.3944556304700297E-2</v>
      </c>
      <c r="D417" s="7">
        <v>22000</v>
      </c>
      <c r="E417" s="7" t="s">
        <v>5</v>
      </c>
      <c r="F417" s="7">
        <v>16.2</v>
      </c>
      <c r="G417" s="7">
        <v>1</v>
      </c>
      <c r="H417" s="7">
        <v>12923.19</v>
      </c>
      <c r="I417" s="7">
        <v>0</v>
      </c>
    </row>
    <row r="418" spans="1:9" x14ac:dyDescent="0.2">
      <c r="A418" s="7">
        <v>62606</v>
      </c>
      <c r="B418" s="7">
        <v>3.2545414825581397E-2</v>
      </c>
      <c r="C418" s="7">
        <v>8.4798680815203503E-2</v>
      </c>
      <c r="D418" s="7">
        <v>25000</v>
      </c>
      <c r="E418" s="7" t="s">
        <v>5</v>
      </c>
      <c r="F418" s="7">
        <v>15.31</v>
      </c>
      <c r="G418" s="7">
        <v>0</v>
      </c>
      <c r="H418" s="7">
        <v>25318.986532710998</v>
      </c>
      <c r="I418" s="7">
        <v>0</v>
      </c>
    </row>
    <row r="419" spans="1:9" x14ac:dyDescent="0.2">
      <c r="A419" s="7">
        <v>45406</v>
      </c>
      <c r="B419" s="7">
        <v>3.4397792631606999E-2</v>
      </c>
      <c r="C419" s="7">
        <v>8.1509172207196695E-2</v>
      </c>
      <c r="D419" s="7">
        <v>12300</v>
      </c>
      <c r="E419" s="7" t="s">
        <v>6</v>
      </c>
      <c r="F419" s="7">
        <v>18.850000000000001</v>
      </c>
      <c r="G419" s="7">
        <v>0</v>
      </c>
      <c r="H419" s="7">
        <v>15216.009998251</v>
      </c>
      <c r="I419" s="7">
        <v>0</v>
      </c>
    </row>
    <row r="420" spans="1:9" x14ac:dyDescent="0.2">
      <c r="A420" s="7">
        <v>59383</v>
      </c>
      <c r="B420" s="7">
        <v>1.02131548989034E-2</v>
      </c>
      <c r="C420" s="7">
        <v>7.7054178620260594E-2</v>
      </c>
      <c r="D420" s="7">
        <v>19200</v>
      </c>
      <c r="E420" s="7" t="s">
        <v>5</v>
      </c>
      <c r="F420" s="7">
        <v>17.27</v>
      </c>
      <c r="G420" s="7">
        <v>0</v>
      </c>
      <c r="H420" s="7">
        <v>23962.3199871492</v>
      </c>
      <c r="I420" s="7">
        <v>0</v>
      </c>
    </row>
    <row r="421" spans="1:9" x14ac:dyDescent="0.2">
      <c r="A421" s="7">
        <v>51980</v>
      </c>
      <c r="B421" s="7">
        <v>2.3953340169237801E-2</v>
      </c>
      <c r="C421" s="7">
        <v>7.7054178620260594E-2</v>
      </c>
      <c r="D421" s="7">
        <v>5000</v>
      </c>
      <c r="E421" s="7" t="s">
        <v>4</v>
      </c>
      <c r="F421" s="7">
        <v>8.9</v>
      </c>
      <c r="G421" s="7">
        <v>0</v>
      </c>
      <c r="H421" s="7">
        <v>5715.5580663182</v>
      </c>
      <c r="I421" s="7">
        <v>0</v>
      </c>
    </row>
    <row r="422" spans="1:9" x14ac:dyDescent="0.2">
      <c r="A422" s="7">
        <v>93263</v>
      </c>
      <c r="B422" s="7">
        <v>2.7301341831764601E-2</v>
      </c>
      <c r="C422" s="7">
        <v>7.4974238972806501E-2</v>
      </c>
      <c r="D422" s="7">
        <v>9450</v>
      </c>
      <c r="E422" s="7" t="s">
        <v>5</v>
      </c>
      <c r="F422" s="7">
        <v>15.8</v>
      </c>
      <c r="G422" s="7">
        <v>1</v>
      </c>
      <c r="H422" s="7">
        <v>8277.16</v>
      </c>
      <c r="I422" s="7">
        <v>0</v>
      </c>
    </row>
    <row r="423" spans="1:9" x14ac:dyDescent="0.2">
      <c r="A423" s="7">
        <v>1783</v>
      </c>
      <c r="B423" s="7">
        <v>3.1224851353056499E-2</v>
      </c>
      <c r="C423" s="7">
        <v>8.1509172207196695E-2</v>
      </c>
      <c r="D423" s="7">
        <v>8125</v>
      </c>
      <c r="E423" s="7" t="s">
        <v>5</v>
      </c>
      <c r="F423" s="7">
        <v>16.239999999999998</v>
      </c>
      <c r="G423" s="7">
        <v>1</v>
      </c>
      <c r="H423" s="7">
        <v>3418.35</v>
      </c>
      <c r="I423" s="7">
        <v>925.59</v>
      </c>
    </row>
    <row r="424" spans="1:9" x14ac:dyDescent="0.2">
      <c r="A424" s="7">
        <v>133977</v>
      </c>
      <c r="B424" s="7">
        <v>2.5795887516998701E-2</v>
      </c>
      <c r="C424" s="7">
        <v>7.4974238972806501E-2</v>
      </c>
      <c r="D424" s="7">
        <v>9100</v>
      </c>
      <c r="E424" s="7" t="s">
        <v>5</v>
      </c>
      <c r="F424" s="7">
        <v>14.65</v>
      </c>
      <c r="G424" s="7">
        <v>0</v>
      </c>
      <c r="H424" s="7">
        <v>11301.7278444969</v>
      </c>
      <c r="I424" s="7">
        <v>0</v>
      </c>
    </row>
    <row r="425" spans="1:9" x14ac:dyDescent="0.2">
      <c r="A425" s="7">
        <v>135380</v>
      </c>
      <c r="B425" s="7">
        <v>1.6974417707876201E-2</v>
      </c>
      <c r="C425" s="7">
        <v>5.3944556304700297E-2</v>
      </c>
      <c r="D425" s="7">
        <v>24000</v>
      </c>
      <c r="E425" s="7" t="s">
        <v>4</v>
      </c>
      <c r="F425" s="7">
        <v>7.9</v>
      </c>
      <c r="G425" s="7">
        <v>0</v>
      </c>
      <c r="H425" s="7">
        <v>26463.246730705301</v>
      </c>
      <c r="I425" s="7">
        <v>0</v>
      </c>
    </row>
    <row r="426" spans="1:9" x14ac:dyDescent="0.2">
      <c r="A426" s="7">
        <v>76414</v>
      </c>
      <c r="B426" s="7">
        <v>1.98486023895145E-2</v>
      </c>
      <c r="C426" s="7">
        <v>8.1509172207196695E-2</v>
      </c>
      <c r="D426" s="7">
        <v>6225</v>
      </c>
      <c r="E426" s="7" t="s">
        <v>8</v>
      </c>
      <c r="F426" s="7">
        <v>10.16</v>
      </c>
      <c r="G426" s="7">
        <v>0</v>
      </c>
      <c r="H426" s="7">
        <v>6468.1603788989996</v>
      </c>
      <c r="I426" s="7">
        <v>0</v>
      </c>
    </row>
    <row r="427" spans="1:9" x14ac:dyDescent="0.2">
      <c r="A427" s="7">
        <v>123756</v>
      </c>
      <c r="B427" s="7">
        <v>-1.33875942642031E-3</v>
      </c>
      <c r="C427" s="7">
        <v>8.4798680815203503E-2</v>
      </c>
      <c r="D427" s="7">
        <v>23875</v>
      </c>
      <c r="E427" s="7" t="s">
        <v>10</v>
      </c>
      <c r="F427" s="7">
        <v>22.95</v>
      </c>
      <c r="G427" s="7">
        <v>0</v>
      </c>
      <c r="H427" s="7">
        <v>30253.112821058199</v>
      </c>
      <c r="I427" s="7">
        <v>0</v>
      </c>
    </row>
    <row r="428" spans="1:9" x14ac:dyDescent="0.2">
      <c r="A428" s="7">
        <v>38158</v>
      </c>
      <c r="B428" s="7">
        <v>4.5616650318422002E-3</v>
      </c>
      <c r="C428" s="7">
        <v>8.4798680815203503E-2</v>
      </c>
      <c r="D428" s="7">
        <v>24000</v>
      </c>
      <c r="E428" s="7" t="s">
        <v>5</v>
      </c>
      <c r="F428" s="7">
        <v>15.88</v>
      </c>
      <c r="G428" s="7">
        <v>1</v>
      </c>
      <c r="H428" s="7">
        <v>11004.26</v>
      </c>
      <c r="I428" s="7">
        <v>2854.72</v>
      </c>
    </row>
    <row r="429" spans="1:9" x14ac:dyDescent="0.2">
      <c r="A429" s="7">
        <v>105391</v>
      </c>
      <c r="B429" s="7">
        <v>3.0185332466721199E-2</v>
      </c>
      <c r="C429" s="7">
        <v>8.1509172207196695E-2</v>
      </c>
      <c r="D429" s="7">
        <v>8000</v>
      </c>
      <c r="E429" s="7" t="s">
        <v>6</v>
      </c>
      <c r="F429" s="7">
        <v>17.77</v>
      </c>
      <c r="G429" s="7">
        <v>0</v>
      </c>
      <c r="H429" s="7">
        <v>8672.5131238837002</v>
      </c>
      <c r="I429" s="7">
        <v>0</v>
      </c>
    </row>
    <row r="430" spans="1:9" x14ac:dyDescent="0.2">
      <c r="A430" s="7">
        <v>26471</v>
      </c>
      <c r="B430" s="7">
        <v>3.6149643984552997E-2</v>
      </c>
      <c r="C430" s="7">
        <v>8.1509172207196695E-2</v>
      </c>
      <c r="D430" s="7">
        <v>12000</v>
      </c>
      <c r="E430" s="7" t="s">
        <v>8</v>
      </c>
      <c r="F430" s="7">
        <v>11.99</v>
      </c>
      <c r="G430" s="7">
        <v>0</v>
      </c>
      <c r="H430" s="7">
        <v>12976.508501604299</v>
      </c>
      <c r="I430" s="7">
        <v>0</v>
      </c>
    </row>
    <row r="431" spans="1:9" x14ac:dyDescent="0.2">
      <c r="A431" s="7">
        <v>71531</v>
      </c>
      <c r="B431" s="7">
        <v>3.7906845679882999E-2</v>
      </c>
      <c r="C431" s="7">
        <v>7.4974238972806501E-2</v>
      </c>
      <c r="D431" s="7">
        <v>8000</v>
      </c>
      <c r="E431" s="7" t="s">
        <v>8</v>
      </c>
      <c r="F431" s="7">
        <v>12.12</v>
      </c>
      <c r="G431" s="7">
        <v>0</v>
      </c>
      <c r="H431" s="7">
        <v>9582.1876880074997</v>
      </c>
      <c r="I431" s="7">
        <v>0</v>
      </c>
    </row>
    <row r="432" spans="1:9" x14ac:dyDescent="0.2">
      <c r="A432" s="7">
        <v>73862</v>
      </c>
      <c r="B432" s="7">
        <v>2.29428191100805E-2</v>
      </c>
      <c r="C432" s="7">
        <v>7.7054178620260594E-2</v>
      </c>
      <c r="D432" s="7">
        <v>12000</v>
      </c>
      <c r="E432" s="7" t="s">
        <v>8</v>
      </c>
      <c r="F432" s="7">
        <v>13.11</v>
      </c>
      <c r="G432" s="7">
        <v>0</v>
      </c>
      <c r="H432" s="7">
        <v>14578.635676003199</v>
      </c>
      <c r="I432" s="7">
        <v>0</v>
      </c>
    </row>
    <row r="433" spans="1:9" x14ac:dyDescent="0.2">
      <c r="A433" s="7">
        <v>24343</v>
      </c>
      <c r="B433" s="7">
        <v>2.47485816404121E-2</v>
      </c>
      <c r="C433" s="7">
        <v>5.3944556304700297E-2</v>
      </c>
      <c r="D433" s="7">
        <v>17450</v>
      </c>
      <c r="E433" s="7" t="s">
        <v>4</v>
      </c>
      <c r="F433" s="7">
        <v>8.6</v>
      </c>
      <c r="G433" s="7">
        <v>0</v>
      </c>
      <c r="H433" s="7">
        <v>19558.240000000002</v>
      </c>
      <c r="I433" s="7">
        <v>0</v>
      </c>
    </row>
    <row r="434" spans="1:9" x14ac:dyDescent="0.2">
      <c r="A434" s="7">
        <v>79347</v>
      </c>
      <c r="B434" s="7">
        <v>4.0110224394858701E-2</v>
      </c>
      <c r="C434" s="7">
        <v>5.3944556304700297E-2</v>
      </c>
      <c r="D434" s="7">
        <v>12800</v>
      </c>
      <c r="E434" s="7" t="s">
        <v>8</v>
      </c>
      <c r="F434" s="7">
        <v>12.12</v>
      </c>
      <c r="G434" s="7">
        <v>0</v>
      </c>
      <c r="H434" s="7">
        <v>15135.470000008099</v>
      </c>
      <c r="I434" s="7">
        <v>0</v>
      </c>
    </row>
    <row r="435" spans="1:9" x14ac:dyDescent="0.2">
      <c r="A435" s="7">
        <v>110523</v>
      </c>
      <c r="B435" s="7">
        <v>3.0550639789064599E-2</v>
      </c>
      <c r="C435" s="7">
        <v>8.1509172207196695E-2</v>
      </c>
      <c r="D435" s="7">
        <v>2400</v>
      </c>
      <c r="E435" s="7" t="s">
        <v>8</v>
      </c>
      <c r="F435" s="7">
        <v>14.09</v>
      </c>
      <c r="G435" s="7">
        <v>0</v>
      </c>
      <c r="H435" s="7">
        <v>2787.6199786099</v>
      </c>
      <c r="I435" s="7">
        <v>0</v>
      </c>
    </row>
    <row r="436" spans="1:9" x14ac:dyDescent="0.2">
      <c r="A436" s="7">
        <v>8559</v>
      </c>
      <c r="B436" s="7">
        <v>1.5512793179512201E-2</v>
      </c>
      <c r="C436" s="7">
        <v>7.4974238972806501E-2</v>
      </c>
      <c r="D436" s="7">
        <v>17000</v>
      </c>
      <c r="E436" s="7" t="s">
        <v>4</v>
      </c>
      <c r="F436" s="7">
        <v>7.62</v>
      </c>
      <c r="G436" s="7">
        <v>0</v>
      </c>
      <c r="H436" s="7">
        <v>18051.629996429499</v>
      </c>
      <c r="I436" s="7">
        <v>0</v>
      </c>
    </row>
    <row r="437" spans="1:9" x14ac:dyDescent="0.2">
      <c r="A437" s="7">
        <v>17973</v>
      </c>
      <c r="B437" s="7">
        <v>2.02151149720439E-2</v>
      </c>
      <c r="C437" s="7">
        <v>8.1509172207196695E-2</v>
      </c>
      <c r="D437" s="7">
        <v>10000</v>
      </c>
      <c r="E437" s="7" t="s">
        <v>4</v>
      </c>
      <c r="F437" s="7">
        <v>8.6</v>
      </c>
      <c r="G437" s="7">
        <v>0</v>
      </c>
      <c r="H437" s="7">
        <v>11157.95</v>
      </c>
      <c r="I437" s="7">
        <v>0</v>
      </c>
    </row>
    <row r="438" spans="1:9" x14ac:dyDescent="0.2">
      <c r="A438" s="7">
        <v>8233</v>
      </c>
      <c r="B438" s="7">
        <v>2.43975737471765E-2</v>
      </c>
      <c r="C438" s="7">
        <v>8.1509172207196695E-2</v>
      </c>
      <c r="D438" s="7">
        <v>10000</v>
      </c>
      <c r="E438" s="7" t="s">
        <v>5</v>
      </c>
      <c r="F438" s="7">
        <v>15.1</v>
      </c>
      <c r="G438" s="7">
        <v>1</v>
      </c>
      <c r="H438" s="7">
        <v>4150.1499999999996</v>
      </c>
      <c r="I438" s="7">
        <v>678.65</v>
      </c>
    </row>
    <row r="439" spans="1:9" x14ac:dyDescent="0.2">
      <c r="A439" s="7">
        <v>122322</v>
      </c>
      <c r="B439" s="7">
        <v>8.6550982904043602E-3</v>
      </c>
      <c r="C439" s="7">
        <v>8.1509172207196695E-2</v>
      </c>
      <c r="D439" s="7">
        <v>10000</v>
      </c>
      <c r="E439" s="7" t="s">
        <v>5</v>
      </c>
      <c r="F439" s="7">
        <v>15.8</v>
      </c>
      <c r="G439" s="7">
        <v>1</v>
      </c>
      <c r="H439" s="7">
        <v>10628.91</v>
      </c>
      <c r="I439" s="7">
        <v>9228.5499999999993</v>
      </c>
    </row>
    <row r="440" spans="1:9" x14ac:dyDescent="0.2">
      <c r="A440" s="7">
        <v>104354</v>
      </c>
      <c r="B440" s="7">
        <v>2.3500850489195199E-3</v>
      </c>
      <c r="C440" s="7">
        <v>8.4798680815203503E-2</v>
      </c>
      <c r="D440" s="7">
        <v>18000</v>
      </c>
      <c r="E440" s="7" t="s">
        <v>6</v>
      </c>
      <c r="F440" s="7">
        <v>19.72</v>
      </c>
      <c r="G440" s="7">
        <v>0</v>
      </c>
      <c r="H440" s="7">
        <v>18588.68</v>
      </c>
      <c r="I440" s="7">
        <v>0</v>
      </c>
    </row>
    <row r="441" spans="1:9" x14ac:dyDescent="0.2">
      <c r="A441" s="7">
        <v>36039</v>
      </c>
      <c r="B441" s="7">
        <v>2.34319064553246E-2</v>
      </c>
      <c r="C441" s="7">
        <v>8.1509172207196695E-2</v>
      </c>
      <c r="D441" s="7">
        <v>9950</v>
      </c>
      <c r="E441" s="7" t="s">
        <v>8</v>
      </c>
      <c r="F441" s="7">
        <v>9.7100000000000009</v>
      </c>
      <c r="G441" s="7">
        <v>0</v>
      </c>
      <c r="H441" s="7">
        <v>11389.749997840499</v>
      </c>
      <c r="I441" s="7">
        <v>0</v>
      </c>
    </row>
    <row r="442" spans="1:9" x14ac:dyDescent="0.2">
      <c r="A442" s="7">
        <v>133742</v>
      </c>
      <c r="B442" s="7">
        <v>2.0132406396113599E-2</v>
      </c>
      <c r="C442" s="7">
        <v>7.4974238972806501E-2</v>
      </c>
      <c r="D442" s="7">
        <v>18225</v>
      </c>
      <c r="E442" s="7" t="s">
        <v>4</v>
      </c>
      <c r="F442" s="7">
        <v>7.62</v>
      </c>
      <c r="G442" s="7">
        <v>0</v>
      </c>
      <c r="H442" s="7">
        <v>20444.9599964431</v>
      </c>
      <c r="I442" s="7">
        <v>0</v>
      </c>
    </row>
    <row r="443" spans="1:9" x14ac:dyDescent="0.2">
      <c r="A443" s="7">
        <v>119163</v>
      </c>
      <c r="B443" s="7">
        <v>2.8948992300064001E-2</v>
      </c>
      <c r="C443" s="7">
        <v>8.4798680815203503E-2</v>
      </c>
      <c r="D443" s="7">
        <v>24000</v>
      </c>
      <c r="E443" s="7" t="s">
        <v>5</v>
      </c>
      <c r="F443" s="7">
        <v>15.31</v>
      </c>
      <c r="G443" s="7">
        <v>1</v>
      </c>
      <c r="H443" s="7">
        <v>15431.32</v>
      </c>
      <c r="I443" s="7">
        <v>2063.64</v>
      </c>
    </row>
    <row r="444" spans="1:9" x14ac:dyDescent="0.2">
      <c r="A444" s="7">
        <v>112867</v>
      </c>
      <c r="B444" s="7">
        <v>2.3872927826035499E-2</v>
      </c>
      <c r="C444" s="7">
        <v>8.1509172207196695E-2</v>
      </c>
      <c r="D444" s="7">
        <v>9250</v>
      </c>
      <c r="E444" s="7" t="s">
        <v>8</v>
      </c>
      <c r="F444" s="7">
        <v>12.12</v>
      </c>
      <c r="G444" s="7">
        <v>0</v>
      </c>
      <c r="H444" s="7">
        <v>11079.4089866869</v>
      </c>
      <c r="I444" s="7">
        <v>0</v>
      </c>
    </row>
    <row r="445" spans="1:9" x14ac:dyDescent="0.2">
      <c r="A445" s="7">
        <v>112220</v>
      </c>
      <c r="B445" s="7">
        <v>2.9110684568349698E-2</v>
      </c>
      <c r="C445" s="7">
        <v>7.4974238972806501E-2</v>
      </c>
      <c r="D445" s="7">
        <v>13000</v>
      </c>
      <c r="E445" s="7" t="s">
        <v>8</v>
      </c>
      <c r="F445" s="7">
        <v>11.14</v>
      </c>
      <c r="G445" s="7">
        <v>0</v>
      </c>
      <c r="H445" s="7">
        <v>14073.4615742312</v>
      </c>
      <c r="I445" s="7">
        <v>0</v>
      </c>
    </row>
    <row r="446" spans="1:9" x14ac:dyDescent="0.2">
      <c r="A446" s="7">
        <v>10608</v>
      </c>
      <c r="B446" s="7">
        <v>2.6870308602596499E-2</v>
      </c>
      <c r="C446" s="7">
        <v>8.1509172207196695E-2</v>
      </c>
      <c r="D446" s="7">
        <v>14500</v>
      </c>
      <c r="E446" s="7" t="s">
        <v>8</v>
      </c>
      <c r="F446" s="7">
        <v>12.99</v>
      </c>
      <c r="G446" s="7">
        <v>0</v>
      </c>
      <c r="H446" s="7">
        <v>15522</v>
      </c>
      <c r="I446" s="7">
        <v>0</v>
      </c>
    </row>
    <row r="447" spans="1:9" x14ac:dyDescent="0.2">
      <c r="A447" s="7">
        <v>107291</v>
      </c>
      <c r="B447" s="7">
        <v>4.0925883385509301E-4</v>
      </c>
      <c r="C447" s="7">
        <v>8.4798680815203503E-2</v>
      </c>
      <c r="D447" s="7">
        <v>18500</v>
      </c>
      <c r="E447" s="7" t="s">
        <v>7</v>
      </c>
      <c r="F447" s="7">
        <v>22.47</v>
      </c>
      <c r="G447" s="7">
        <v>1</v>
      </c>
      <c r="H447" s="7">
        <v>4602.9399999999996</v>
      </c>
      <c r="I447" s="7">
        <v>1000.11</v>
      </c>
    </row>
    <row r="448" spans="1:9" x14ac:dyDescent="0.2">
      <c r="A448" s="7">
        <v>110545</v>
      </c>
      <c r="B448" s="7">
        <v>1.8348366505938199E-2</v>
      </c>
      <c r="C448" s="7">
        <v>7.4974238972806501E-2</v>
      </c>
      <c r="D448" s="7">
        <v>5175</v>
      </c>
      <c r="E448" s="7" t="s">
        <v>4</v>
      </c>
      <c r="F448" s="7">
        <v>7.9</v>
      </c>
      <c r="G448" s="7">
        <v>0</v>
      </c>
      <c r="H448" s="7">
        <v>5760.9726945801003</v>
      </c>
      <c r="I448" s="7">
        <v>0</v>
      </c>
    </row>
    <row r="449" spans="1:9" x14ac:dyDescent="0.2">
      <c r="A449" s="7">
        <v>18321</v>
      </c>
      <c r="B449" s="7">
        <v>2.22789642747784E-2</v>
      </c>
      <c r="C449" s="7">
        <v>8.1509172207196695E-2</v>
      </c>
      <c r="D449" s="7">
        <v>18775</v>
      </c>
      <c r="E449" s="7" t="s">
        <v>8</v>
      </c>
      <c r="F449" s="7">
        <v>10.99</v>
      </c>
      <c r="G449" s="7">
        <v>1</v>
      </c>
      <c r="H449" s="7">
        <v>8526.4500000000007</v>
      </c>
      <c r="I449" s="7">
        <v>1151.3699999999999</v>
      </c>
    </row>
    <row r="450" spans="1:9" x14ac:dyDescent="0.2">
      <c r="A450" s="7">
        <v>83438</v>
      </c>
      <c r="B450" s="7">
        <v>3.3316339260995101E-2</v>
      </c>
      <c r="C450" s="7">
        <v>7.4974238972806501E-2</v>
      </c>
      <c r="D450" s="7">
        <v>10000</v>
      </c>
      <c r="E450" s="7" t="s">
        <v>6</v>
      </c>
      <c r="F450" s="7">
        <v>18.489999999999998</v>
      </c>
      <c r="G450" s="7">
        <v>0</v>
      </c>
      <c r="H450" s="7">
        <v>13103.4867168007</v>
      </c>
      <c r="I450" s="7">
        <v>0</v>
      </c>
    </row>
    <row r="451" spans="1:9" x14ac:dyDescent="0.2">
      <c r="A451" s="7">
        <v>52788</v>
      </c>
      <c r="B451" s="7">
        <v>2.65519852528062E-2</v>
      </c>
      <c r="C451" s="7">
        <v>8.4798680815203503E-2</v>
      </c>
      <c r="D451" s="7">
        <v>35000</v>
      </c>
      <c r="E451" s="7" t="s">
        <v>8</v>
      </c>
      <c r="F451" s="7">
        <v>12.12</v>
      </c>
      <c r="G451" s="7">
        <v>0</v>
      </c>
      <c r="H451" s="7">
        <v>41922.267918162499</v>
      </c>
      <c r="I451" s="7">
        <v>0</v>
      </c>
    </row>
    <row r="452" spans="1:9" x14ac:dyDescent="0.2">
      <c r="A452" s="7">
        <v>65946</v>
      </c>
      <c r="B452" s="7">
        <v>3.3515886455731801E-2</v>
      </c>
      <c r="C452" s="7">
        <v>8.1509172207196695E-2</v>
      </c>
      <c r="D452" s="7">
        <v>14000</v>
      </c>
      <c r="E452" s="7" t="s">
        <v>8</v>
      </c>
      <c r="F452" s="7">
        <v>14.09</v>
      </c>
      <c r="G452" s="7">
        <v>0</v>
      </c>
      <c r="H452" s="7">
        <v>17247.556178357299</v>
      </c>
      <c r="I452" s="7">
        <v>0</v>
      </c>
    </row>
    <row r="453" spans="1:9" x14ac:dyDescent="0.2">
      <c r="A453" s="7">
        <v>35444</v>
      </c>
      <c r="B453" s="7">
        <v>5.2095529922440001E-2</v>
      </c>
      <c r="C453" s="7">
        <v>5.3944556304700297E-2</v>
      </c>
      <c r="D453" s="7">
        <v>22000</v>
      </c>
      <c r="E453" s="7" t="s">
        <v>4</v>
      </c>
      <c r="F453" s="7">
        <v>8.9</v>
      </c>
      <c r="G453" s="7">
        <v>0</v>
      </c>
      <c r="H453" s="7">
        <v>25071.389979420099</v>
      </c>
      <c r="I453" s="7">
        <v>0</v>
      </c>
    </row>
    <row r="454" spans="1:9" x14ac:dyDescent="0.2">
      <c r="A454" s="7">
        <v>19774</v>
      </c>
      <c r="B454" s="7">
        <v>-1.2810927807103601E-2</v>
      </c>
      <c r="C454" s="7">
        <v>8.4798680815203503E-2</v>
      </c>
      <c r="D454" s="7">
        <v>35000</v>
      </c>
      <c r="E454" s="7" t="s">
        <v>10</v>
      </c>
      <c r="F454" s="7">
        <v>24.99</v>
      </c>
      <c r="G454" s="7">
        <v>1</v>
      </c>
      <c r="H454" s="7">
        <v>27359.33</v>
      </c>
      <c r="I454" s="7">
        <v>3995.23</v>
      </c>
    </row>
    <row r="455" spans="1:9" x14ac:dyDescent="0.2">
      <c r="A455" s="7">
        <v>85873</v>
      </c>
      <c r="B455" s="7">
        <v>2.8234580835918299E-2</v>
      </c>
      <c r="C455" s="7">
        <v>7.4974238972806501E-2</v>
      </c>
      <c r="D455" s="7">
        <v>3000</v>
      </c>
      <c r="E455" s="7" t="s">
        <v>6</v>
      </c>
      <c r="F455" s="7">
        <v>18.75</v>
      </c>
      <c r="G455" s="7">
        <v>0</v>
      </c>
      <c r="H455" s="7">
        <v>3849.1899996593002</v>
      </c>
      <c r="I455" s="7">
        <v>0</v>
      </c>
    </row>
    <row r="456" spans="1:9" x14ac:dyDescent="0.2">
      <c r="A456" s="7">
        <v>132442</v>
      </c>
      <c r="B456" s="7">
        <v>2.6788958337148099E-2</v>
      </c>
      <c r="C456" s="7">
        <v>7.4974238972806501E-2</v>
      </c>
      <c r="D456" s="7">
        <v>6000</v>
      </c>
      <c r="E456" s="7" t="s">
        <v>8</v>
      </c>
      <c r="F456" s="7">
        <v>13.67</v>
      </c>
      <c r="G456" s="7">
        <v>1</v>
      </c>
      <c r="H456" s="7">
        <v>3672.18</v>
      </c>
      <c r="I456" s="7">
        <v>0</v>
      </c>
    </row>
    <row r="457" spans="1:9" x14ac:dyDescent="0.2">
      <c r="A457" s="7">
        <v>69260</v>
      </c>
      <c r="B457" s="7">
        <v>2.7194038292486001E-2</v>
      </c>
      <c r="C457" s="7">
        <v>7.4974238972806501E-2</v>
      </c>
      <c r="D457" s="7">
        <v>10000</v>
      </c>
      <c r="E457" s="7" t="s">
        <v>4</v>
      </c>
      <c r="F457" s="7">
        <v>8.9</v>
      </c>
      <c r="G457" s="7">
        <v>0</v>
      </c>
      <c r="H457" s="7">
        <v>11431.1161326398</v>
      </c>
      <c r="I457" s="7">
        <v>0</v>
      </c>
    </row>
    <row r="458" spans="1:9" x14ac:dyDescent="0.2">
      <c r="A458" s="7">
        <v>53359</v>
      </c>
      <c r="B458" s="7">
        <v>3.14451126761792E-2</v>
      </c>
      <c r="C458" s="7">
        <v>5.3944556304700297E-2</v>
      </c>
      <c r="D458" s="7">
        <v>16000</v>
      </c>
      <c r="E458" s="7" t="s">
        <v>4</v>
      </c>
      <c r="F458" s="7">
        <v>7.9</v>
      </c>
      <c r="G458" s="7">
        <v>0</v>
      </c>
      <c r="H458" s="7">
        <v>18023.159733549699</v>
      </c>
      <c r="I458" s="7">
        <v>0</v>
      </c>
    </row>
    <row r="459" spans="1:9" x14ac:dyDescent="0.2">
      <c r="A459" s="7">
        <v>107340</v>
      </c>
      <c r="B459" s="7">
        <v>2.71572128131604E-2</v>
      </c>
      <c r="C459" s="7">
        <v>8.1509172207196695E-2</v>
      </c>
      <c r="D459" s="7">
        <v>7900</v>
      </c>
      <c r="E459" s="7" t="s">
        <v>5</v>
      </c>
      <c r="F459" s="7">
        <v>14.33</v>
      </c>
      <c r="G459" s="7">
        <v>0</v>
      </c>
      <c r="H459" s="7">
        <v>9198.5041783496999</v>
      </c>
      <c r="I459" s="7">
        <v>0</v>
      </c>
    </row>
    <row r="460" spans="1:9" x14ac:dyDescent="0.2">
      <c r="A460" s="7">
        <v>31889</v>
      </c>
      <c r="B460" s="7">
        <v>2.2797485935456201E-2</v>
      </c>
      <c r="C460" s="7">
        <v>8.1509172207196695E-2</v>
      </c>
      <c r="D460" s="7">
        <v>7000</v>
      </c>
      <c r="E460" s="7" t="s">
        <v>4</v>
      </c>
      <c r="F460" s="7">
        <v>7.62</v>
      </c>
      <c r="G460" s="7">
        <v>0</v>
      </c>
      <c r="H460" s="7">
        <v>7565.71</v>
      </c>
      <c r="I460" s="7">
        <v>0</v>
      </c>
    </row>
    <row r="461" spans="1:9" x14ac:dyDescent="0.2">
      <c r="A461" s="7">
        <v>10258</v>
      </c>
      <c r="B461" s="7">
        <v>2.5016473503500999E-2</v>
      </c>
      <c r="C461" s="7">
        <v>7.4974238972806501E-2</v>
      </c>
      <c r="D461" s="7">
        <v>6000</v>
      </c>
      <c r="E461" s="7" t="s">
        <v>6</v>
      </c>
      <c r="F461" s="7">
        <v>18.55</v>
      </c>
      <c r="G461" s="7">
        <v>0</v>
      </c>
      <c r="H461" s="7">
        <v>7141.3800005696003</v>
      </c>
      <c r="I461" s="7">
        <v>0</v>
      </c>
    </row>
    <row r="462" spans="1:9" x14ac:dyDescent="0.2">
      <c r="A462" s="7">
        <v>112911</v>
      </c>
      <c r="B462" s="7">
        <v>2.92660117549732E-2</v>
      </c>
      <c r="C462" s="7">
        <v>8.1509172207196695E-2</v>
      </c>
      <c r="D462" s="7">
        <v>12000</v>
      </c>
      <c r="E462" s="7" t="s">
        <v>8</v>
      </c>
      <c r="F462" s="7">
        <v>10.16</v>
      </c>
      <c r="G462" s="7">
        <v>0</v>
      </c>
      <c r="H462" s="7">
        <v>13685.1124954154</v>
      </c>
      <c r="I462" s="7">
        <v>0</v>
      </c>
    </row>
    <row r="463" spans="1:9" x14ac:dyDescent="0.2">
      <c r="A463" s="7">
        <v>123711</v>
      </c>
      <c r="B463" s="7">
        <v>2.80939520406077E-2</v>
      </c>
      <c r="C463" s="7">
        <v>8.1509172207196695E-2</v>
      </c>
      <c r="D463" s="7">
        <v>2000</v>
      </c>
      <c r="E463" s="7" t="s">
        <v>8</v>
      </c>
      <c r="F463" s="7">
        <v>13.11</v>
      </c>
      <c r="G463" s="7">
        <v>0</v>
      </c>
      <c r="H463" s="7">
        <v>2383.3115320396</v>
      </c>
      <c r="I463" s="7">
        <v>0</v>
      </c>
    </row>
    <row r="464" spans="1:9" x14ac:dyDescent="0.2">
      <c r="A464" s="7">
        <v>8325</v>
      </c>
      <c r="B464" s="7">
        <v>3.14813298596337E-2</v>
      </c>
      <c r="C464" s="7">
        <v>5.3944556304700297E-2</v>
      </c>
      <c r="D464" s="7">
        <v>20800</v>
      </c>
      <c r="E464" s="7" t="s">
        <v>8</v>
      </c>
      <c r="F464" s="7">
        <v>12.99</v>
      </c>
      <c r="G464" s="7">
        <v>0</v>
      </c>
      <c r="H464" s="7">
        <v>24336.12</v>
      </c>
      <c r="I464" s="7">
        <v>0</v>
      </c>
    </row>
    <row r="465" spans="1:9" x14ac:dyDescent="0.2">
      <c r="A465" s="7">
        <v>110423</v>
      </c>
      <c r="B465" s="7">
        <v>2.4747268987385301E-2</v>
      </c>
      <c r="C465" s="7">
        <v>8.1509172207196695E-2</v>
      </c>
      <c r="D465" s="7">
        <v>11000</v>
      </c>
      <c r="E465" s="7" t="s">
        <v>5</v>
      </c>
      <c r="F465" s="7">
        <v>17.27</v>
      </c>
      <c r="G465" s="7">
        <v>0</v>
      </c>
      <c r="H465" s="7">
        <v>14075.53</v>
      </c>
      <c r="I465" s="7">
        <v>0</v>
      </c>
    </row>
    <row r="466" spans="1:9" x14ac:dyDescent="0.2">
      <c r="A466" s="7">
        <v>113613</v>
      </c>
      <c r="B466" s="7">
        <v>2.7780752246862599E-2</v>
      </c>
      <c r="C466" s="7">
        <v>8.1509172207196695E-2</v>
      </c>
      <c r="D466" s="7">
        <v>11500</v>
      </c>
      <c r="E466" s="7" t="s">
        <v>5</v>
      </c>
      <c r="F466" s="7">
        <v>16.29</v>
      </c>
      <c r="G466" s="7">
        <v>0</v>
      </c>
      <c r="H466" s="7">
        <v>12104.1067884024</v>
      </c>
      <c r="I466" s="7">
        <v>0</v>
      </c>
    </row>
    <row r="467" spans="1:9" x14ac:dyDescent="0.2">
      <c r="A467" s="7">
        <v>18838</v>
      </c>
      <c r="B467" s="7">
        <v>4.0019621613360597E-2</v>
      </c>
      <c r="C467" s="7">
        <v>7.4974238972806501E-2</v>
      </c>
      <c r="D467" s="7">
        <v>18250</v>
      </c>
      <c r="E467" s="7" t="s">
        <v>8</v>
      </c>
      <c r="F467" s="7">
        <v>12.99</v>
      </c>
      <c r="G467" s="7">
        <v>0</v>
      </c>
      <c r="H467" s="7">
        <v>21963.7</v>
      </c>
      <c r="I467" s="7">
        <v>0</v>
      </c>
    </row>
    <row r="468" spans="1:9" x14ac:dyDescent="0.2">
      <c r="A468" s="7">
        <v>38081</v>
      </c>
      <c r="B468" s="7">
        <v>9.2394566877030005E-3</v>
      </c>
      <c r="C468" s="7">
        <v>8.4798680815203503E-2</v>
      </c>
      <c r="D468" s="7">
        <v>28000</v>
      </c>
      <c r="E468" s="7" t="s">
        <v>10</v>
      </c>
      <c r="F468" s="7">
        <v>23.5</v>
      </c>
      <c r="G468" s="7">
        <v>0</v>
      </c>
      <c r="H468" s="7">
        <v>37688.120000000003</v>
      </c>
      <c r="I468" s="7">
        <v>0</v>
      </c>
    </row>
    <row r="469" spans="1:9" x14ac:dyDescent="0.2">
      <c r="A469" s="7">
        <v>25135</v>
      </c>
      <c r="B469" s="7">
        <v>3.8136996818388703E-2</v>
      </c>
      <c r="C469" s="7">
        <v>7.4974238972806501E-2</v>
      </c>
      <c r="D469" s="7">
        <v>14000</v>
      </c>
      <c r="E469" s="7" t="s">
        <v>5</v>
      </c>
      <c r="F469" s="7">
        <v>14.3</v>
      </c>
      <c r="G469" s="7">
        <v>0</v>
      </c>
      <c r="H469" s="7">
        <v>15227.47</v>
      </c>
      <c r="I469" s="7">
        <v>0</v>
      </c>
    </row>
    <row r="470" spans="1:9" x14ac:dyDescent="0.2">
      <c r="A470" s="7">
        <v>85656</v>
      </c>
      <c r="B470" s="7">
        <v>3.4200119762973699E-2</v>
      </c>
      <c r="C470" s="7">
        <v>8.1509172207196695E-2</v>
      </c>
      <c r="D470" s="7">
        <v>12000</v>
      </c>
      <c r="E470" s="7" t="s">
        <v>8</v>
      </c>
      <c r="F470" s="7">
        <v>12.12</v>
      </c>
      <c r="G470" s="7">
        <v>0</v>
      </c>
      <c r="H470" s="7">
        <v>13658.468539965501</v>
      </c>
      <c r="I470" s="7">
        <v>0</v>
      </c>
    </row>
    <row r="471" spans="1:9" x14ac:dyDescent="0.2">
      <c r="A471" s="7">
        <v>124569</v>
      </c>
      <c r="B471" s="7">
        <v>2.9910691034400199E-3</v>
      </c>
      <c r="C471" s="7">
        <v>7.7054178620260594E-2</v>
      </c>
      <c r="D471" s="7">
        <v>3125</v>
      </c>
      <c r="E471" s="7" t="s">
        <v>4</v>
      </c>
      <c r="F471" s="7">
        <v>7.9</v>
      </c>
      <c r="G471" s="7">
        <v>0</v>
      </c>
      <c r="H471" s="7">
        <v>3337.9417144524</v>
      </c>
      <c r="I471" s="7">
        <v>0</v>
      </c>
    </row>
    <row r="472" spans="1:9" x14ac:dyDescent="0.2">
      <c r="A472" s="7">
        <v>132441</v>
      </c>
      <c r="B472" s="7">
        <v>4.31623492854337E-2</v>
      </c>
      <c r="C472" s="7">
        <v>8.4798680815203503E-2</v>
      </c>
      <c r="D472" s="7">
        <v>30000</v>
      </c>
      <c r="E472" s="7" t="s">
        <v>6</v>
      </c>
      <c r="F472" s="7">
        <v>19.22</v>
      </c>
      <c r="G472" s="7">
        <v>0</v>
      </c>
      <c r="H472" s="7">
        <v>39708.789971841499</v>
      </c>
      <c r="I472" s="7">
        <v>0</v>
      </c>
    </row>
    <row r="473" spans="1:9" x14ac:dyDescent="0.2">
      <c r="A473" s="7">
        <v>143789</v>
      </c>
      <c r="B473" s="7">
        <v>2.6022574620375102E-2</v>
      </c>
      <c r="C473" s="7">
        <v>8.1509172207196695E-2</v>
      </c>
      <c r="D473" s="7">
        <v>10500</v>
      </c>
      <c r="E473" s="7" t="s">
        <v>8</v>
      </c>
      <c r="F473" s="7">
        <v>10.65</v>
      </c>
      <c r="G473" s="7">
        <v>0</v>
      </c>
      <c r="H473" s="7">
        <v>12206.5528288469</v>
      </c>
      <c r="I473" s="7">
        <v>0</v>
      </c>
    </row>
    <row r="474" spans="1:9" x14ac:dyDescent="0.2">
      <c r="A474" s="7">
        <v>110138</v>
      </c>
      <c r="B474" s="7">
        <v>2.5947553907769799E-2</v>
      </c>
      <c r="C474" s="7">
        <v>8.1509172207196695E-2</v>
      </c>
      <c r="D474" s="7">
        <v>9000</v>
      </c>
      <c r="E474" s="7" t="s">
        <v>6</v>
      </c>
      <c r="F474" s="7">
        <v>17.77</v>
      </c>
      <c r="G474" s="7">
        <v>0</v>
      </c>
      <c r="H474" s="7">
        <v>11096.9114290036</v>
      </c>
      <c r="I474" s="7">
        <v>0</v>
      </c>
    </row>
    <row r="475" spans="1:9" x14ac:dyDescent="0.2">
      <c r="A475" s="7">
        <v>60566</v>
      </c>
      <c r="B475" s="7">
        <v>2.9133351035903698E-2</v>
      </c>
      <c r="C475" s="7">
        <v>5.3944556304700297E-2</v>
      </c>
      <c r="D475" s="7">
        <v>25000</v>
      </c>
      <c r="E475" s="7" t="s">
        <v>4</v>
      </c>
      <c r="F475" s="7">
        <v>7.62</v>
      </c>
      <c r="G475" s="7">
        <v>0</v>
      </c>
      <c r="H475" s="7">
        <v>28045.198166313901</v>
      </c>
      <c r="I475" s="7">
        <v>0</v>
      </c>
    </row>
    <row r="476" spans="1:9" x14ac:dyDescent="0.2">
      <c r="A476" s="7">
        <v>68311</v>
      </c>
      <c r="B476" s="7">
        <v>2.6418742223649001E-2</v>
      </c>
      <c r="C476" s="7">
        <v>7.4974238972806501E-2</v>
      </c>
      <c r="D476" s="7">
        <v>6000</v>
      </c>
      <c r="E476" s="7" t="s">
        <v>4</v>
      </c>
      <c r="F476" s="7">
        <v>7.9</v>
      </c>
      <c r="G476" s="7">
        <v>0</v>
      </c>
      <c r="H476" s="7">
        <v>6408.16</v>
      </c>
      <c r="I476" s="7">
        <v>0</v>
      </c>
    </row>
    <row r="477" spans="1:9" x14ac:dyDescent="0.2">
      <c r="A477" s="7">
        <v>18620</v>
      </c>
      <c r="B477" s="7">
        <v>3.3051448095163798E-2</v>
      </c>
      <c r="C477" s="7">
        <v>8.1509172207196695E-2</v>
      </c>
      <c r="D477" s="7">
        <v>16000</v>
      </c>
      <c r="E477" s="7" t="s">
        <v>5</v>
      </c>
      <c r="F477" s="7">
        <v>17.100000000000001</v>
      </c>
      <c r="G477" s="7">
        <v>0</v>
      </c>
      <c r="H477" s="7">
        <v>18227.142710930901</v>
      </c>
      <c r="I477" s="7">
        <v>0</v>
      </c>
    </row>
    <row r="478" spans="1:9" x14ac:dyDescent="0.2">
      <c r="A478" s="7">
        <v>108022</v>
      </c>
      <c r="B478" s="7">
        <v>3.34661966866917E-2</v>
      </c>
      <c r="C478" s="7">
        <v>7.4974238972806501E-2</v>
      </c>
      <c r="D478" s="7">
        <v>13600</v>
      </c>
      <c r="E478" s="7" t="s">
        <v>8</v>
      </c>
      <c r="F478" s="7">
        <v>12.12</v>
      </c>
      <c r="G478" s="7">
        <v>0</v>
      </c>
      <c r="H478" s="7">
        <v>16172.6400036047</v>
      </c>
      <c r="I478" s="7">
        <v>0</v>
      </c>
    </row>
    <row r="479" spans="1:9" x14ac:dyDescent="0.2">
      <c r="A479" s="7">
        <v>117988</v>
      </c>
      <c r="B479" s="7">
        <v>3.5627562120451602E-2</v>
      </c>
      <c r="C479" s="7">
        <v>8.1509172207196695E-2</v>
      </c>
      <c r="D479" s="7">
        <v>15000</v>
      </c>
      <c r="E479" s="7" t="s">
        <v>8</v>
      </c>
      <c r="F479" s="7">
        <v>13.11</v>
      </c>
      <c r="G479" s="7">
        <v>0</v>
      </c>
      <c r="H479" s="7">
        <v>18223.314158596499</v>
      </c>
      <c r="I479" s="7">
        <v>0</v>
      </c>
    </row>
    <row r="480" spans="1:9" x14ac:dyDescent="0.2">
      <c r="A480" s="7">
        <v>44723</v>
      </c>
      <c r="B480" s="7">
        <v>-3.7510583530035702E-3</v>
      </c>
      <c r="C480" s="7">
        <v>8.4798680815203503E-2</v>
      </c>
      <c r="D480" s="7">
        <v>21725</v>
      </c>
      <c r="E480" s="7" t="s">
        <v>8</v>
      </c>
      <c r="F480" s="7">
        <v>9.7100000000000009</v>
      </c>
      <c r="G480" s="7">
        <v>0</v>
      </c>
      <c r="H480" s="7">
        <v>26019.400013312799</v>
      </c>
      <c r="I480" s="7">
        <v>0</v>
      </c>
    </row>
    <row r="481" spans="1:9" x14ac:dyDescent="0.2">
      <c r="A481" s="7">
        <v>118115</v>
      </c>
      <c r="B481" s="7">
        <v>2.2279439029003398E-2</v>
      </c>
      <c r="C481" s="7">
        <v>7.4974238972806501E-2</v>
      </c>
      <c r="D481" s="7">
        <v>12000</v>
      </c>
      <c r="E481" s="7" t="s">
        <v>4</v>
      </c>
      <c r="F481" s="7">
        <v>7.62</v>
      </c>
      <c r="G481" s="7">
        <v>0</v>
      </c>
      <c r="H481" s="7">
        <v>13112.5643680801</v>
      </c>
      <c r="I481" s="7">
        <v>0</v>
      </c>
    </row>
    <row r="482" spans="1:9" x14ac:dyDescent="0.2">
      <c r="A482" s="7">
        <v>134934</v>
      </c>
      <c r="B482" s="7">
        <v>8.7830119175823906E-3</v>
      </c>
      <c r="C482" s="7">
        <v>8.4798680815203503E-2</v>
      </c>
      <c r="D482" s="7">
        <v>30000</v>
      </c>
      <c r="E482" s="7" t="s">
        <v>7</v>
      </c>
      <c r="F482" s="7">
        <v>21.97</v>
      </c>
      <c r="G482" s="7">
        <v>0</v>
      </c>
      <c r="H482" s="7">
        <v>46719.569969906603</v>
      </c>
      <c r="I482" s="7">
        <v>0</v>
      </c>
    </row>
    <row r="483" spans="1:9" x14ac:dyDescent="0.2">
      <c r="A483" s="7">
        <v>111846</v>
      </c>
      <c r="B483" s="7">
        <v>2.10629844492006E-2</v>
      </c>
      <c r="C483" s="7">
        <v>7.4974238972806501E-2</v>
      </c>
      <c r="D483" s="7">
        <v>10000</v>
      </c>
      <c r="E483" s="7" t="s">
        <v>4</v>
      </c>
      <c r="F483" s="7">
        <v>7.62</v>
      </c>
      <c r="G483" s="7">
        <v>0</v>
      </c>
      <c r="H483" s="7">
        <v>10563.3373500261</v>
      </c>
      <c r="I483" s="7">
        <v>0</v>
      </c>
    </row>
    <row r="484" spans="1:9" x14ac:dyDescent="0.2">
      <c r="A484" s="7">
        <v>42817</v>
      </c>
      <c r="B484" s="7">
        <v>1.9355262149617899E-2</v>
      </c>
      <c r="C484" s="7">
        <v>7.4974238972806501E-2</v>
      </c>
      <c r="D484" s="7">
        <v>16000</v>
      </c>
      <c r="E484" s="7" t="s">
        <v>4</v>
      </c>
      <c r="F484" s="7">
        <v>6.62</v>
      </c>
      <c r="G484" s="7">
        <v>0</v>
      </c>
      <c r="H484" s="7">
        <v>17665.57</v>
      </c>
      <c r="I484" s="7">
        <v>0</v>
      </c>
    </row>
    <row r="485" spans="1:9" x14ac:dyDescent="0.2">
      <c r="A485" s="7">
        <v>79438</v>
      </c>
      <c r="B485" s="7">
        <v>3.1405921381128403E-2</v>
      </c>
      <c r="C485" s="7">
        <v>5.3944556304700297E-2</v>
      </c>
      <c r="D485" s="7">
        <v>21000</v>
      </c>
      <c r="E485" s="7" t="s">
        <v>4</v>
      </c>
      <c r="F485" s="7">
        <v>7.9</v>
      </c>
      <c r="G485" s="7">
        <v>0</v>
      </c>
      <c r="H485" s="7">
        <v>23655.411593982099</v>
      </c>
      <c r="I485" s="7">
        <v>0</v>
      </c>
    </row>
    <row r="486" spans="1:9" x14ac:dyDescent="0.2">
      <c r="A486" s="7">
        <v>100154</v>
      </c>
      <c r="B486" s="7">
        <v>3.77710545635324E-2</v>
      </c>
      <c r="C486" s="7">
        <v>7.4974238972806501E-2</v>
      </c>
      <c r="D486" s="7">
        <v>6000</v>
      </c>
      <c r="E486" s="7" t="s">
        <v>8</v>
      </c>
      <c r="F486" s="7">
        <v>12.12</v>
      </c>
      <c r="G486" s="7">
        <v>0</v>
      </c>
      <c r="H486" s="7">
        <v>7006.6800019174998</v>
      </c>
      <c r="I486" s="7">
        <v>0</v>
      </c>
    </row>
    <row r="487" spans="1:9" x14ac:dyDescent="0.2">
      <c r="A487" s="7">
        <v>5852</v>
      </c>
      <c r="B487" s="7">
        <v>3.3306242525459703E-2</v>
      </c>
      <c r="C487" s="7">
        <v>7.4974238972806501E-2</v>
      </c>
      <c r="D487" s="7">
        <v>9600</v>
      </c>
      <c r="E487" s="7" t="s">
        <v>5</v>
      </c>
      <c r="F487" s="7">
        <v>16.2</v>
      </c>
      <c r="G487" s="7">
        <v>1</v>
      </c>
      <c r="H487" s="7">
        <v>5603.26</v>
      </c>
      <c r="I487" s="7">
        <v>1203.58</v>
      </c>
    </row>
    <row r="488" spans="1:9" x14ac:dyDescent="0.2">
      <c r="A488" s="7">
        <v>26778</v>
      </c>
      <c r="B488" s="7">
        <v>3.4992405314550903E-2</v>
      </c>
      <c r="C488" s="7">
        <v>5.3944556304700297E-2</v>
      </c>
      <c r="D488" s="7">
        <v>19200</v>
      </c>
      <c r="E488" s="7" t="s">
        <v>8</v>
      </c>
      <c r="F488" s="7">
        <v>10.99</v>
      </c>
      <c r="G488" s="7">
        <v>0</v>
      </c>
      <c r="H488" s="7">
        <v>20899.8506145176</v>
      </c>
      <c r="I488" s="7">
        <v>0</v>
      </c>
    </row>
    <row r="489" spans="1:9" x14ac:dyDescent="0.2">
      <c r="A489" s="7">
        <v>34810</v>
      </c>
      <c r="B489" s="7">
        <v>4.2442476521946701E-2</v>
      </c>
      <c r="C489" s="7">
        <v>7.4974238972806501E-2</v>
      </c>
      <c r="D489" s="7">
        <v>6000</v>
      </c>
      <c r="E489" s="7" t="s">
        <v>5</v>
      </c>
      <c r="F489" s="7">
        <v>15.22</v>
      </c>
      <c r="G489" s="7">
        <v>0</v>
      </c>
      <c r="H489" s="7">
        <v>7199.8000006005004</v>
      </c>
      <c r="I489" s="7">
        <v>0</v>
      </c>
    </row>
    <row r="490" spans="1:9" x14ac:dyDescent="0.2">
      <c r="A490" s="7">
        <v>12548</v>
      </c>
      <c r="B490" s="7">
        <v>2.9767077802136201E-2</v>
      </c>
      <c r="C490" s="7">
        <v>8.1509172207196695E-2</v>
      </c>
      <c r="D490" s="7">
        <v>7550</v>
      </c>
      <c r="E490" s="7" t="s">
        <v>5</v>
      </c>
      <c r="F490" s="7">
        <v>14.3</v>
      </c>
      <c r="G490" s="7">
        <v>1</v>
      </c>
      <c r="H490" s="7">
        <v>5181.8599999999997</v>
      </c>
      <c r="I490" s="7">
        <v>0</v>
      </c>
    </row>
    <row r="491" spans="1:9" x14ac:dyDescent="0.2">
      <c r="A491" s="7">
        <v>136453</v>
      </c>
      <c r="B491" s="7">
        <v>2.69188340044191E-2</v>
      </c>
      <c r="C491" s="7">
        <v>8.1509172207196695E-2</v>
      </c>
      <c r="D491" s="7">
        <v>12000</v>
      </c>
      <c r="E491" s="7" t="s">
        <v>8</v>
      </c>
      <c r="F491" s="7">
        <v>13.11</v>
      </c>
      <c r="G491" s="7">
        <v>0</v>
      </c>
      <c r="H491" s="7">
        <v>14578.639993807999</v>
      </c>
      <c r="I491" s="7">
        <v>0</v>
      </c>
    </row>
    <row r="492" spans="1:9" x14ac:dyDescent="0.2">
      <c r="A492" s="7">
        <v>22096</v>
      </c>
      <c r="B492" s="7">
        <v>3.01712257734928E-2</v>
      </c>
      <c r="C492" s="7">
        <v>8.1509172207196695E-2</v>
      </c>
      <c r="D492" s="7">
        <v>10000</v>
      </c>
      <c r="E492" s="7" t="s">
        <v>5</v>
      </c>
      <c r="F492" s="7">
        <v>15.61</v>
      </c>
      <c r="G492" s="7">
        <v>0</v>
      </c>
      <c r="H492" s="7">
        <v>11167.7428751999</v>
      </c>
      <c r="I492" s="7">
        <v>0</v>
      </c>
    </row>
    <row r="493" spans="1:9" x14ac:dyDescent="0.2">
      <c r="A493" s="7">
        <v>133064</v>
      </c>
      <c r="B493" s="7">
        <v>4.48024035288829E-2</v>
      </c>
      <c r="C493" s="7">
        <v>8.4798680815203503E-2</v>
      </c>
      <c r="D493" s="7">
        <v>19000</v>
      </c>
      <c r="E493" s="7" t="s">
        <v>5</v>
      </c>
      <c r="F493" s="7">
        <v>15.81</v>
      </c>
      <c r="G493" s="7">
        <v>0</v>
      </c>
      <c r="H493" s="7">
        <v>23983.230002491298</v>
      </c>
      <c r="I493" s="7">
        <v>0</v>
      </c>
    </row>
    <row r="494" spans="1:9" x14ac:dyDescent="0.2">
      <c r="A494" s="7">
        <v>65122</v>
      </c>
      <c r="B494" s="7">
        <v>1.3182414715080399E-2</v>
      </c>
      <c r="C494" s="7">
        <v>7.4974238972806501E-2</v>
      </c>
      <c r="D494" s="7">
        <v>19750</v>
      </c>
      <c r="E494" s="7" t="s">
        <v>4</v>
      </c>
      <c r="F494" s="7">
        <v>7.9</v>
      </c>
      <c r="G494" s="7">
        <v>0</v>
      </c>
      <c r="H494" s="7">
        <v>22247.337103691199</v>
      </c>
      <c r="I494" s="7">
        <v>0</v>
      </c>
    </row>
    <row r="495" spans="1:9" x14ac:dyDescent="0.2">
      <c r="A495" s="7">
        <v>114067</v>
      </c>
      <c r="B495" s="7">
        <v>2.2351458642511798E-2</v>
      </c>
      <c r="C495" s="7">
        <v>8.1509172207196695E-2</v>
      </c>
      <c r="D495" s="7">
        <v>14000</v>
      </c>
      <c r="E495" s="7" t="s">
        <v>5</v>
      </c>
      <c r="F495" s="7">
        <v>15.31</v>
      </c>
      <c r="G495" s="7">
        <v>0</v>
      </c>
      <c r="H495" s="7">
        <v>17475.2700062609</v>
      </c>
      <c r="I495" s="7">
        <v>0</v>
      </c>
    </row>
    <row r="496" spans="1:9" x14ac:dyDescent="0.2">
      <c r="A496" s="7">
        <v>59556</v>
      </c>
      <c r="B496" s="7">
        <v>2.5580637212088999E-2</v>
      </c>
      <c r="C496" s="7">
        <v>8.4798680815203503E-2</v>
      </c>
      <c r="D496" s="7">
        <v>20000</v>
      </c>
      <c r="E496" s="7" t="s">
        <v>5</v>
      </c>
      <c r="F496" s="7">
        <v>14.33</v>
      </c>
      <c r="G496" s="7">
        <v>0</v>
      </c>
      <c r="H496" s="7">
        <v>24041.830000000398</v>
      </c>
      <c r="I496" s="7">
        <v>0</v>
      </c>
    </row>
    <row r="497" spans="1:9" x14ac:dyDescent="0.2">
      <c r="A497" s="7">
        <v>127831</v>
      </c>
      <c r="B497" s="7">
        <v>2.8443100338240102E-2</v>
      </c>
      <c r="C497" s="7">
        <v>8.1509172207196695E-2</v>
      </c>
      <c r="D497" s="7">
        <v>10000</v>
      </c>
      <c r="E497" s="7" t="s">
        <v>5</v>
      </c>
      <c r="F497" s="7">
        <v>16.29</v>
      </c>
      <c r="G497" s="7">
        <v>0</v>
      </c>
      <c r="H497" s="7">
        <v>12356.8546698645</v>
      </c>
      <c r="I497" s="7">
        <v>0</v>
      </c>
    </row>
    <row r="498" spans="1:9" x14ac:dyDescent="0.2">
      <c r="A498" s="7">
        <v>5158</v>
      </c>
      <c r="B498" s="7">
        <v>2.9017357287909801E-2</v>
      </c>
      <c r="C498" s="7">
        <v>8.4798680815203503E-2</v>
      </c>
      <c r="D498" s="7">
        <v>35000</v>
      </c>
      <c r="E498" s="7" t="s">
        <v>5</v>
      </c>
      <c r="F498" s="7">
        <v>13.98</v>
      </c>
      <c r="G498" s="7">
        <v>1</v>
      </c>
      <c r="H498" s="7">
        <v>27505.24</v>
      </c>
      <c r="I498" s="7">
        <v>0</v>
      </c>
    </row>
    <row r="499" spans="1:9" x14ac:dyDescent="0.2">
      <c r="A499" s="7">
        <v>51676</v>
      </c>
      <c r="B499" s="7">
        <v>-4.6558765265301101E-3</v>
      </c>
      <c r="C499" s="7">
        <v>8.4798680815203503E-2</v>
      </c>
      <c r="D499" s="7">
        <v>30000</v>
      </c>
      <c r="E499" s="7" t="s">
        <v>9</v>
      </c>
      <c r="F499" s="7">
        <v>24.89</v>
      </c>
      <c r="G499" s="7">
        <v>1</v>
      </c>
      <c r="H499" s="7">
        <v>25474.06</v>
      </c>
      <c r="I499" s="7">
        <v>0</v>
      </c>
    </row>
    <row r="500" spans="1:9" x14ac:dyDescent="0.2">
      <c r="A500" s="7">
        <v>57263</v>
      </c>
      <c r="B500" s="7">
        <v>2.38422223776441E-2</v>
      </c>
      <c r="C500" s="7">
        <v>7.4974238972806501E-2</v>
      </c>
      <c r="D500" s="7">
        <v>8725</v>
      </c>
      <c r="E500" s="7" t="s">
        <v>5</v>
      </c>
      <c r="F500" s="7">
        <v>14.33</v>
      </c>
      <c r="G500" s="7">
        <v>0</v>
      </c>
      <c r="H500" s="7">
        <v>10537.299998554099</v>
      </c>
      <c r="I500" s="7">
        <v>0</v>
      </c>
    </row>
    <row r="501" spans="1:9" x14ac:dyDescent="0.2">
      <c r="A501" s="7">
        <v>97114</v>
      </c>
      <c r="B501" s="7">
        <v>2.59799222591581E-2</v>
      </c>
      <c r="C501" s="7">
        <v>5.3944556304700297E-2</v>
      </c>
      <c r="D501" s="7">
        <v>18000</v>
      </c>
      <c r="E501" s="7" t="s">
        <v>4</v>
      </c>
      <c r="F501" s="7">
        <v>6.03</v>
      </c>
      <c r="G501" s="7">
        <v>0</v>
      </c>
      <c r="H501" s="7">
        <v>19708.8506514363</v>
      </c>
      <c r="I501" s="7">
        <v>0</v>
      </c>
    </row>
    <row r="502" spans="1:9" x14ac:dyDescent="0.2">
      <c r="A502" s="7">
        <v>47645</v>
      </c>
      <c r="B502" s="7">
        <v>3.8366116872958003E-2</v>
      </c>
      <c r="C502" s="7">
        <v>7.7054178620260594E-2</v>
      </c>
      <c r="D502" s="7">
        <v>15000</v>
      </c>
      <c r="E502" s="7" t="s">
        <v>8</v>
      </c>
      <c r="F502" s="7">
        <v>14.09</v>
      </c>
      <c r="G502" s="7">
        <v>0</v>
      </c>
      <c r="H502" s="7">
        <v>18074.3000089161</v>
      </c>
      <c r="I502" s="7">
        <v>0</v>
      </c>
    </row>
    <row r="503" spans="1:9" x14ac:dyDescent="0.2">
      <c r="A503" s="7">
        <v>61902</v>
      </c>
      <c r="B503" s="7">
        <v>1.45919211803373E-2</v>
      </c>
      <c r="C503" s="7">
        <v>7.7054178620260594E-2</v>
      </c>
      <c r="D503" s="7">
        <v>15850</v>
      </c>
      <c r="E503" s="7" t="s">
        <v>6</v>
      </c>
      <c r="F503" s="7">
        <v>18.489999999999998</v>
      </c>
      <c r="G503" s="7">
        <v>1</v>
      </c>
      <c r="H503" s="7">
        <v>8755.7800000000007</v>
      </c>
      <c r="I503" s="7">
        <v>1841.37</v>
      </c>
    </row>
    <row r="504" spans="1:9" x14ac:dyDescent="0.2">
      <c r="A504" s="7">
        <v>70457</v>
      </c>
      <c r="B504" s="7">
        <v>2.91577029714227E-2</v>
      </c>
      <c r="C504" s="7">
        <v>7.4974238972806501E-2</v>
      </c>
      <c r="D504" s="7">
        <v>11000</v>
      </c>
      <c r="E504" s="7" t="s">
        <v>4</v>
      </c>
      <c r="F504" s="7">
        <v>8.9</v>
      </c>
      <c r="G504" s="7">
        <v>0</v>
      </c>
      <c r="H504" s="7">
        <v>11238.78</v>
      </c>
      <c r="I504" s="7">
        <v>0</v>
      </c>
    </row>
    <row r="505" spans="1:9" x14ac:dyDescent="0.2">
      <c r="A505" s="7">
        <v>124743</v>
      </c>
      <c r="B505" s="7">
        <v>1.60641020354595E-2</v>
      </c>
      <c r="C505" s="7">
        <v>8.1509172207196695E-2</v>
      </c>
      <c r="D505" s="7">
        <v>5500</v>
      </c>
      <c r="E505" s="7" t="s">
        <v>4</v>
      </c>
      <c r="F505" s="7">
        <v>7.9</v>
      </c>
      <c r="G505" s="7">
        <v>0</v>
      </c>
      <c r="H505" s="7">
        <v>6017.3299972602999</v>
      </c>
      <c r="I505" s="7">
        <v>0</v>
      </c>
    </row>
    <row r="506" spans="1:9" x14ac:dyDescent="0.2">
      <c r="A506" s="7">
        <v>125508</v>
      </c>
      <c r="B506" s="7">
        <v>3.1890883503322698E-2</v>
      </c>
      <c r="C506" s="7">
        <v>7.4974238972806501E-2</v>
      </c>
      <c r="D506" s="7">
        <v>17050</v>
      </c>
      <c r="E506" s="7" t="s">
        <v>5</v>
      </c>
      <c r="F506" s="7">
        <v>14.33</v>
      </c>
      <c r="G506" s="7">
        <v>0</v>
      </c>
      <c r="H506" s="7">
        <v>20083.990191037799</v>
      </c>
      <c r="I506" s="7">
        <v>0</v>
      </c>
    </row>
    <row r="507" spans="1:9" x14ac:dyDescent="0.2">
      <c r="A507" s="7">
        <v>40942</v>
      </c>
      <c r="B507" s="7">
        <v>1.60273142261813E-2</v>
      </c>
      <c r="C507" s="7">
        <v>8.1509172207196695E-2</v>
      </c>
      <c r="D507" s="7">
        <v>11775</v>
      </c>
      <c r="E507" s="7" t="s">
        <v>4</v>
      </c>
      <c r="F507" s="7">
        <v>8.9</v>
      </c>
      <c r="G507" s="7">
        <v>1</v>
      </c>
      <c r="H507" s="7">
        <v>10486.22</v>
      </c>
      <c r="I507" s="7">
        <v>0</v>
      </c>
    </row>
    <row r="508" spans="1:9" x14ac:dyDescent="0.2">
      <c r="A508" s="7">
        <v>133691</v>
      </c>
      <c r="B508" s="7">
        <v>2.8372104825305999E-2</v>
      </c>
      <c r="C508" s="7">
        <v>7.4974238972806501E-2</v>
      </c>
      <c r="D508" s="7">
        <v>6000</v>
      </c>
      <c r="E508" s="7" t="s">
        <v>5</v>
      </c>
      <c r="F508" s="7">
        <v>13.99</v>
      </c>
      <c r="G508" s="7">
        <v>0</v>
      </c>
      <c r="H508" s="7">
        <v>6571.5995856404998</v>
      </c>
      <c r="I508" s="7">
        <v>0</v>
      </c>
    </row>
    <row r="509" spans="1:9" x14ac:dyDescent="0.2">
      <c r="A509" s="7">
        <v>103929</v>
      </c>
      <c r="B509" s="7">
        <v>3.0418015644021801E-2</v>
      </c>
      <c r="C509" s="7">
        <v>8.1509172207196695E-2</v>
      </c>
      <c r="D509" s="7">
        <v>10000</v>
      </c>
      <c r="E509" s="7" t="s">
        <v>8</v>
      </c>
      <c r="F509" s="7">
        <v>13.11</v>
      </c>
      <c r="G509" s="7">
        <v>0</v>
      </c>
      <c r="H509" s="7">
        <v>11830.955103039199</v>
      </c>
      <c r="I509" s="7">
        <v>0</v>
      </c>
    </row>
    <row r="510" spans="1:9" x14ac:dyDescent="0.2">
      <c r="A510" s="7">
        <v>128984</v>
      </c>
      <c r="B510" s="7">
        <v>-1.6593595665861599E-3</v>
      </c>
      <c r="C510" s="7">
        <v>8.4798680815203503E-2</v>
      </c>
      <c r="D510" s="7">
        <v>24000</v>
      </c>
      <c r="E510" s="7" t="s">
        <v>8</v>
      </c>
      <c r="F510" s="7">
        <v>13.67</v>
      </c>
      <c r="G510" s="7">
        <v>0</v>
      </c>
      <c r="H510" s="7">
        <v>25845.624220320798</v>
      </c>
      <c r="I510" s="7">
        <v>0</v>
      </c>
    </row>
    <row r="511" spans="1:9" x14ac:dyDescent="0.2">
      <c r="A511" s="7">
        <v>67494</v>
      </c>
      <c r="B511" s="7">
        <v>2.87782136793426E-2</v>
      </c>
      <c r="C511" s="7">
        <v>8.4798680815203503E-2</v>
      </c>
      <c r="D511" s="7">
        <v>18725</v>
      </c>
      <c r="E511" s="7" t="s">
        <v>6</v>
      </c>
      <c r="F511" s="7">
        <v>18.75</v>
      </c>
      <c r="G511" s="7">
        <v>0</v>
      </c>
      <c r="H511" s="7">
        <v>24099.2300069884</v>
      </c>
      <c r="I511" s="7">
        <v>0</v>
      </c>
    </row>
    <row r="512" spans="1:9" x14ac:dyDescent="0.2">
      <c r="A512" s="7">
        <v>50796</v>
      </c>
      <c r="B512" s="7">
        <v>3.2871447843171302E-2</v>
      </c>
      <c r="C512" s="7">
        <v>7.4974238972806501E-2</v>
      </c>
      <c r="D512" s="7">
        <v>2000</v>
      </c>
      <c r="E512" s="7" t="s">
        <v>6</v>
      </c>
      <c r="F512" s="7">
        <v>19.72</v>
      </c>
      <c r="G512" s="7">
        <v>0</v>
      </c>
      <c r="H512" s="7">
        <v>2186.8252293199998</v>
      </c>
      <c r="I512" s="7">
        <v>0</v>
      </c>
    </row>
    <row r="513" spans="1:9" x14ac:dyDescent="0.2">
      <c r="A513" s="7">
        <v>43376</v>
      </c>
      <c r="B513" s="7">
        <v>3.3018579786445797E-2</v>
      </c>
      <c r="C513" s="7">
        <v>7.7054178620260594E-2</v>
      </c>
      <c r="D513" s="7">
        <v>5600</v>
      </c>
      <c r="E513" s="7" t="s">
        <v>8</v>
      </c>
      <c r="F513" s="7">
        <v>10.64</v>
      </c>
      <c r="G513" s="7">
        <v>0</v>
      </c>
      <c r="H513" s="7">
        <v>6515.0599989906004</v>
      </c>
      <c r="I513" s="7">
        <v>0</v>
      </c>
    </row>
    <row r="514" spans="1:9" x14ac:dyDescent="0.2">
      <c r="A514" s="7">
        <v>17593</v>
      </c>
      <c r="B514" s="7">
        <v>-4.6303463695154404E-3</v>
      </c>
      <c r="C514" s="7">
        <v>7.4974238972806501E-2</v>
      </c>
      <c r="D514" s="7">
        <v>20000</v>
      </c>
      <c r="E514" s="7" t="s">
        <v>8</v>
      </c>
      <c r="F514" s="7">
        <v>11.99</v>
      </c>
      <c r="G514" s="7">
        <v>0</v>
      </c>
      <c r="H514" s="7">
        <v>24504.92</v>
      </c>
      <c r="I514" s="7">
        <v>0</v>
      </c>
    </row>
    <row r="515" spans="1:9" x14ac:dyDescent="0.2">
      <c r="A515" s="7">
        <v>138519</v>
      </c>
      <c r="B515" s="7">
        <v>3.5911618441979397E-2</v>
      </c>
      <c r="C515" s="7">
        <v>5.3944556304700297E-2</v>
      </c>
      <c r="D515" s="7">
        <v>28000</v>
      </c>
      <c r="E515" s="7" t="s">
        <v>5</v>
      </c>
      <c r="F515" s="7">
        <v>15.31</v>
      </c>
      <c r="G515" s="7">
        <v>0</v>
      </c>
      <c r="H515" s="7">
        <v>28357.9</v>
      </c>
      <c r="I515" s="7">
        <v>0</v>
      </c>
    </row>
    <row r="516" spans="1:9" x14ac:dyDescent="0.2">
      <c r="A516" s="7">
        <v>84350</v>
      </c>
      <c r="B516" s="7">
        <v>3.0461244762573801E-2</v>
      </c>
      <c r="C516" s="7">
        <v>8.1509172207196695E-2</v>
      </c>
      <c r="D516" s="7">
        <v>3950</v>
      </c>
      <c r="E516" s="7" t="s">
        <v>5</v>
      </c>
      <c r="F516" s="7">
        <v>15.31</v>
      </c>
      <c r="G516" s="7">
        <v>0</v>
      </c>
      <c r="H516" s="7">
        <v>4837.4599995569997</v>
      </c>
      <c r="I516" s="7">
        <v>0</v>
      </c>
    </row>
    <row r="517" spans="1:9" x14ac:dyDescent="0.2">
      <c r="A517" s="7">
        <v>49411</v>
      </c>
      <c r="B517" s="7">
        <v>3.4179313750168E-2</v>
      </c>
      <c r="C517" s="7">
        <v>7.7054178620260594E-2</v>
      </c>
      <c r="D517" s="7">
        <v>5500</v>
      </c>
      <c r="E517" s="7" t="s">
        <v>6</v>
      </c>
      <c r="F517" s="7">
        <v>18.489999999999998</v>
      </c>
      <c r="G517" s="7">
        <v>0</v>
      </c>
      <c r="H517" s="7">
        <v>6055.3798181718003</v>
      </c>
      <c r="I517" s="7">
        <v>0</v>
      </c>
    </row>
    <row r="518" spans="1:9" x14ac:dyDescent="0.2">
      <c r="A518" s="7">
        <v>139291</v>
      </c>
      <c r="B518" s="7">
        <v>1.24845823626294E-2</v>
      </c>
      <c r="C518" s="7">
        <v>7.4974238972806501E-2</v>
      </c>
      <c r="D518" s="7">
        <v>10000</v>
      </c>
      <c r="E518" s="7" t="s">
        <v>4</v>
      </c>
      <c r="F518" s="7">
        <v>6.03</v>
      </c>
      <c r="G518" s="7">
        <v>0</v>
      </c>
      <c r="H518" s="7">
        <v>10956.7799999982</v>
      </c>
      <c r="I518" s="7">
        <v>0</v>
      </c>
    </row>
    <row r="519" spans="1:9" x14ac:dyDescent="0.2">
      <c r="A519" s="7">
        <v>121142</v>
      </c>
      <c r="B519" s="7">
        <v>4.1653686590734103E-2</v>
      </c>
      <c r="C519" s="7">
        <v>7.4974238972806501E-2</v>
      </c>
      <c r="D519" s="7">
        <v>8300</v>
      </c>
      <c r="E519" s="7" t="s">
        <v>5</v>
      </c>
      <c r="F519" s="7">
        <v>16.29</v>
      </c>
      <c r="G519" s="7">
        <v>0</v>
      </c>
      <c r="H519" s="7">
        <v>10546.2000027054</v>
      </c>
      <c r="I519" s="7">
        <v>0</v>
      </c>
    </row>
    <row r="520" spans="1:9" x14ac:dyDescent="0.2">
      <c r="A520" s="7">
        <v>26054</v>
      </c>
      <c r="B520" s="7">
        <v>2.9344470476630101E-2</v>
      </c>
      <c r="C520" s="7">
        <v>7.4974238972806501E-2</v>
      </c>
      <c r="D520" s="7">
        <v>15000</v>
      </c>
      <c r="E520" s="7" t="s">
        <v>8</v>
      </c>
      <c r="F520" s="7">
        <v>10.99</v>
      </c>
      <c r="G520" s="7">
        <v>0</v>
      </c>
      <c r="H520" s="7">
        <v>17234.4700078153</v>
      </c>
      <c r="I520" s="7">
        <v>0</v>
      </c>
    </row>
    <row r="521" spans="1:9" x14ac:dyDescent="0.2">
      <c r="A521" s="7">
        <v>129124</v>
      </c>
      <c r="B521" s="7">
        <v>2.6381183985083399E-2</v>
      </c>
      <c r="C521" s="7">
        <v>8.1509172207196695E-2</v>
      </c>
      <c r="D521" s="7">
        <v>12000</v>
      </c>
      <c r="E521" s="7" t="s">
        <v>8</v>
      </c>
      <c r="F521" s="7">
        <v>13.67</v>
      </c>
      <c r="G521" s="7">
        <v>0</v>
      </c>
      <c r="H521" s="7">
        <v>14582.109995611399</v>
      </c>
      <c r="I521" s="7">
        <v>0</v>
      </c>
    </row>
    <row r="522" spans="1:9" x14ac:dyDescent="0.2">
      <c r="A522" s="7">
        <v>108320</v>
      </c>
      <c r="B522" s="7">
        <v>2.9201196285181301E-2</v>
      </c>
      <c r="C522" s="7">
        <v>8.1509172207196695E-2</v>
      </c>
      <c r="D522" s="7">
        <v>8000</v>
      </c>
      <c r="E522" s="7" t="s">
        <v>6</v>
      </c>
      <c r="F522" s="7">
        <v>18.489999999999998</v>
      </c>
      <c r="G522" s="7">
        <v>1</v>
      </c>
      <c r="H522" s="7">
        <v>3203.09</v>
      </c>
      <c r="I522" s="7">
        <v>0</v>
      </c>
    </row>
    <row r="523" spans="1:9" x14ac:dyDescent="0.2">
      <c r="A523" s="7">
        <v>3874</v>
      </c>
      <c r="B523" s="7">
        <v>2.7082770582267601E-2</v>
      </c>
      <c r="C523" s="7">
        <v>7.4974238972806501E-2</v>
      </c>
      <c r="D523" s="7">
        <v>2000</v>
      </c>
      <c r="E523" s="7" t="s">
        <v>8</v>
      </c>
      <c r="F523" s="7">
        <v>13.53</v>
      </c>
      <c r="G523" s="7">
        <v>1</v>
      </c>
      <c r="H523" s="7">
        <v>1425.36</v>
      </c>
      <c r="I523" s="7">
        <v>0</v>
      </c>
    </row>
    <row r="524" spans="1:9" x14ac:dyDescent="0.2">
      <c r="A524" s="7">
        <v>98797</v>
      </c>
      <c r="B524" s="7">
        <v>3.4790982197754498E-2</v>
      </c>
      <c r="C524" s="7">
        <v>7.4974238972806501E-2</v>
      </c>
      <c r="D524" s="7">
        <v>3000</v>
      </c>
      <c r="E524" s="7" t="s">
        <v>6</v>
      </c>
      <c r="F524" s="7">
        <v>18.489999999999998</v>
      </c>
      <c r="G524" s="7">
        <v>0</v>
      </c>
      <c r="H524" s="7">
        <v>3872.98</v>
      </c>
      <c r="I524" s="7">
        <v>0</v>
      </c>
    </row>
    <row r="525" spans="1:9" x14ac:dyDescent="0.2">
      <c r="A525" s="7">
        <v>19807</v>
      </c>
      <c r="B525" s="7">
        <v>2.9663779425337599E-3</v>
      </c>
      <c r="C525" s="7">
        <v>8.4798680815203503E-2</v>
      </c>
      <c r="D525" s="7">
        <v>31300</v>
      </c>
      <c r="E525" s="7" t="s">
        <v>5</v>
      </c>
      <c r="F525" s="7">
        <v>17.100000000000001</v>
      </c>
      <c r="G525" s="7">
        <v>0</v>
      </c>
      <c r="H525" s="7">
        <v>39649.389996660597</v>
      </c>
      <c r="I525" s="7">
        <v>0</v>
      </c>
    </row>
    <row r="526" spans="1:9" x14ac:dyDescent="0.2">
      <c r="A526" s="7">
        <v>89661</v>
      </c>
      <c r="B526" s="8">
        <v>-5.9134950573672503E-5</v>
      </c>
      <c r="C526" s="7">
        <v>8.4798680815203503E-2</v>
      </c>
      <c r="D526" s="7">
        <v>19725</v>
      </c>
      <c r="E526" s="7" t="s">
        <v>5</v>
      </c>
      <c r="F526" s="7">
        <v>15.8</v>
      </c>
      <c r="G526" s="7">
        <v>0</v>
      </c>
      <c r="H526" s="7">
        <v>25604.839988242202</v>
      </c>
      <c r="I526" s="7">
        <v>0</v>
      </c>
    </row>
    <row r="527" spans="1:9" x14ac:dyDescent="0.2">
      <c r="A527" s="7">
        <v>131909</v>
      </c>
      <c r="B527" s="7">
        <v>1.8659798165044102E-2</v>
      </c>
      <c r="C527" s="7">
        <v>7.4974238972806501E-2</v>
      </c>
      <c r="D527" s="7">
        <v>6700</v>
      </c>
      <c r="E527" s="7" t="s">
        <v>4</v>
      </c>
      <c r="F527" s="7">
        <v>6.03</v>
      </c>
      <c r="G527" s="7">
        <v>0</v>
      </c>
      <c r="H527" s="7">
        <v>7341.0439205499997</v>
      </c>
      <c r="I527" s="7">
        <v>0</v>
      </c>
    </row>
    <row r="528" spans="1:9" x14ac:dyDescent="0.2">
      <c r="A528" s="7">
        <v>134435</v>
      </c>
      <c r="B528" s="7">
        <v>3.06764810730158E-2</v>
      </c>
      <c r="C528" s="7">
        <v>7.4974238972806501E-2</v>
      </c>
      <c r="D528" s="7">
        <v>5000</v>
      </c>
      <c r="E528" s="7" t="s">
        <v>8</v>
      </c>
      <c r="F528" s="7">
        <v>10.74</v>
      </c>
      <c r="G528" s="7">
        <v>0</v>
      </c>
      <c r="H528" s="7">
        <v>5556.6881410837004</v>
      </c>
      <c r="I528" s="7">
        <v>0</v>
      </c>
    </row>
    <row r="529" spans="1:9" x14ac:dyDescent="0.2">
      <c r="A529" s="7">
        <v>109159</v>
      </c>
      <c r="B529" s="7">
        <v>3.6719021621704102E-2</v>
      </c>
      <c r="C529" s="7">
        <v>8.1509172207196695E-2</v>
      </c>
      <c r="D529" s="7">
        <v>17250</v>
      </c>
      <c r="E529" s="7" t="s">
        <v>5</v>
      </c>
      <c r="F529" s="7">
        <v>17.27</v>
      </c>
      <c r="G529" s="7">
        <v>0</v>
      </c>
      <c r="H529" s="7">
        <v>22223.773118957</v>
      </c>
      <c r="I529" s="7">
        <v>0</v>
      </c>
    </row>
    <row r="530" spans="1:9" x14ac:dyDescent="0.2">
      <c r="A530" s="7">
        <v>44322</v>
      </c>
      <c r="B530" s="7">
        <v>2.19246011715327E-2</v>
      </c>
      <c r="C530" s="7">
        <v>7.7054178620260594E-2</v>
      </c>
      <c r="D530" s="7">
        <v>10000</v>
      </c>
      <c r="E530" s="7" t="s">
        <v>5</v>
      </c>
      <c r="F530" s="7">
        <v>13.68</v>
      </c>
      <c r="G530" s="7">
        <v>0</v>
      </c>
      <c r="H530" s="7">
        <v>11832.500000001</v>
      </c>
      <c r="I530" s="7">
        <v>0</v>
      </c>
    </row>
    <row r="531" spans="1:9" x14ac:dyDescent="0.2">
      <c r="A531" s="7">
        <v>35124</v>
      </c>
      <c r="B531" s="7">
        <v>-5.5981658079633104E-3</v>
      </c>
      <c r="C531" s="7">
        <v>8.1509172207196695E-2</v>
      </c>
      <c r="D531" s="7">
        <v>14500</v>
      </c>
      <c r="E531" s="7" t="s">
        <v>10</v>
      </c>
      <c r="F531" s="7">
        <v>23.5</v>
      </c>
      <c r="G531" s="7">
        <v>0</v>
      </c>
      <c r="H531" s="7">
        <v>16164.900634362501</v>
      </c>
      <c r="I531" s="7">
        <v>0</v>
      </c>
    </row>
    <row r="532" spans="1:9" x14ac:dyDescent="0.2">
      <c r="A532" s="7">
        <v>131467</v>
      </c>
      <c r="B532" s="7">
        <v>1.2841786953480599E-2</v>
      </c>
      <c r="C532" s="7">
        <v>7.4974238972806501E-2</v>
      </c>
      <c r="D532" s="7">
        <v>5175</v>
      </c>
      <c r="E532" s="7" t="s">
        <v>4</v>
      </c>
      <c r="F532" s="7">
        <v>6.03</v>
      </c>
      <c r="G532" s="7">
        <v>0</v>
      </c>
      <c r="H532" s="7">
        <v>5609.8180298855004</v>
      </c>
      <c r="I532" s="7">
        <v>0</v>
      </c>
    </row>
    <row r="533" spans="1:9" x14ac:dyDescent="0.2">
      <c r="A533" s="7">
        <v>91004</v>
      </c>
      <c r="B533" s="7">
        <v>3.1817143125248602E-2</v>
      </c>
      <c r="C533" s="7">
        <v>8.4798680815203503E-2</v>
      </c>
      <c r="D533" s="7">
        <v>35000</v>
      </c>
      <c r="E533" s="7" t="s">
        <v>6</v>
      </c>
      <c r="F533" s="7">
        <v>18.75</v>
      </c>
      <c r="G533" s="7">
        <v>1</v>
      </c>
      <c r="H533" s="7">
        <v>28165.23</v>
      </c>
      <c r="I533" s="7">
        <v>2605.9299999999998</v>
      </c>
    </row>
    <row r="534" spans="1:9" x14ac:dyDescent="0.2">
      <c r="A534" s="7">
        <v>100946</v>
      </c>
      <c r="B534" s="7">
        <v>9.0792560644624605E-3</v>
      </c>
      <c r="C534" s="7">
        <v>8.4798680815203503E-2</v>
      </c>
      <c r="D534" s="7">
        <v>25000</v>
      </c>
      <c r="E534" s="7" t="s">
        <v>7</v>
      </c>
      <c r="F534" s="7">
        <v>21</v>
      </c>
      <c r="G534" s="7">
        <v>0</v>
      </c>
      <c r="H534" s="7">
        <v>30339.650026110899</v>
      </c>
      <c r="I534" s="7">
        <v>0</v>
      </c>
    </row>
    <row r="535" spans="1:9" x14ac:dyDescent="0.2">
      <c r="A535" s="7">
        <v>60764</v>
      </c>
      <c r="B535" s="7">
        <v>8.6783939504836097E-3</v>
      </c>
      <c r="C535" s="7">
        <v>8.4798680815203503E-2</v>
      </c>
      <c r="D535" s="7">
        <v>25975</v>
      </c>
      <c r="E535" s="7" t="s">
        <v>7</v>
      </c>
      <c r="F535" s="7">
        <v>21.49</v>
      </c>
      <c r="G535" s="7">
        <v>1</v>
      </c>
      <c r="H535" s="7">
        <v>14907.69</v>
      </c>
      <c r="I535" s="7">
        <v>0</v>
      </c>
    </row>
    <row r="536" spans="1:9" x14ac:dyDescent="0.2">
      <c r="A536" s="7">
        <v>54684</v>
      </c>
      <c r="B536" s="7">
        <v>2.2861643851028901E-2</v>
      </c>
      <c r="C536" s="7">
        <v>7.7054178620260594E-2</v>
      </c>
      <c r="D536" s="7">
        <v>15000</v>
      </c>
      <c r="E536" s="7" t="s">
        <v>8</v>
      </c>
      <c r="F536" s="7">
        <v>12.12</v>
      </c>
      <c r="G536" s="7">
        <v>0</v>
      </c>
      <c r="H536" s="7">
        <v>16685.275111267601</v>
      </c>
      <c r="I536" s="7">
        <v>0</v>
      </c>
    </row>
    <row r="537" spans="1:9" x14ac:dyDescent="0.2">
      <c r="A537" s="7">
        <v>220</v>
      </c>
      <c r="B537" s="7">
        <v>-3.54696661770907E-4</v>
      </c>
      <c r="C537" s="7">
        <v>8.4798680815203503E-2</v>
      </c>
      <c r="D537" s="7">
        <v>30750</v>
      </c>
      <c r="E537" s="7" t="s">
        <v>6</v>
      </c>
      <c r="F537" s="7">
        <v>19.97</v>
      </c>
      <c r="G537" s="7">
        <v>0</v>
      </c>
      <c r="H537" s="7">
        <v>41517.7799580016</v>
      </c>
      <c r="I537" s="7">
        <v>0</v>
      </c>
    </row>
    <row r="538" spans="1:9" x14ac:dyDescent="0.2">
      <c r="A538" s="7">
        <v>99970</v>
      </c>
      <c r="B538" s="7">
        <v>3.9467966611130296E-3</v>
      </c>
      <c r="C538" s="7">
        <v>8.4798680815203503E-2</v>
      </c>
      <c r="D538" s="7">
        <v>27000</v>
      </c>
      <c r="E538" s="7" t="s">
        <v>7</v>
      </c>
      <c r="F538" s="7">
        <v>21.49</v>
      </c>
      <c r="G538" s="7">
        <v>1</v>
      </c>
      <c r="H538" s="7">
        <v>27544.55</v>
      </c>
      <c r="I538" s="7">
        <v>0</v>
      </c>
    </row>
    <row r="539" spans="1:9" x14ac:dyDescent="0.2">
      <c r="A539" s="7">
        <v>76828</v>
      </c>
      <c r="B539" s="7">
        <v>3.3914907747859199E-2</v>
      </c>
      <c r="C539" s="7">
        <v>7.4974238972806501E-2</v>
      </c>
      <c r="D539" s="7">
        <v>13500</v>
      </c>
      <c r="E539" s="7" t="s">
        <v>8</v>
      </c>
      <c r="F539" s="7">
        <v>10.16</v>
      </c>
      <c r="G539" s="7">
        <v>0</v>
      </c>
      <c r="H539" s="7">
        <v>15120.386102962901</v>
      </c>
      <c r="I539" s="7">
        <v>0</v>
      </c>
    </row>
    <row r="540" spans="1:9" x14ac:dyDescent="0.2">
      <c r="A540" s="7">
        <v>116710</v>
      </c>
      <c r="B540" s="7">
        <v>-4.55732852098002E-4</v>
      </c>
      <c r="C540" s="7">
        <v>8.4798680815203503E-2</v>
      </c>
      <c r="D540" s="7">
        <v>25975</v>
      </c>
      <c r="E540" s="7" t="s">
        <v>9</v>
      </c>
      <c r="F540" s="7">
        <v>24.7</v>
      </c>
      <c r="G540" s="7">
        <v>1</v>
      </c>
      <c r="H540" s="7">
        <v>24529.7</v>
      </c>
      <c r="I540" s="7">
        <v>7122.67</v>
      </c>
    </row>
    <row r="541" spans="1:9" x14ac:dyDescent="0.2">
      <c r="A541" s="7">
        <v>103739</v>
      </c>
      <c r="B541" s="7">
        <v>2.1252818669839399E-2</v>
      </c>
      <c r="C541" s="7">
        <v>8.1509172207196695E-2</v>
      </c>
      <c r="D541" s="7">
        <v>11100</v>
      </c>
      <c r="E541" s="7" t="s">
        <v>6</v>
      </c>
      <c r="F541" s="7">
        <v>17.77</v>
      </c>
      <c r="G541" s="7">
        <v>0</v>
      </c>
      <c r="H541" s="7">
        <v>14327.940010009699</v>
      </c>
      <c r="I541" s="7">
        <v>0</v>
      </c>
    </row>
    <row r="542" spans="1:9" x14ac:dyDescent="0.2">
      <c r="A542" s="7">
        <v>76827</v>
      </c>
      <c r="B542" s="7">
        <v>2.4658217347778E-2</v>
      </c>
      <c r="C542" s="7">
        <v>5.3944556304700297E-2</v>
      </c>
      <c r="D542" s="7">
        <v>16000</v>
      </c>
      <c r="E542" s="7" t="s">
        <v>4</v>
      </c>
      <c r="F542" s="7">
        <v>6.03</v>
      </c>
      <c r="G542" s="7">
        <v>0</v>
      </c>
      <c r="H542" s="7">
        <v>17250.679999998301</v>
      </c>
      <c r="I542" s="7">
        <v>0</v>
      </c>
    </row>
    <row r="543" spans="1:9" x14ac:dyDescent="0.2">
      <c r="A543" s="7">
        <v>75105</v>
      </c>
      <c r="B543" s="7">
        <v>3.24520274280524E-2</v>
      </c>
      <c r="C543" s="7">
        <v>7.4974238972806501E-2</v>
      </c>
      <c r="D543" s="7">
        <v>14400</v>
      </c>
      <c r="E543" s="7" t="s">
        <v>5</v>
      </c>
      <c r="F543" s="7">
        <v>17.27</v>
      </c>
      <c r="G543" s="7">
        <v>0</v>
      </c>
      <c r="H543" s="7">
        <v>18327.099989002101</v>
      </c>
      <c r="I543" s="7">
        <v>0</v>
      </c>
    </row>
    <row r="544" spans="1:9" x14ac:dyDescent="0.2">
      <c r="A544" s="7">
        <v>136872</v>
      </c>
      <c r="B544" s="7">
        <v>9.5998487623665998E-3</v>
      </c>
      <c r="C544" s="7">
        <v>5.3944556304700297E-2</v>
      </c>
      <c r="D544" s="7">
        <v>16750</v>
      </c>
      <c r="E544" s="7" t="s">
        <v>8</v>
      </c>
      <c r="F544" s="7">
        <v>12.12</v>
      </c>
      <c r="G544" s="7">
        <v>0</v>
      </c>
      <c r="H544" s="7">
        <v>18362.1823931299</v>
      </c>
      <c r="I544" s="7">
        <v>0</v>
      </c>
    </row>
    <row r="545" spans="1:9" x14ac:dyDescent="0.2">
      <c r="A545" s="7">
        <v>11463</v>
      </c>
      <c r="B545" s="7">
        <v>1.5597005323979301E-2</v>
      </c>
      <c r="C545" s="7">
        <v>8.1509172207196695E-2</v>
      </c>
      <c r="D545" s="7">
        <v>13000</v>
      </c>
      <c r="E545" s="7" t="s">
        <v>4</v>
      </c>
      <c r="F545" s="7">
        <v>7.9</v>
      </c>
      <c r="G545" s="7">
        <v>0</v>
      </c>
      <c r="H545" s="7">
        <v>14568.639991681899</v>
      </c>
      <c r="I545" s="7">
        <v>0</v>
      </c>
    </row>
    <row r="546" spans="1:9" x14ac:dyDescent="0.2">
      <c r="A546" s="7">
        <v>116575</v>
      </c>
      <c r="B546" s="7">
        <v>4.2295530031475001E-2</v>
      </c>
      <c r="C546" s="7">
        <v>8.1509172207196695E-2</v>
      </c>
      <c r="D546" s="7">
        <v>18125</v>
      </c>
      <c r="E546" s="7" t="s">
        <v>6</v>
      </c>
      <c r="F546" s="7">
        <v>17.77</v>
      </c>
      <c r="G546" s="7">
        <v>0</v>
      </c>
      <c r="H546" s="7">
        <v>22397.258808604402</v>
      </c>
      <c r="I546" s="7">
        <v>0</v>
      </c>
    </row>
    <row r="547" spans="1:9" x14ac:dyDescent="0.2">
      <c r="A547" s="7">
        <v>56586</v>
      </c>
      <c r="B547" s="7">
        <v>2.7192860113602699E-2</v>
      </c>
      <c r="C547" s="7">
        <v>7.4974238972806501E-2</v>
      </c>
      <c r="D547" s="7">
        <v>8000</v>
      </c>
      <c r="E547" s="7" t="s">
        <v>4</v>
      </c>
      <c r="F547" s="7">
        <v>6.62</v>
      </c>
      <c r="G547" s="7">
        <v>0</v>
      </c>
      <c r="H547" s="7">
        <v>8285.3799999999992</v>
      </c>
      <c r="I547" s="7">
        <v>0</v>
      </c>
    </row>
    <row r="548" spans="1:9" x14ac:dyDescent="0.2">
      <c r="A548" s="7">
        <v>55975</v>
      </c>
      <c r="B548" s="7">
        <v>2.0580944711823999E-2</v>
      </c>
      <c r="C548" s="7">
        <v>8.1509172207196695E-2</v>
      </c>
      <c r="D548" s="7">
        <v>8000</v>
      </c>
      <c r="E548" s="7" t="s">
        <v>5</v>
      </c>
      <c r="F548" s="7">
        <v>15.31</v>
      </c>
      <c r="G548" s="7">
        <v>1</v>
      </c>
      <c r="H548" s="7">
        <v>4455.5200000000004</v>
      </c>
      <c r="I548" s="7">
        <v>0</v>
      </c>
    </row>
    <row r="549" spans="1:9" x14ac:dyDescent="0.2">
      <c r="A549" s="7">
        <v>110003</v>
      </c>
      <c r="B549" s="7">
        <v>-3.5474586136925099E-3</v>
      </c>
      <c r="C549" s="7">
        <v>8.4798680815203503E-2</v>
      </c>
      <c r="D549" s="7">
        <v>18225</v>
      </c>
      <c r="E549" s="7" t="s">
        <v>7</v>
      </c>
      <c r="F549" s="7">
        <v>21.49</v>
      </c>
      <c r="G549" s="7">
        <v>0</v>
      </c>
      <c r="H549" s="7">
        <v>23842.975739182799</v>
      </c>
      <c r="I549" s="7">
        <v>0</v>
      </c>
    </row>
    <row r="550" spans="1:9" x14ac:dyDescent="0.2">
      <c r="A550" s="7">
        <v>118175</v>
      </c>
      <c r="B550" s="7">
        <v>3.3011925553617802E-2</v>
      </c>
      <c r="C550" s="7">
        <v>7.4974238972806501E-2</v>
      </c>
      <c r="D550" s="7">
        <v>3075</v>
      </c>
      <c r="E550" s="7" t="s">
        <v>5</v>
      </c>
      <c r="F550" s="7">
        <v>17.27</v>
      </c>
      <c r="G550" s="7">
        <v>0</v>
      </c>
      <c r="H550" s="7">
        <v>3961.6029742763999</v>
      </c>
      <c r="I550" s="7">
        <v>0</v>
      </c>
    </row>
    <row r="551" spans="1:9" x14ac:dyDescent="0.2">
      <c r="A551" s="7">
        <v>115736</v>
      </c>
      <c r="B551" s="7">
        <v>-1.74060267867039E-3</v>
      </c>
      <c r="C551" s="7">
        <v>8.4798680815203503E-2</v>
      </c>
      <c r="D551" s="7">
        <v>35000</v>
      </c>
      <c r="E551" s="7" t="s">
        <v>10</v>
      </c>
      <c r="F551" s="7">
        <v>22.95</v>
      </c>
      <c r="G551" s="7">
        <v>0</v>
      </c>
      <c r="H551" s="7">
        <v>44349.812480382803</v>
      </c>
      <c r="I551" s="7">
        <v>0</v>
      </c>
    </row>
    <row r="552" spans="1:9" x14ac:dyDescent="0.2">
      <c r="A552" s="7">
        <v>122829</v>
      </c>
      <c r="B552" s="7">
        <v>4.46428565974114E-2</v>
      </c>
      <c r="C552" s="7">
        <v>5.3944556304700297E-2</v>
      </c>
      <c r="D552" s="7">
        <v>14000</v>
      </c>
      <c r="E552" s="7" t="s">
        <v>8</v>
      </c>
      <c r="F552" s="7">
        <v>14.09</v>
      </c>
      <c r="G552" s="7">
        <v>0</v>
      </c>
      <c r="H552" s="7">
        <v>17121.290005937899</v>
      </c>
      <c r="I552" s="7">
        <v>0</v>
      </c>
    </row>
    <row r="553" spans="1:9" x14ac:dyDescent="0.2">
      <c r="A553" s="7">
        <v>106414</v>
      </c>
      <c r="B553" s="7">
        <v>3.6624310688131899E-2</v>
      </c>
      <c r="C553" s="7">
        <v>7.4974238972806501E-2</v>
      </c>
      <c r="D553" s="7">
        <v>10000</v>
      </c>
      <c r="E553" s="7" t="s">
        <v>5</v>
      </c>
      <c r="F553" s="7">
        <v>17.27</v>
      </c>
      <c r="G553" s="7">
        <v>0</v>
      </c>
      <c r="H553" s="7">
        <v>12883.3280577437</v>
      </c>
      <c r="I553" s="7">
        <v>0</v>
      </c>
    </row>
    <row r="554" spans="1:9" x14ac:dyDescent="0.2">
      <c r="A554" s="7">
        <v>27226</v>
      </c>
      <c r="B554" s="7">
        <v>2.8548734226328299E-2</v>
      </c>
      <c r="C554" s="7">
        <v>7.4974238972806501E-2</v>
      </c>
      <c r="D554" s="7">
        <v>4725</v>
      </c>
      <c r="E554" s="7" t="s">
        <v>6</v>
      </c>
      <c r="F554" s="7">
        <v>19.52</v>
      </c>
      <c r="G554" s="7">
        <v>0</v>
      </c>
      <c r="H554" s="7">
        <v>6110.8400000003003</v>
      </c>
      <c r="I554" s="7">
        <v>0</v>
      </c>
    </row>
    <row r="555" spans="1:9" x14ac:dyDescent="0.2">
      <c r="A555" s="7">
        <v>119320</v>
      </c>
      <c r="B555" s="7">
        <v>3.3964460452712399E-3</v>
      </c>
      <c r="C555" s="7">
        <v>7.4974238972806501E-2</v>
      </c>
      <c r="D555" s="7">
        <v>9300</v>
      </c>
      <c r="E555" s="7" t="s">
        <v>4</v>
      </c>
      <c r="F555" s="7">
        <v>6.62</v>
      </c>
      <c r="G555" s="7">
        <v>1</v>
      </c>
      <c r="H555" s="7">
        <v>1710.72</v>
      </c>
      <c r="I555" s="7">
        <v>0</v>
      </c>
    </row>
    <row r="556" spans="1:9" x14ac:dyDescent="0.2">
      <c r="A556" s="7">
        <v>98479</v>
      </c>
      <c r="B556" s="7">
        <v>2.9605356727774802E-2</v>
      </c>
      <c r="C556" s="7">
        <v>8.1509172207196695E-2</v>
      </c>
      <c r="D556" s="7">
        <v>15000</v>
      </c>
      <c r="E556" s="7" t="s">
        <v>4</v>
      </c>
      <c r="F556" s="7">
        <v>8.9</v>
      </c>
      <c r="G556" s="7">
        <v>0</v>
      </c>
      <c r="H556" s="7">
        <v>17146.7251126513</v>
      </c>
      <c r="I556" s="7">
        <v>0</v>
      </c>
    </row>
    <row r="557" spans="1:9" x14ac:dyDescent="0.2">
      <c r="A557" s="7">
        <v>119489</v>
      </c>
      <c r="B557" s="7">
        <v>2.7357478504327799E-2</v>
      </c>
      <c r="C557" s="7">
        <v>7.4974238972806501E-2</v>
      </c>
      <c r="D557" s="7">
        <v>10625</v>
      </c>
      <c r="E557" s="7" t="s">
        <v>8</v>
      </c>
      <c r="F557" s="7">
        <v>12.12</v>
      </c>
      <c r="G557" s="7">
        <v>0</v>
      </c>
      <c r="H557" s="7">
        <v>12726.3500042017</v>
      </c>
      <c r="I557" s="7">
        <v>0</v>
      </c>
    </row>
    <row r="558" spans="1:9" x14ac:dyDescent="0.2">
      <c r="A558" s="7">
        <v>10641</v>
      </c>
      <c r="B558" s="7">
        <v>3.0115321809037601E-2</v>
      </c>
      <c r="C558" s="7">
        <v>7.4974238972806501E-2</v>
      </c>
      <c r="D558" s="7">
        <v>12000</v>
      </c>
      <c r="E558" s="7" t="s">
        <v>8</v>
      </c>
      <c r="F558" s="7">
        <v>10.99</v>
      </c>
      <c r="G558" s="7">
        <v>0</v>
      </c>
      <c r="H558" s="7">
        <v>13625.77</v>
      </c>
      <c r="I558" s="7">
        <v>0</v>
      </c>
    </row>
    <row r="559" spans="1:9" x14ac:dyDescent="0.2">
      <c r="A559" s="7">
        <v>140386</v>
      </c>
      <c r="B559" s="7">
        <v>3.17986216088001E-2</v>
      </c>
      <c r="C559" s="7">
        <v>8.1509172207196695E-2</v>
      </c>
      <c r="D559" s="7">
        <v>8000</v>
      </c>
      <c r="E559" s="7" t="s">
        <v>8</v>
      </c>
      <c r="F559" s="7">
        <v>13.11</v>
      </c>
      <c r="G559" s="7">
        <v>0</v>
      </c>
      <c r="H559" s="7">
        <v>9018.7739375133006</v>
      </c>
      <c r="I559" s="7">
        <v>0</v>
      </c>
    </row>
    <row r="560" spans="1:9" x14ac:dyDescent="0.2">
      <c r="A560" s="7">
        <v>143707</v>
      </c>
      <c r="B560" s="7">
        <v>1.50851274379137E-2</v>
      </c>
      <c r="C560" s="7">
        <v>8.1509172207196695E-2</v>
      </c>
      <c r="D560" s="7">
        <v>7800</v>
      </c>
      <c r="E560" s="7" t="s">
        <v>4</v>
      </c>
      <c r="F560" s="7">
        <v>6.62</v>
      </c>
      <c r="G560" s="7">
        <v>0</v>
      </c>
      <c r="H560" s="7">
        <v>8621.5799996730002</v>
      </c>
      <c r="I560" s="7">
        <v>0</v>
      </c>
    </row>
    <row r="561" spans="1:9" x14ac:dyDescent="0.2">
      <c r="A561" s="7">
        <v>144304</v>
      </c>
      <c r="B561" s="7">
        <v>1.51866432587087E-2</v>
      </c>
      <c r="C561" s="7">
        <v>8.1509172207196695E-2</v>
      </c>
      <c r="D561" s="7">
        <v>2500</v>
      </c>
      <c r="E561" s="7" t="s">
        <v>4</v>
      </c>
      <c r="F561" s="7">
        <v>6.03</v>
      </c>
      <c r="G561" s="7">
        <v>0</v>
      </c>
      <c r="H561" s="7">
        <v>2611.0656479887998</v>
      </c>
      <c r="I561" s="7">
        <v>0</v>
      </c>
    </row>
    <row r="562" spans="1:9" x14ac:dyDescent="0.2">
      <c r="A562" s="7">
        <v>6535</v>
      </c>
      <c r="B562" s="7">
        <v>-3.1110302204864797E-4</v>
      </c>
      <c r="C562" s="7">
        <v>7.7054178620260594E-2</v>
      </c>
      <c r="D562" s="7">
        <v>14400</v>
      </c>
      <c r="E562" s="7" t="s">
        <v>6</v>
      </c>
      <c r="F562" s="7">
        <v>19.52</v>
      </c>
      <c r="G562" s="7">
        <v>1</v>
      </c>
      <c r="H562" s="7">
        <v>5991.8</v>
      </c>
      <c r="I562" s="7">
        <v>1838.92</v>
      </c>
    </row>
    <row r="563" spans="1:9" x14ac:dyDescent="0.2">
      <c r="A563" s="7">
        <v>20369</v>
      </c>
      <c r="B563" s="7">
        <v>3.4261396825058001E-2</v>
      </c>
      <c r="C563" s="7">
        <v>8.1509172207196695E-2</v>
      </c>
      <c r="D563" s="7">
        <v>12000</v>
      </c>
      <c r="E563" s="7" t="s">
        <v>8</v>
      </c>
      <c r="F563" s="7">
        <v>9.99</v>
      </c>
      <c r="G563" s="7">
        <v>0</v>
      </c>
      <c r="H563" s="7">
        <v>13554.6179742478</v>
      </c>
      <c r="I563" s="7">
        <v>0</v>
      </c>
    </row>
    <row r="564" spans="1:9" x14ac:dyDescent="0.2">
      <c r="A564" s="7">
        <v>86689</v>
      </c>
      <c r="B564" s="7">
        <v>2.29599452106173E-2</v>
      </c>
      <c r="C564" s="7">
        <v>8.1509172207196695E-2</v>
      </c>
      <c r="D564" s="7">
        <v>10750</v>
      </c>
      <c r="E564" s="7" t="s">
        <v>4</v>
      </c>
      <c r="F564" s="7">
        <v>6.62</v>
      </c>
      <c r="G564" s="7">
        <v>0</v>
      </c>
      <c r="H564" s="7">
        <v>11670.4683216547</v>
      </c>
      <c r="I564" s="7">
        <v>0</v>
      </c>
    </row>
    <row r="565" spans="1:9" x14ac:dyDescent="0.2">
      <c r="A565" s="7">
        <v>105504</v>
      </c>
      <c r="B565" s="7">
        <v>2.3579572336844899E-2</v>
      </c>
      <c r="C565" s="7">
        <v>8.1509172207196695E-2</v>
      </c>
      <c r="D565" s="7">
        <v>6300</v>
      </c>
      <c r="E565" s="7" t="s">
        <v>4</v>
      </c>
      <c r="F565" s="7">
        <v>7.62</v>
      </c>
      <c r="G565" s="7">
        <v>0</v>
      </c>
      <c r="H565" s="7">
        <v>7067.3816763818004</v>
      </c>
      <c r="I565" s="7">
        <v>0</v>
      </c>
    </row>
    <row r="566" spans="1:9" x14ac:dyDescent="0.2">
      <c r="A566" s="7">
        <v>32096</v>
      </c>
      <c r="B566" s="7">
        <v>3.6863782854766297E-2</v>
      </c>
      <c r="C566" s="7">
        <v>7.4974238972806501E-2</v>
      </c>
      <c r="D566" s="7">
        <v>18000</v>
      </c>
      <c r="E566" s="7" t="s">
        <v>8</v>
      </c>
      <c r="F566" s="7">
        <v>10.64</v>
      </c>
      <c r="G566" s="7">
        <v>0</v>
      </c>
      <c r="H566" s="7">
        <v>19877.6462603574</v>
      </c>
      <c r="I566" s="7">
        <v>0</v>
      </c>
    </row>
    <row r="567" spans="1:9" x14ac:dyDescent="0.2">
      <c r="A567" s="7">
        <v>80356</v>
      </c>
      <c r="B567" s="7">
        <v>2.8475717211272299E-2</v>
      </c>
      <c r="C567" s="7">
        <v>8.1509172207196695E-2</v>
      </c>
      <c r="D567" s="7">
        <v>9000</v>
      </c>
      <c r="E567" s="7" t="s">
        <v>8</v>
      </c>
      <c r="F567" s="7">
        <v>10.16</v>
      </c>
      <c r="G567" s="7">
        <v>0</v>
      </c>
      <c r="H567" s="7">
        <v>10478.872513353501</v>
      </c>
      <c r="I567" s="7">
        <v>0</v>
      </c>
    </row>
    <row r="568" spans="1:9" x14ac:dyDescent="0.2">
      <c r="A568" s="7">
        <v>111179</v>
      </c>
      <c r="B568" s="7">
        <v>1.2601802543567599E-2</v>
      </c>
      <c r="C568" s="7">
        <v>8.4798680815203503E-2</v>
      </c>
      <c r="D568" s="7">
        <v>20000</v>
      </c>
      <c r="E568" s="7" t="s">
        <v>7</v>
      </c>
      <c r="F568" s="7">
        <v>21</v>
      </c>
      <c r="G568" s="7">
        <v>0</v>
      </c>
      <c r="H568" s="7">
        <v>29540.149999998099</v>
      </c>
      <c r="I568" s="7">
        <v>0</v>
      </c>
    </row>
    <row r="569" spans="1:9" x14ac:dyDescent="0.2">
      <c r="A569" s="7">
        <v>31038</v>
      </c>
      <c r="B569" s="7">
        <v>3.7669485598615202E-2</v>
      </c>
      <c r="C569" s="7">
        <v>8.1509172207196695E-2</v>
      </c>
      <c r="D569" s="7">
        <v>14000</v>
      </c>
      <c r="E569" s="7" t="s">
        <v>6</v>
      </c>
      <c r="F569" s="7">
        <v>19.52</v>
      </c>
      <c r="G569" s="7">
        <v>1</v>
      </c>
      <c r="H569" s="7">
        <v>4838.22</v>
      </c>
      <c r="I569" s="7">
        <v>1738.29</v>
      </c>
    </row>
    <row r="570" spans="1:9" x14ac:dyDescent="0.2">
      <c r="A570" s="7">
        <v>42182</v>
      </c>
      <c r="B570" s="7">
        <v>4.5203542914937E-2</v>
      </c>
      <c r="C570" s="7">
        <v>7.4974238972806501E-2</v>
      </c>
      <c r="D570" s="7">
        <v>2500</v>
      </c>
      <c r="E570" s="7" t="s">
        <v>6</v>
      </c>
      <c r="F570" s="7">
        <v>19.52</v>
      </c>
      <c r="G570" s="7">
        <v>1</v>
      </c>
      <c r="H570" s="7">
        <v>1033.8399999999999</v>
      </c>
      <c r="I570" s="7">
        <v>296.07</v>
      </c>
    </row>
    <row r="571" spans="1:9" x14ac:dyDescent="0.2">
      <c r="A571" s="7">
        <v>48019</v>
      </c>
      <c r="B571" s="7">
        <v>2.69852543999414E-2</v>
      </c>
      <c r="C571" s="7">
        <v>8.1509172207196695E-2</v>
      </c>
      <c r="D571" s="7">
        <v>9800</v>
      </c>
      <c r="E571" s="7" t="s">
        <v>5</v>
      </c>
      <c r="F571" s="7">
        <v>15.31</v>
      </c>
      <c r="G571" s="7">
        <v>0</v>
      </c>
      <c r="H571" s="7">
        <v>11946.0099972109</v>
      </c>
      <c r="I571" s="7">
        <v>0</v>
      </c>
    </row>
    <row r="572" spans="1:9" x14ac:dyDescent="0.2">
      <c r="A572" s="7">
        <v>57774</v>
      </c>
      <c r="B572" s="7">
        <v>3.0419951720587102E-3</v>
      </c>
      <c r="C572" s="7">
        <v>7.4974238972806501E-2</v>
      </c>
      <c r="D572" s="7">
        <v>16450</v>
      </c>
      <c r="E572" s="7" t="s">
        <v>5</v>
      </c>
      <c r="F572" s="7">
        <v>16.29</v>
      </c>
      <c r="G572" s="7">
        <v>0</v>
      </c>
      <c r="H572" s="7">
        <v>22068.309974153999</v>
      </c>
      <c r="I572" s="7">
        <v>0</v>
      </c>
    </row>
    <row r="573" spans="1:9" x14ac:dyDescent="0.2">
      <c r="A573" s="7">
        <v>36074</v>
      </c>
      <c r="B573" s="7">
        <v>-5.2471961112226196E-3</v>
      </c>
      <c r="C573" s="7">
        <v>8.4798680815203503E-2</v>
      </c>
      <c r="D573" s="7">
        <v>20000</v>
      </c>
      <c r="E573" s="7" t="s">
        <v>10</v>
      </c>
      <c r="F573" s="7">
        <v>24.89</v>
      </c>
      <c r="G573" s="7">
        <v>1</v>
      </c>
      <c r="H573" s="7">
        <v>12883.58</v>
      </c>
      <c r="I573" s="7">
        <v>0</v>
      </c>
    </row>
    <row r="574" spans="1:9" x14ac:dyDescent="0.2">
      <c r="A574" s="7">
        <v>114294</v>
      </c>
      <c r="B574" s="7">
        <v>6.6165027319708206E-2</v>
      </c>
      <c r="C574" s="7">
        <v>5.3944556304700297E-2</v>
      </c>
      <c r="D574" s="7">
        <v>14400</v>
      </c>
      <c r="E574" s="7" t="s">
        <v>7</v>
      </c>
      <c r="F574" s="7">
        <v>22.47</v>
      </c>
      <c r="G574" s="7">
        <v>1</v>
      </c>
      <c r="H574" s="7">
        <v>17181.580000000002</v>
      </c>
      <c r="I574" s="7">
        <v>580.29</v>
      </c>
    </row>
    <row r="575" spans="1:9" x14ac:dyDescent="0.2">
      <c r="A575" s="7">
        <v>72212</v>
      </c>
      <c r="B575" s="7">
        <v>2.2905032979047502E-2</v>
      </c>
      <c r="C575" s="7">
        <v>5.3944556304700297E-2</v>
      </c>
      <c r="D575" s="7">
        <v>24000</v>
      </c>
      <c r="E575" s="7" t="s">
        <v>4</v>
      </c>
      <c r="F575" s="7">
        <v>7.62</v>
      </c>
      <c r="G575" s="7">
        <v>0</v>
      </c>
      <c r="H575" s="7">
        <v>26919.171270495401</v>
      </c>
      <c r="I575" s="7">
        <v>0</v>
      </c>
    </row>
    <row r="576" spans="1:9" x14ac:dyDescent="0.2">
      <c r="A576" s="7">
        <v>36980</v>
      </c>
      <c r="B576" s="7">
        <v>2.6559691094959401E-2</v>
      </c>
      <c r="C576" s="7">
        <v>5.3944556304700297E-2</v>
      </c>
      <c r="D576" s="7">
        <v>23275</v>
      </c>
      <c r="E576" s="7" t="s">
        <v>4</v>
      </c>
      <c r="F576" s="7">
        <v>7.9</v>
      </c>
      <c r="G576" s="7">
        <v>0</v>
      </c>
      <c r="H576" s="7">
        <v>25984.46</v>
      </c>
      <c r="I576" s="7">
        <v>0</v>
      </c>
    </row>
    <row r="577" spans="1:9" x14ac:dyDescent="0.2">
      <c r="A577" s="7">
        <v>134960</v>
      </c>
      <c r="B577" s="7">
        <v>2.93405585188188E-2</v>
      </c>
      <c r="C577" s="7">
        <v>8.1509172207196695E-2</v>
      </c>
      <c r="D577" s="7">
        <v>6000</v>
      </c>
      <c r="E577" s="7" t="s">
        <v>5</v>
      </c>
      <c r="F577" s="7">
        <v>13.99</v>
      </c>
      <c r="G577" s="7">
        <v>0</v>
      </c>
      <c r="H577" s="7">
        <v>7381.2906879528</v>
      </c>
      <c r="I577" s="7">
        <v>0</v>
      </c>
    </row>
    <row r="578" spans="1:9" x14ac:dyDescent="0.2">
      <c r="A578" s="7">
        <v>16456</v>
      </c>
      <c r="B578" s="7">
        <v>3.0544402094343101E-2</v>
      </c>
      <c r="C578" s="7">
        <v>8.1509172207196695E-2</v>
      </c>
      <c r="D578" s="7">
        <v>11000</v>
      </c>
      <c r="E578" s="7" t="s">
        <v>6</v>
      </c>
      <c r="F578" s="7">
        <v>20.2</v>
      </c>
      <c r="G578" s="7">
        <v>1</v>
      </c>
      <c r="H578" s="7">
        <v>8575</v>
      </c>
      <c r="I578" s="7">
        <v>1176.1199999999999</v>
      </c>
    </row>
    <row r="579" spans="1:9" x14ac:dyDescent="0.2">
      <c r="A579" s="7">
        <v>90399</v>
      </c>
      <c r="B579" s="7">
        <v>3.9275137447155002E-2</v>
      </c>
      <c r="C579" s="7">
        <v>8.1509172207196695E-2</v>
      </c>
      <c r="D579" s="7">
        <v>12000</v>
      </c>
      <c r="E579" s="7" t="s">
        <v>5</v>
      </c>
      <c r="F579" s="7">
        <v>15.31</v>
      </c>
      <c r="G579" s="7">
        <v>0</v>
      </c>
      <c r="H579" s="7">
        <v>14404.2300980614</v>
      </c>
      <c r="I579" s="7">
        <v>0</v>
      </c>
    </row>
    <row r="580" spans="1:9" x14ac:dyDescent="0.2">
      <c r="A580" s="7">
        <v>90089</v>
      </c>
      <c r="B580" s="7">
        <v>2.5095796805772199E-2</v>
      </c>
      <c r="C580" s="7">
        <v>8.1509172207196695E-2</v>
      </c>
      <c r="D580" s="7">
        <v>15000</v>
      </c>
      <c r="E580" s="7" t="s">
        <v>5</v>
      </c>
      <c r="F580" s="7">
        <v>15.8</v>
      </c>
      <c r="G580" s="7">
        <v>1</v>
      </c>
      <c r="H580" s="7">
        <v>9732.77</v>
      </c>
      <c r="I580" s="7">
        <v>1332.01</v>
      </c>
    </row>
    <row r="581" spans="1:9" x14ac:dyDescent="0.2">
      <c r="A581" s="7">
        <v>20520</v>
      </c>
      <c r="B581" s="7">
        <v>3.7047007554084598E-2</v>
      </c>
      <c r="C581" s="7">
        <v>8.1509172207196695E-2</v>
      </c>
      <c r="D581" s="7">
        <v>7800</v>
      </c>
      <c r="E581" s="7" t="s">
        <v>5</v>
      </c>
      <c r="F581" s="7">
        <v>17.100000000000001</v>
      </c>
      <c r="G581" s="7">
        <v>0</v>
      </c>
      <c r="H581" s="7">
        <v>9905.83</v>
      </c>
      <c r="I581" s="7">
        <v>0</v>
      </c>
    </row>
    <row r="582" spans="1:9" x14ac:dyDescent="0.2">
      <c r="A582" s="7">
        <v>111083</v>
      </c>
      <c r="B582" s="7">
        <v>2.22441223698462E-2</v>
      </c>
      <c r="C582" s="7">
        <v>8.1509172207196695E-2</v>
      </c>
      <c r="D582" s="7">
        <v>3500</v>
      </c>
      <c r="E582" s="7" t="s">
        <v>4</v>
      </c>
      <c r="F582" s="7">
        <v>8.9</v>
      </c>
      <c r="G582" s="7">
        <v>0</v>
      </c>
      <c r="H582" s="7">
        <v>3689.8058907917002</v>
      </c>
      <c r="I582" s="7">
        <v>0</v>
      </c>
    </row>
    <row r="583" spans="1:9" x14ac:dyDescent="0.2">
      <c r="A583" s="7">
        <v>45261</v>
      </c>
      <c r="B583" s="7">
        <v>2.3941958846853E-2</v>
      </c>
      <c r="C583" s="7">
        <v>8.1509172207196695E-2</v>
      </c>
      <c r="D583" s="7">
        <v>4325</v>
      </c>
      <c r="E583" s="7" t="s">
        <v>6</v>
      </c>
      <c r="F583" s="7">
        <v>18.25</v>
      </c>
      <c r="G583" s="7">
        <v>0</v>
      </c>
      <c r="H583" s="7">
        <v>5156.0676839867001</v>
      </c>
      <c r="I583" s="7">
        <v>0</v>
      </c>
    </row>
    <row r="584" spans="1:9" x14ac:dyDescent="0.2">
      <c r="A584" s="7">
        <v>27931</v>
      </c>
      <c r="B584" s="7">
        <v>2.62072887324158E-2</v>
      </c>
      <c r="C584" s="7">
        <v>8.1509172207196695E-2</v>
      </c>
      <c r="D584" s="7">
        <v>10000</v>
      </c>
      <c r="E584" s="7" t="s">
        <v>6</v>
      </c>
      <c r="F584" s="7">
        <v>18.25</v>
      </c>
      <c r="G584" s="7">
        <v>1</v>
      </c>
      <c r="H584" s="7">
        <v>10172.86</v>
      </c>
      <c r="I584" s="7">
        <v>4134.29</v>
      </c>
    </row>
    <row r="585" spans="1:9" x14ac:dyDescent="0.2">
      <c r="A585" s="7">
        <v>42647</v>
      </c>
      <c r="B585" s="7">
        <v>7.5460536827004297E-3</v>
      </c>
      <c r="C585" s="7">
        <v>8.4798680815203503E-2</v>
      </c>
      <c r="D585" s="7">
        <v>20000</v>
      </c>
      <c r="E585" s="7" t="s">
        <v>5</v>
      </c>
      <c r="F585" s="7">
        <v>15.22</v>
      </c>
      <c r="G585" s="7">
        <v>0</v>
      </c>
      <c r="H585" s="7">
        <v>22627.646909570001</v>
      </c>
      <c r="I585" s="7">
        <v>0</v>
      </c>
    </row>
    <row r="586" spans="1:9" x14ac:dyDescent="0.2">
      <c r="A586" s="7">
        <v>79495</v>
      </c>
      <c r="B586" s="7">
        <v>3.1699540218999699E-2</v>
      </c>
      <c r="C586" s="7">
        <v>8.4798680815203503E-2</v>
      </c>
      <c r="D586" s="7">
        <v>35000</v>
      </c>
      <c r="E586" s="7" t="s">
        <v>5</v>
      </c>
      <c r="F586" s="7">
        <v>16.29</v>
      </c>
      <c r="G586" s="7">
        <v>0</v>
      </c>
      <c r="H586" s="7">
        <v>44569.407575894496</v>
      </c>
      <c r="I586" s="7">
        <v>0</v>
      </c>
    </row>
    <row r="587" spans="1:9" x14ac:dyDescent="0.2">
      <c r="A587" s="7">
        <v>119673</v>
      </c>
      <c r="B587" s="7">
        <v>-3.5974999673920702E-3</v>
      </c>
      <c r="C587" s="7">
        <v>8.1509172207196695E-2</v>
      </c>
      <c r="D587" s="7">
        <v>14700</v>
      </c>
      <c r="E587" s="7" t="s">
        <v>6</v>
      </c>
      <c r="F587" s="7">
        <v>18.75</v>
      </c>
      <c r="G587" s="7">
        <v>0</v>
      </c>
      <c r="H587" s="7">
        <v>16470.389752161602</v>
      </c>
      <c r="I587" s="7">
        <v>0</v>
      </c>
    </row>
    <row r="588" spans="1:9" x14ac:dyDescent="0.2">
      <c r="A588" s="7">
        <v>106411</v>
      </c>
      <c r="B588" s="7">
        <v>3.4920079442748702E-3</v>
      </c>
      <c r="C588" s="7">
        <v>8.4798680815203503E-2</v>
      </c>
      <c r="D588" s="7">
        <v>20000</v>
      </c>
      <c r="E588" s="7" t="s">
        <v>7</v>
      </c>
      <c r="F588" s="7">
        <v>22.47</v>
      </c>
      <c r="G588" s="7">
        <v>0</v>
      </c>
      <c r="H588" s="7">
        <v>27620.174232179801</v>
      </c>
      <c r="I588" s="7">
        <v>0</v>
      </c>
    </row>
    <row r="589" spans="1:9" x14ac:dyDescent="0.2">
      <c r="A589" s="7">
        <v>122242</v>
      </c>
      <c r="B589" s="7">
        <v>3.05184889512716E-2</v>
      </c>
      <c r="C589" s="7">
        <v>8.1509172207196695E-2</v>
      </c>
      <c r="D589" s="7">
        <v>6625</v>
      </c>
      <c r="E589" s="7" t="s">
        <v>6</v>
      </c>
      <c r="F589" s="7">
        <v>18.489999999999998</v>
      </c>
      <c r="G589" s="7">
        <v>0</v>
      </c>
      <c r="H589" s="7">
        <v>8680.9856618587</v>
      </c>
      <c r="I589" s="7">
        <v>0</v>
      </c>
    </row>
    <row r="590" spans="1:9" x14ac:dyDescent="0.2">
      <c r="A590" s="7">
        <v>40393</v>
      </c>
      <c r="B590" s="7">
        <v>4.2509000650516E-4</v>
      </c>
      <c r="C590" s="7">
        <v>8.4798680815203503E-2</v>
      </c>
      <c r="D590" s="7">
        <v>19000</v>
      </c>
      <c r="E590" s="7" t="s">
        <v>5</v>
      </c>
      <c r="F590" s="7">
        <v>14.33</v>
      </c>
      <c r="G590" s="7">
        <v>0</v>
      </c>
      <c r="H590" s="7">
        <v>20740.315644411701</v>
      </c>
      <c r="I590" s="7">
        <v>0</v>
      </c>
    </row>
    <row r="591" spans="1:9" x14ac:dyDescent="0.2">
      <c r="A591" s="7">
        <v>49433</v>
      </c>
      <c r="B591" s="7">
        <v>1.6992263327218E-2</v>
      </c>
      <c r="C591" s="7">
        <v>7.4974238972806501E-2</v>
      </c>
      <c r="D591" s="7">
        <v>5000</v>
      </c>
      <c r="E591" s="7" t="s">
        <v>4</v>
      </c>
      <c r="F591" s="7">
        <v>6.62</v>
      </c>
      <c r="G591" s="7">
        <v>0</v>
      </c>
      <c r="H591" s="7">
        <v>5526.29</v>
      </c>
      <c r="I591" s="7">
        <v>0</v>
      </c>
    </row>
    <row r="592" spans="1:9" x14ac:dyDescent="0.2">
      <c r="A592" s="7">
        <v>57139</v>
      </c>
      <c r="B592" s="7">
        <v>3.4090285242894702E-2</v>
      </c>
      <c r="C592" s="7">
        <v>7.4974238972806501E-2</v>
      </c>
      <c r="D592" s="7">
        <v>15000</v>
      </c>
      <c r="E592" s="7" t="s">
        <v>8</v>
      </c>
      <c r="F592" s="7">
        <v>10.16</v>
      </c>
      <c r="G592" s="7">
        <v>0</v>
      </c>
      <c r="H592" s="7">
        <v>17464.846352362201</v>
      </c>
      <c r="I592" s="7">
        <v>0</v>
      </c>
    </row>
    <row r="593" spans="1:9" x14ac:dyDescent="0.2">
      <c r="A593" s="7">
        <v>46445</v>
      </c>
      <c r="B593" s="7">
        <v>3.3422782593293399E-2</v>
      </c>
      <c r="C593" s="7">
        <v>8.1509172207196695E-2</v>
      </c>
      <c r="D593" s="7">
        <v>10000</v>
      </c>
      <c r="E593" s="7" t="s">
        <v>5</v>
      </c>
      <c r="F593" s="7">
        <v>14.33</v>
      </c>
      <c r="G593" s="7">
        <v>0</v>
      </c>
      <c r="H593" s="7">
        <v>10571.3905526898</v>
      </c>
      <c r="I593" s="7">
        <v>0</v>
      </c>
    </row>
    <row r="594" spans="1:9" x14ac:dyDescent="0.2">
      <c r="A594" s="7">
        <v>39288</v>
      </c>
      <c r="B594" s="7">
        <v>3.5784057304778301E-2</v>
      </c>
      <c r="C594" s="7">
        <v>8.1509172207196695E-2</v>
      </c>
      <c r="D594" s="7">
        <v>14300</v>
      </c>
      <c r="E594" s="7" t="s">
        <v>6</v>
      </c>
      <c r="F594" s="7">
        <v>18.25</v>
      </c>
      <c r="G594" s="7">
        <v>0</v>
      </c>
      <c r="H594" s="7">
        <v>15140.705120304299</v>
      </c>
      <c r="I594" s="7">
        <v>0</v>
      </c>
    </row>
    <row r="595" spans="1:9" x14ac:dyDescent="0.2">
      <c r="A595" s="7">
        <v>44960</v>
      </c>
      <c r="B595" s="7">
        <v>3.1787251890534302E-2</v>
      </c>
      <c r="C595" s="7">
        <v>8.1509172207196695E-2</v>
      </c>
      <c r="D595" s="7">
        <v>3000</v>
      </c>
      <c r="E595" s="7" t="s">
        <v>6</v>
      </c>
      <c r="F595" s="7">
        <v>18.850000000000001</v>
      </c>
      <c r="G595" s="7">
        <v>0</v>
      </c>
      <c r="H595" s="7">
        <v>3917.16</v>
      </c>
      <c r="I595" s="7">
        <v>0</v>
      </c>
    </row>
    <row r="596" spans="1:9" x14ac:dyDescent="0.2">
      <c r="A596" s="7">
        <v>74894</v>
      </c>
      <c r="B596" s="7">
        <v>2.3947054463818802E-2</v>
      </c>
      <c r="C596" s="7">
        <v>8.1509172207196695E-2</v>
      </c>
      <c r="D596" s="7">
        <v>4000</v>
      </c>
      <c r="E596" s="7" t="s">
        <v>5</v>
      </c>
      <c r="F596" s="7">
        <v>17.27</v>
      </c>
      <c r="G596" s="7">
        <v>0</v>
      </c>
      <c r="H596" s="7">
        <v>5079.74</v>
      </c>
      <c r="I596" s="7">
        <v>0</v>
      </c>
    </row>
    <row r="597" spans="1:9" x14ac:dyDescent="0.2">
      <c r="A597" s="7">
        <v>32756</v>
      </c>
      <c r="B597" s="7">
        <v>4.5000497075476402E-3</v>
      </c>
      <c r="C597" s="7">
        <v>8.4798680815203503E-2</v>
      </c>
      <c r="D597" s="7">
        <v>25450</v>
      </c>
      <c r="E597" s="7" t="s">
        <v>7</v>
      </c>
      <c r="F597" s="7">
        <v>20.8</v>
      </c>
      <c r="G597" s="7">
        <v>0</v>
      </c>
      <c r="H597" s="7">
        <v>34628.949999999997</v>
      </c>
      <c r="I597" s="7">
        <v>0</v>
      </c>
    </row>
    <row r="598" spans="1:9" x14ac:dyDescent="0.2">
      <c r="A598" s="7">
        <v>77105</v>
      </c>
      <c r="B598" s="7">
        <v>2.7066910360249798E-2</v>
      </c>
      <c r="C598" s="7">
        <v>8.1509172207196695E-2</v>
      </c>
      <c r="D598" s="7">
        <v>12000</v>
      </c>
      <c r="E598" s="7" t="s">
        <v>6</v>
      </c>
      <c r="F598" s="7">
        <v>17.77</v>
      </c>
      <c r="G598" s="7">
        <v>0</v>
      </c>
      <c r="H598" s="7">
        <v>15443.529979668399</v>
      </c>
      <c r="I598" s="7">
        <v>0</v>
      </c>
    </row>
    <row r="599" spans="1:9" x14ac:dyDescent="0.2">
      <c r="A599" s="7">
        <v>108607</v>
      </c>
      <c r="B599" s="7">
        <v>2.67268890435583E-2</v>
      </c>
      <c r="C599" s="7">
        <v>8.1509172207196695E-2</v>
      </c>
      <c r="D599" s="7">
        <v>9750</v>
      </c>
      <c r="E599" s="7" t="s">
        <v>8</v>
      </c>
      <c r="F599" s="7">
        <v>10.16</v>
      </c>
      <c r="G599" s="7">
        <v>0</v>
      </c>
      <c r="H599" s="7">
        <v>11329.400005838899</v>
      </c>
      <c r="I599" s="7">
        <v>0</v>
      </c>
    </row>
    <row r="600" spans="1:9" x14ac:dyDescent="0.2">
      <c r="A600" s="7">
        <v>7694</v>
      </c>
      <c r="B600" s="7">
        <v>-8.9045666781261898E-3</v>
      </c>
      <c r="C600" s="7">
        <v>8.1509172207196695E-2</v>
      </c>
      <c r="D600" s="7">
        <v>15050</v>
      </c>
      <c r="E600" s="7" t="s">
        <v>6</v>
      </c>
      <c r="F600" s="7">
        <v>20.2</v>
      </c>
      <c r="G600" s="7">
        <v>0</v>
      </c>
      <c r="H600" s="7">
        <v>15304.3550022368</v>
      </c>
      <c r="I600" s="7">
        <v>0</v>
      </c>
    </row>
    <row r="601" spans="1:9" x14ac:dyDescent="0.2">
      <c r="A601" s="7">
        <v>32618</v>
      </c>
      <c r="B601" s="7">
        <v>2.34418604151213E-2</v>
      </c>
      <c r="C601" s="7">
        <v>5.3944556304700297E-2</v>
      </c>
      <c r="D601" s="7">
        <v>24575</v>
      </c>
      <c r="E601" s="7" t="s">
        <v>4</v>
      </c>
      <c r="F601" s="7">
        <v>7.62</v>
      </c>
      <c r="G601" s="7">
        <v>0</v>
      </c>
      <c r="H601" s="7">
        <v>26997.950001932899</v>
      </c>
      <c r="I601" s="7">
        <v>0</v>
      </c>
    </row>
    <row r="602" spans="1:9" x14ac:dyDescent="0.2">
      <c r="A602" s="7">
        <v>104009</v>
      </c>
      <c r="B602" s="7">
        <v>3.1621769949622999E-2</v>
      </c>
      <c r="C602" s="7">
        <v>8.1509172207196695E-2</v>
      </c>
      <c r="D602" s="7">
        <v>12000</v>
      </c>
      <c r="E602" s="7" t="s">
        <v>5</v>
      </c>
      <c r="F602" s="7">
        <v>15.8</v>
      </c>
      <c r="G602" s="7">
        <v>0</v>
      </c>
      <c r="H602" s="7">
        <v>15145.1246243314</v>
      </c>
      <c r="I602" s="7">
        <v>0</v>
      </c>
    </row>
    <row r="603" spans="1:9" x14ac:dyDescent="0.2">
      <c r="A603" s="7">
        <v>140805</v>
      </c>
      <c r="B603" s="7">
        <v>2.3483262210082401E-2</v>
      </c>
      <c r="C603" s="7">
        <v>5.3944556304700297E-2</v>
      </c>
      <c r="D603" s="7">
        <v>12400</v>
      </c>
      <c r="E603" s="7" t="s">
        <v>4</v>
      </c>
      <c r="F603" s="7">
        <v>7.9</v>
      </c>
      <c r="G603" s="7">
        <v>0</v>
      </c>
      <c r="H603" s="7">
        <v>13967.969995297301</v>
      </c>
      <c r="I603" s="7">
        <v>0</v>
      </c>
    </row>
    <row r="604" spans="1:9" x14ac:dyDescent="0.2">
      <c r="A604" s="7">
        <v>115856</v>
      </c>
      <c r="B604" s="7">
        <v>2.4180246318091101E-2</v>
      </c>
      <c r="C604" s="7">
        <v>8.1509172207196695E-2</v>
      </c>
      <c r="D604" s="7">
        <v>9000</v>
      </c>
      <c r="E604" s="7" t="s">
        <v>5</v>
      </c>
      <c r="F604" s="7">
        <v>14.33</v>
      </c>
      <c r="G604" s="7">
        <v>1</v>
      </c>
      <c r="H604" s="7">
        <v>5438.62</v>
      </c>
      <c r="I604" s="7">
        <v>815.32</v>
      </c>
    </row>
    <row r="605" spans="1:9" x14ac:dyDescent="0.2">
      <c r="A605" s="7">
        <v>8112</v>
      </c>
      <c r="B605" s="7">
        <v>-6.5922393541438798E-3</v>
      </c>
      <c r="C605" s="7">
        <v>8.1509172207196695E-2</v>
      </c>
      <c r="D605" s="7">
        <v>7200</v>
      </c>
      <c r="E605" s="7" t="s">
        <v>5</v>
      </c>
      <c r="F605" s="7">
        <v>17.100000000000001</v>
      </c>
      <c r="G605" s="7">
        <v>0</v>
      </c>
      <c r="H605" s="7">
        <v>8573.8999995881004</v>
      </c>
      <c r="I605" s="7">
        <v>0</v>
      </c>
    </row>
    <row r="606" spans="1:9" x14ac:dyDescent="0.2">
      <c r="A606" s="7">
        <v>9355</v>
      </c>
      <c r="B606" s="7">
        <v>3.40052773982931E-2</v>
      </c>
      <c r="C606" s="7">
        <v>8.1509172207196695E-2</v>
      </c>
      <c r="D606" s="7">
        <v>8000</v>
      </c>
      <c r="E606" s="7" t="s">
        <v>8</v>
      </c>
      <c r="F606" s="7">
        <v>9.67</v>
      </c>
      <c r="G606" s="7">
        <v>0</v>
      </c>
      <c r="H606" s="7">
        <v>8410.2050308960006</v>
      </c>
      <c r="I606" s="7">
        <v>0</v>
      </c>
    </row>
    <row r="607" spans="1:9" x14ac:dyDescent="0.2">
      <c r="A607" s="7">
        <v>111864</v>
      </c>
      <c r="B607" s="7">
        <v>3.88686360698118E-2</v>
      </c>
      <c r="C607" s="7">
        <v>5.3944556304700297E-2</v>
      </c>
      <c r="D607" s="7">
        <v>14300</v>
      </c>
      <c r="E607" s="7" t="s">
        <v>5</v>
      </c>
      <c r="F607" s="7">
        <v>14.33</v>
      </c>
      <c r="G607" s="7">
        <v>0</v>
      </c>
      <c r="H607" s="7">
        <v>15960.818202902101</v>
      </c>
      <c r="I607" s="7">
        <v>0</v>
      </c>
    </row>
    <row r="608" spans="1:9" x14ac:dyDescent="0.2">
      <c r="A608" s="7">
        <v>69202</v>
      </c>
      <c r="B608" s="7">
        <v>1.79939952843833E-2</v>
      </c>
      <c r="C608" s="7">
        <v>8.1509172207196695E-2</v>
      </c>
      <c r="D608" s="7">
        <v>1400</v>
      </c>
      <c r="E608" s="7" t="s">
        <v>10</v>
      </c>
      <c r="F608" s="7">
        <v>23.63</v>
      </c>
      <c r="G608" s="7">
        <v>0</v>
      </c>
      <c r="H608" s="7">
        <v>1967.4696880347001</v>
      </c>
      <c r="I608" s="7">
        <v>0</v>
      </c>
    </row>
    <row r="609" spans="1:9" x14ac:dyDescent="0.2">
      <c r="A609" s="7">
        <v>49001</v>
      </c>
      <c r="B609" s="7">
        <v>3.5564854050498397E-2</v>
      </c>
      <c r="C609" s="7">
        <v>8.4798680815203503E-2</v>
      </c>
      <c r="D609" s="7">
        <v>25000</v>
      </c>
      <c r="E609" s="7" t="s">
        <v>5</v>
      </c>
      <c r="F609" s="7">
        <v>15.31</v>
      </c>
      <c r="G609" s="7">
        <v>0</v>
      </c>
      <c r="H609" s="7">
        <v>31335.533115390099</v>
      </c>
      <c r="I609" s="7">
        <v>0</v>
      </c>
    </row>
    <row r="610" spans="1:9" x14ac:dyDescent="0.2">
      <c r="A610" s="7">
        <v>13885</v>
      </c>
      <c r="B610" s="7">
        <v>2.6534364238686999E-2</v>
      </c>
      <c r="C610" s="7">
        <v>7.4974238972806501E-2</v>
      </c>
      <c r="D610" s="7">
        <v>9000</v>
      </c>
      <c r="E610" s="7" t="s">
        <v>4</v>
      </c>
      <c r="F610" s="7">
        <v>7.9</v>
      </c>
      <c r="G610" s="7">
        <v>0</v>
      </c>
      <c r="H610" s="7">
        <v>9525.4529499772998</v>
      </c>
      <c r="I610" s="7">
        <v>0</v>
      </c>
    </row>
    <row r="611" spans="1:9" x14ac:dyDescent="0.2">
      <c r="A611" s="7">
        <v>89870</v>
      </c>
      <c r="B611" s="7">
        <v>3.062906407517E-2</v>
      </c>
      <c r="C611" s="7">
        <v>7.7054178620260594E-2</v>
      </c>
      <c r="D611" s="7">
        <v>6000</v>
      </c>
      <c r="E611" s="7" t="s">
        <v>8</v>
      </c>
      <c r="F611" s="7">
        <v>12.12</v>
      </c>
      <c r="G611" s="7">
        <v>0</v>
      </c>
      <c r="H611" s="7">
        <v>7017.8100028463996</v>
      </c>
      <c r="I611" s="7">
        <v>0</v>
      </c>
    </row>
    <row r="612" spans="1:9" x14ac:dyDescent="0.2">
      <c r="A612" s="7">
        <v>49253</v>
      </c>
      <c r="B612" s="7">
        <v>2.3512712482382101E-2</v>
      </c>
      <c r="C612" s="7">
        <v>7.4974238972806501E-2</v>
      </c>
      <c r="D612" s="7">
        <v>6000</v>
      </c>
      <c r="E612" s="7" t="s">
        <v>8</v>
      </c>
      <c r="F612" s="7">
        <v>10.16</v>
      </c>
      <c r="G612" s="7">
        <v>0</v>
      </c>
      <c r="H612" s="7">
        <v>6988.05</v>
      </c>
      <c r="I612" s="7">
        <v>0</v>
      </c>
    </row>
    <row r="613" spans="1:9" x14ac:dyDescent="0.2">
      <c r="A613" s="7">
        <v>65216</v>
      </c>
      <c r="B613" s="7">
        <v>2.3908974618684801E-2</v>
      </c>
      <c r="C613" s="7">
        <v>7.4974238972806501E-2</v>
      </c>
      <c r="D613" s="7">
        <v>1400</v>
      </c>
      <c r="E613" s="7" t="s">
        <v>4</v>
      </c>
      <c r="F613" s="7">
        <v>6.62</v>
      </c>
      <c r="G613" s="7">
        <v>0</v>
      </c>
      <c r="H613" s="7">
        <v>1540.93</v>
      </c>
      <c r="I613" s="7">
        <v>0</v>
      </c>
    </row>
    <row r="614" spans="1:9" x14ac:dyDescent="0.2">
      <c r="A614" s="7">
        <v>77302</v>
      </c>
      <c r="B614" s="7">
        <v>2.8525418468592301E-2</v>
      </c>
      <c r="C614" s="7">
        <v>8.1509172207196695E-2</v>
      </c>
      <c r="D614" s="7">
        <v>4950</v>
      </c>
      <c r="E614" s="7" t="s">
        <v>5</v>
      </c>
      <c r="F614" s="7">
        <v>15.31</v>
      </c>
      <c r="G614" s="7">
        <v>0</v>
      </c>
      <c r="H614" s="7">
        <v>6204.4086787495999</v>
      </c>
      <c r="I614" s="7">
        <v>0</v>
      </c>
    </row>
    <row r="615" spans="1:9" x14ac:dyDescent="0.2">
      <c r="A615" s="7">
        <v>3298</v>
      </c>
      <c r="B615" s="7">
        <v>2.9629069427734099E-2</v>
      </c>
      <c r="C615" s="7">
        <v>7.7054178620260594E-2</v>
      </c>
      <c r="D615" s="7">
        <v>10000</v>
      </c>
      <c r="E615" s="7" t="s">
        <v>5</v>
      </c>
      <c r="F615" s="7">
        <v>14.47</v>
      </c>
      <c r="G615" s="7">
        <v>0</v>
      </c>
      <c r="H615" s="7">
        <v>11702.4</v>
      </c>
      <c r="I615" s="7">
        <v>0</v>
      </c>
    </row>
    <row r="616" spans="1:9" x14ac:dyDescent="0.2">
      <c r="A616" s="7">
        <v>8425</v>
      </c>
      <c r="B616" s="7">
        <v>2.39985140366736E-2</v>
      </c>
      <c r="C616" s="7">
        <v>8.1509172207196695E-2</v>
      </c>
      <c r="D616" s="7">
        <v>7000</v>
      </c>
      <c r="E616" s="7" t="s">
        <v>8</v>
      </c>
      <c r="F616" s="7">
        <v>9.67</v>
      </c>
      <c r="G616" s="7">
        <v>0</v>
      </c>
      <c r="H616" s="7">
        <v>7969.9600011659004</v>
      </c>
      <c r="I616" s="7">
        <v>0</v>
      </c>
    </row>
    <row r="617" spans="1:9" x14ac:dyDescent="0.2">
      <c r="A617" s="7">
        <v>111376</v>
      </c>
      <c r="B617" s="7">
        <v>1.86324395565999E-3</v>
      </c>
      <c r="C617" s="7">
        <v>8.4798680815203503E-2</v>
      </c>
      <c r="D617" s="7">
        <v>30000</v>
      </c>
      <c r="E617" s="7" t="s">
        <v>10</v>
      </c>
      <c r="F617" s="7">
        <v>22.95</v>
      </c>
      <c r="G617" s="7">
        <v>0</v>
      </c>
      <c r="H617" s="7">
        <v>48467.389983379697</v>
      </c>
      <c r="I617" s="7">
        <v>0</v>
      </c>
    </row>
    <row r="618" spans="1:9" x14ac:dyDescent="0.2">
      <c r="A618" s="7">
        <v>118491</v>
      </c>
      <c r="B618" s="7">
        <v>3.6639303075477199E-2</v>
      </c>
      <c r="C618" s="7">
        <v>7.4974238972806501E-2</v>
      </c>
      <c r="D618" s="7">
        <v>17500</v>
      </c>
      <c r="E618" s="7" t="s">
        <v>5</v>
      </c>
      <c r="F618" s="7">
        <v>14.33</v>
      </c>
      <c r="G618" s="7">
        <v>0</v>
      </c>
      <c r="H618" s="7">
        <v>19836.236006966999</v>
      </c>
      <c r="I618" s="7">
        <v>0</v>
      </c>
    </row>
    <row r="619" spans="1:9" x14ac:dyDescent="0.2">
      <c r="A619" s="7">
        <v>7512</v>
      </c>
      <c r="B619" s="7">
        <v>6.6458235572002698E-3</v>
      </c>
      <c r="C619" s="7">
        <v>8.1509172207196695E-2</v>
      </c>
      <c r="D619" s="7">
        <v>15000</v>
      </c>
      <c r="E619" s="7" t="s">
        <v>8</v>
      </c>
      <c r="F619" s="7">
        <v>12.99</v>
      </c>
      <c r="G619" s="7">
        <v>1</v>
      </c>
      <c r="H619" s="7">
        <v>8487.7099999999991</v>
      </c>
      <c r="I619" s="7">
        <v>2007.57</v>
      </c>
    </row>
    <row r="620" spans="1:9" x14ac:dyDescent="0.2">
      <c r="A620" s="7">
        <v>92605</v>
      </c>
      <c r="B620" s="7">
        <v>3.284883154117E-2</v>
      </c>
      <c r="C620" s="7">
        <v>8.1509172207196695E-2</v>
      </c>
      <c r="D620" s="7">
        <v>6000</v>
      </c>
      <c r="E620" s="7" t="s">
        <v>8</v>
      </c>
      <c r="F620" s="7">
        <v>14.09</v>
      </c>
      <c r="G620" s="7">
        <v>0</v>
      </c>
      <c r="H620" s="7">
        <v>6969.0838115662</v>
      </c>
      <c r="I620" s="7">
        <v>0</v>
      </c>
    </row>
    <row r="621" spans="1:9" x14ac:dyDescent="0.2">
      <c r="A621" s="7">
        <v>122905</v>
      </c>
      <c r="B621" s="7">
        <v>2.5400793080448399E-2</v>
      </c>
      <c r="C621" s="7">
        <v>8.1509172207196695E-2</v>
      </c>
      <c r="D621" s="7">
        <v>12000</v>
      </c>
      <c r="E621" s="7" t="s">
        <v>8</v>
      </c>
      <c r="F621" s="7">
        <v>12.12</v>
      </c>
      <c r="G621" s="7">
        <v>0</v>
      </c>
      <c r="H621" s="7">
        <v>14373.359988611101</v>
      </c>
      <c r="I621" s="7">
        <v>0</v>
      </c>
    </row>
    <row r="622" spans="1:9" x14ac:dyDescent="0.2">
      <c r="A622" s="7">
        <v>62181</v>
      </c>
      <c r="B622" s="7">
        <v>1.9578191139566801E-2</v>
      </c>
      <c r="C622" s="7">
        <v>5.3944556304700297E-2</v>
      </c>
      <c r="D622" s="7">
        <v>15000</v>
      </c>
      <c r="E622" s="7" t="s">
        <v>4</v>
      </c>
      <c r="F622" s="7">
        <v>6.62</v>
      </c>
      <c r="G622" s="7">
        <v>0</v>
      </c>
      <c r="H622" s="7">
        <v>16536.360005222399</v>
      </c>
      <c r="I622" s="7">
        <v>0</v>
      </c>
    </row>
    <row r="623" spans="1:9" x14ac:dyDescent="0.2">
      <c r="A623" s="7">
        <v>71298</v>
      </c>
      <c r="B623" s="7">
        <v>1.1717988324516799E-2</v>
      </c>
      <c r="C623" s="7">
        <v>8.4798680815203503E-2</v>
      </c>
      <c r="D623" s="7">
        <v>30000</v>
      </c>
      <c r="E623" s="7" t="s">
        <v>6</v>
      </c>
      <c r="F623" s="7">
        <v>19.05</v>
      </c>
      <c r="G623" s="7">
        <v>1</v>
      </c>
      <c r="H623" s="7">
        <v>16725.36</v>
      </c>
      <c r="I623" s="7">
        <v>3496.81</v>
      </c>
    </row>
    <row r="624" spans="1:9" x14ac:dyDescent="0.2">
      <c r="A624" s="7">
        <v>5420</v>
      </c>
      <c r="B624" s="7">
        <v>7.4995219818487198E-3</v>
      </c>
      <c r="C624" s="7">
        <v>8.4798680815203503E-2</v>
      </c>
      <c r="D624" s="7">
        <v>18000</v>
      </c>
      <c r="E624" s="7" t="s">
        <v>6</v>
      </c>
      <c r="F624" s="7">
        <v>16.989999999999998</v>
      </c>
      <c r="G624" s="7">
        <v>1</v>
      </c>
      <c r="H624" s="7">
        <v>7322.01</v>
      </c>
      <c r="I624" s="7">
        <v>5086.26</v>
      </c>
    </row>
    <row r="625" spans="1:9" x14ac:dyDescent="0.2">
      <c r="A625" s="7">
        <v>29161</v>
      </c>
      <c r="B625" s="7">
        <v>1.9833613497532199E-2</v>
      </c>
      <c r="C625" s="7">
        <v>8.1509172207196695E-2</v>
      </c>
      <c r="D625" s="7">
        <v>12000</v>
      </c>
      <c r="E625" s="7" t="s">
        <v>5</v>
      </c>
      <c r="F625" s="7">
        <v>13.68</v>
      </c>
      <c r="G625" s="7">
        <v>1</v>
      </c>
      <c r="H625" s="7">
        <v>3360.62</v>
      </c>
      <c r="I625" s="7">
        <v>911</v>
      </c>
    </row>
    <row r="626" spans="1:9" x14ac:dyDescent="0.2">
      <c r="A626" s="7">
        <v>29745</v>
      </c>
      <c r="B626" s="7">
        <v>3.4898674246455701E-2</v>
      </c>
      <c r="C626" s="7">
        <v>8.4798680815203503E-2</v>
      </c>
      <c r="D626" s="7">
        <v>20400</v>
      </c>
      <c r="E626" s="7" t="s">
        <v>5</v>
      </c>
      <c r="F626" s="7">
        <v>13.68</v>
      </c>
      <c r="G626" s="7">
        <v>0</v>
      </c>
      <c r="H626" s="7">
        <v>24515.770002059999</v>
      </c>
      <c r="I626" s="7">
        <v>0</v>
      </c>
    </row>
    <row r="627" spans="1:9" x14ac:dyDescent="0.2">
      <c r="A627" s="7">
        <v>69160</v>
      </c>
      <c r="B627" s="7">
        <v>3.5592240693524603E-2</v>
      </c>
      <c r="C627" s="7">
        <v>8.4798680815203503E-2</v>
      </c>
      <c r="D627" s="7">
        <v>35000</v>
      </c>
      <c r="E627" s="7" t="s">
        <v>5</v>
      </c>
      <c r="F627" s="7">
        <v>15.31</v>
      </c>
      <c r="G627" s="7">
        <v>1</v>
      </c>
      <c r="H627" s="7">
        <v>32900.76</v>
      </c>
      <c r="I627" s="7">
        <v>0</v>
      </c>
    </row>
    <row r="628" spans="1:9" x14ac:dyDescent="0.2">
      <c r="A628" s="7">
        <v>22994</v>
      </c>
      <c r="B628" s="7">
        <v>2.4535876572596999E-2</v>
      </c>
      <c r="C628" s="7">
        <v>7.4974238972806501E-2</v>
      </c>
      <c r="D628" s="7">
        <v>18000</v>
      </c>
      <c r="E628" s="7" t="s">
        <v>8</v>
      </c>
      <c r="F628" s="7">
        <v>10.99</v>
      </c>
      <c r="G628" s="7">
        <v>0</v>
      </c>
      <c r="H628" s="7">
        <v>18767.143949594101</v>
      </c>
      <c r="I628" s="7">
        <v>0</v>
      </c>
    </row>
    <row r="629" spans="1:9" x14ac:dyDescent="0.2">
      <c r="A629" s="7">
        <v>69947</v>
      </c>
      <c r="B629" s="7">
        <v>2.6742981952893999E-2</v>
      </c>
      <c r="C629" s="7">
        <v>7.4974238972806501E-2</v>
      </c>
      <c r="D629" s="7">
        <v>7000</v>
      </c>
      <c r="E629" s="7" t="s">
        <v>5</v>
      </c>
      <c r="F629" s="7">
        <v>15.8</v>
      </c>
      <c r="G629" s="7">
        <v>0</v>
      </c>
      <c r="H629" s="7">
        <v>8825.8100060313009</v>
      </c>
      <c r="I629" s="7">
        <v>0</v>
      </c>
    </row>
    <row r="630" spans="1:9" x14ac:dyDescent="0.2">
      <c r="A630" s="7">
        <v>68471</v>
      </c>
      <c r="B630" s="7">
        <v>-2.5423591303486799E-4</v>
      </c>
      <c r="C630" s="7">
        <v>8.1509172207196695E-2</v>
      </c>
      <c r="D630" s="7">
        <v>5125</v>
      </c>
      <c r="E630" s="7" t="s">
        <v>6</v>
      </c>
      <c r="F630" s="7">
        <v>17.77</v>
      </c>
      <c r="G630" s="7">
        <v>0</v>
      </c>
      <c r="H630" s="7">
        <v>5480.4944481760003</v>
      </c>
      <c r="I630" s="7">
        <v>0</v>
      </c>
    </row>
    <row r="631" spans="1:9" x14ac:dyDescent="0.2">
      <c r="A631" s="7">
        <v>105810</v>
      </c>
      <c r="B631" s="7">
        <v>2.8939104911088798E-2</v>
      </c>
      <c r="C631" s="7">
        <v>8.1509172207196695E-2</v>
      </c>
      <c r="D631" s="7">
        <v>12000</v>
      </c>
      <c r="E631" s="7" t="s">
        <v>8</v>
      </c>
      <c r="F631" s="7">
        <v>10.16</v>
      </c>
      <c r="G631" s="7">
        <v>1</v>
      </c>
      <c r="H631" s="7">
        <v>7711.77</v>
      </c>
      <c r="I631" s="7">
        <v>4695.4399999999996</v>
      </c>
    </row>
    <row r="632" spans="1:9" x14ac:dyDescent="0.2">
      <c r="A632" s="7">
        <v>38902</v>
      </c>
      <c r="B632" s="7">
        <v>3.31900684091661E-2</v>
      </c>
      <c r="C632" s="7">
        <v>8.1509172207196695E-2</v>
      </c>
      <c r="D632" s="7">
        <v>4000</v>
      </c>
      <c r="E632" s="7" t="s">
        <v>6</v>
      </c>
      <c r="F632" s="7">
        <v>17.559999999999999</v>
      </c>
      <c r="G632" s="7">
        <v>1</v>
      </c>
      <c r="H632" s="7">
        <v>2265.5100000000002</v>
      </c>
      <c r="I632" s="7">
        <v>402.76</v>
      </c>
    </row>
    <row r="633" spans="1:9" x14ac:dyDescent="0.2">
      <c r="A633" s="7">
        <v>28594</v>
      </c>
      <c r="B633" s="7">
        <v>8.6127521668413302E-3</v>
      </c>
      <c r="C633" s="7">
        <v>7.4974238972806501E-2</v>
      </c>
      <c r="D633" s="7">
        <v>12000</v>
      </c>
      <c r="E633" s="7" t="s">
        <v>5</v>
      </c>
      <c r="F633" s="7">
        <v>15.88</v>
      </c>
      <c r="G633" s="7">
        <v>0</v>
      </c>
      <c r="H633" s="7">
        <v>15369.269998652901</v>
      </c>
      <c r="I633" s="7">
        <v>0</v>
      </c>
    </row>
    <row r="634" spans="1:9" x14ac:dyDescent="0.2">
      <c r="A634" s="7">
        <v>12761</v>
      </c>
      <c r="B634" s="7">
        <v>3.9732053040761599E-2</v>
      </c>
      <c r="C634" s="7">
        <v>8.4798680815203503E-2</v>
      </c>
      <c r="D634" s="7">
        <v>19200</v>
      </c>
      <c r="E634" s="7" t="s">
        <v>5</v>
      </c>
      <c r="F634" s="7">
        <v>15.1</v>
      </c>
      <c r="G634" s="7">
        <v>1</v>
      </c>
      <c r="H634" s="7">
        <v>1332.66</v>
      </c>
      <c r="I634" s="7">
        <v>0</v>
      </c>
    </row>
    <row r="635" spans="1:9" x14ac:dyDescent="0.2">
      <c r="A635" s="7">
        <v>34439</v>
      </c>
      <c r="B635" s="7">
        <v>3.75208013687887E-2</v>
      </c>
      <c r="C635" s="7">
        <v>8.1509172207196695E-2</v>
      </c>
      <c r="D635" s="7">
        <v>11200</v>
      </c>
      <c r="E635" s="7" t="s">
        <v>5</v>
      </c>
      <c r="F635" s="7">
        <v>15.22</v>
      </c>
      <c r="G635" s="7">
        <v>0</v>
      </c>
      <c r="H635" s="7">
        <v>11878.5535821143</v>
      </c>
      <c r="I635" s="7">
        <v>0</v>
      </c>
    </row>
    <row r="636" spans="1:9" x14ac:dyDescent="0.2">
      <c r="A636" s="7">
        <v>103267</v>
      </c>
      <c r="B636" s="7">
        <v>2.29994752308635E-2</v>
      </c>
      <c r="C636" s="7">
        <v>7.4974238972806501E-2</v>
      </c>
      <c r="D636" s="7">
        <v>4000</v>
      </c>
      <c r="E636" s="7" t="s">
        <v>8</v>
      </c>
      <c r="F636" s="7">
        <v>13.11</v>
      </c>
      <c r="G636" s="7">
        <v>1</v>
      </c>
      <c r="H636" s="7">
        <v>876.48</v>
      </c>
      <c r="I636" s="7">
        <v>202.63</v>
      </c>
    </row>
    <row r="637" spans="1:9" x14ac:dyDescent="0.2">
      <c r="A637" s="7">
        <v>17282</v>
      </c>
      <c r="B637" s="7">
        <v>-4.9461758975969201E-3</v>
      </c>
      <c r="C637" s="7">
        <v>8.1509172207196695E-2</v>
      </c>
      <c r="D637" s="7">
        <v>12000</v>
      </c>
      <c r="E637" s="7" t="s">
        <v>10</v>
      </c>
      <c r="F637" s="7">
        <v>24.08</v>
      </c>
      <c r="G637" s="7">
        <v>0</v>
      </c>
      <c r="H637" s="7">
        <v>13864.987639021499</v>
      </c>
      <c r="I637" s="7">
        <v>0</v>
      </c>
    </row>
    <row r="638" spans="1:9" x14ac:dyDescent="0.2">
      <c r="A638" s="7">
        <v>9953</v>
      </c>
      <c r="B638" s="7">
        <v>3.6454457984279702E-2</v>
      </c>
      <c r="C638" s="7">
        <v>8.1509172207196695E-2</v>
      </c>
      <c r="D638" s="7">
        <v>15000</v>
      </c>
      <c r="E638" s="7" t="s">
        <v>5</v>
      </c>
      <c r="F638" s="7">
        <v>15.1</v>
      </c>
      <c r="G638" s="7">
        <v>0</v>
      </c>
      <c r="H638" s="7">
        <v>17783.3600022266</v>
      </c>
      <c r="I638" s="7">
        <v>0</v>
      </c>
    </row>
    <row r="639" spans="1:9" x14ac:dyDescent="0.2">
      <c r="A639" s="7">
        <v>133562</v>
      </c>
      <c r="B639" s="7">
        <v>3.22730612039916E-2</v>
      </c>
      <c r="C639" s="7">
        <v>7.4974238972806501E-2</v>
      </c>
      <c r="D639" s="7">
        <v>2500</v>
      </c>
      <c r="E639" s="7" t="s">
        <v>5</v>
      </c>
      <c r="F639" s="7">
        <v>16.29</v>
      </c>
      <c r="G639" s="7">
        <v>0</v>
      </c>
      <c r="H639" s="7">
        <v>3176.9427906894998</v>
      </c>
      <c r="I639" s="7">
        <v>0</v>
      </c>
    </row>
    <row r="640" spans="1:9" x14ac:dyDescent="0.2">
      <c r="A640" s="7">
        <v>140996</v>
      </c>
      <c r="B640" s="7">
        <v>2.7634950258896201E-2</v>
      </c>
      <c r="C640" s="7">
        <v>8.1509172207196695E-2</v>
      </c>
      <c r="D640" s="7">
        <v>10000</v>
      </c>
      <c r="E640" s="7" t="s">
        <v>8</v>
      </c>
      <c r="F640" s="7">
        <v>13.11</v>
      </c>
      <c r="G640" s="7">
        <v>0</v>
      </c>
      <c r="H640" s="7">
        <v>12148.910000002999</v>
      </c>
      <c r="I640" s="7">
        <v>0</v>
      </c>
    </row>
    <row r="641" spans="1:9" x14ac:dyDescent="0.2">
      <c r="A641" s="7">
        <v>131617</v>
      </c>
      <c r="B641" s="7">
        <v>3.7843073904878399E-2</v>
      </c>
      <c r="C641" s="7">
        <v>8.4798680815203503E-2</v>
      </c>
      <c r="D641" s="7">
        <v>24000</v>
      </c>
      <c r="E641" s="7" t="s">
        <v>5</v>
      </c>
      <c r="F641" s="7">
        <v>15.31</v>
      </c>
      <c r="G641" s="7">
        <v>0</v>
      </c>
      <c r="H641" s="7">
        <v>27428.574060319501</v>
      </c>
      <c r="I641" s="7">
        <v>0</v>
      </c>
    </row>
    <row r="642" spans="1:9" x14ac:dyDescent="0.2">
      <c r="A642" s="7">
        <v>6233</v>
      </c>
      <c r="B642" s="7">
        <v>4.0981111891207303E-2</v>
      </c>
      <c r="C642" s="7">
        <v>5.3944556304700297E-2</v>
      </c>
      <c r="D642" s="7">
        <v>15000</v>
      </c>
      <c r="E642" s="7" t="s">
        <v>8</v>
      </c>
      <c r="F642" s="7">
        <v>12.99</v>
      </c>
      <c r="G642" s="7">
        <v>0</v>
      </c>
      <c r="H642" s="7">
        <v>17048.1100098305</v>
      </c>
      <c r="I642" s="7">
        <v>0</v>
      </c>
    </row>
    <row r="643" spans="1:9" x14ac:dyDescent="0.2">
      <c r="A643" s="7">
        <v>73633</v>
      </c>
      <c r="B643" s="7">
        <v>1.22251158398861E-2</v>
      </c>
      <c r="C643" s="7">
        <v>8.1509172207196695E-2</v>
      </c>
      <c r="D643" s="7">
        <v>10000</v>
      </c>
      <c r="E643" s="7" t="s">
        <v>7</v>
      </c>
      <c r="F643" s="7">
        <v>21.98</v>
      </c>
      <c r="G643" s="7">
        <v>0</v>
      </c>
      <c r="H643" s="7">
        <v>13492.2999999978</v>
      </c>
      <c r="I643" s="7">
        <v>0</v>
      </c>
    </row>
    <row r="644" spans="1:9" x14ac:dyDescent="0.2">
      <c r="A644" s="7">
        <v>110099</v>
      </c>
      <c r="B644" s="8">
        <v>9.7503566007764602E-5</v>
      </c>
      <c r="C644" s="7">
        <v>8.4798680815203503E-2</v>
      </c>
      <c r="D644" s="7">
        <v>35000</v>
      </c>
      <c r="E644" s="7" t="s">
        <v>7</v>
      </c>
      <c r="F644" s="7">
        <v>20.49</v>
      </c>
      <c r="G644" s="7">
        <v>0</v>
      </c>
      <c r="H644" s="7">
        <v>51243.44</v>
      </c>
      <c r="I644" s="7">
        <v>0</v>
      </c>
    </row>
    <row r="645" spans="1:9" x14ac:dyDescent="0.2">
      <c r="A645" s="7">
        <v>16144</v>
      </c>
      <c r="B645" s="7">
        <v>-4.5583097307519502E-3</v>
      </c>
      <c r="C645" s="7">
        <v>8.1509172207196695E-2</v>
      </c>
      <c r="D645" s="7">
        <v>10000</v>
      </c>
      <c r="E645" s="7" t="s">
        <v>10</v>
      </c>
      <c r="F645" s="7">
        <v>23.7</v>
      </c>
      <c r="G645" s="7">
        <v>0</v>
      </c>
      <c r="H645" s="7">
        <v>13459.6</v>
      </c>
      <c r="I645" s="7">
        <v>0</v>
      </c>
    </row>
    <row r="646" spans="1:9" x14ac:dyDescent="0.2">
      <c r="A646" s="7">
        <v>109325</v>
      </c>
      <c r="B646" s="7">
        <v>3.3778013438373999E-2</v>
      </c>
      <c r="C646" s="7">
        <v>7.4974238972806501E-2</v>
      </c>
      <c r="D646" s="7">
        <v>6400</v>
      </c>
      <c r="E646" s="7" t="s">
        <v>8</v>
      </c>
      <c r="F646" s="7">
        <v>13.11</v>
      </c>
      <c r="G646" s="7">
        <v>0</v>
      </c>
      <c r="H646" s="7">
        <v>7713.9299999986997</v>
      </c>
      <c r="I646" s="7">
        <v>0</v>
      </c>
    </row>
    <row r="647" spans="1:9" x14ac:dyDescent="0.2">
      <c r="A647" s="7">
        <v>41273</v>
      </c>
      <c r="B647" s="7">
        <v>2.17782994138132E-2</v>
      </c>
      <c r="C647" s="7">
        <v>5.3944556304700297E-2</v>
      </c>
      <c r="D647" s="7">
        <v>25000</v>
      </c>
      <c r="E647" s="7" t="s">
        <v>4</v>
      </c>
      <c r="F647" s="7">
        <v>8.9</v>
      </c>
      <c r="G647" s="7">
        <v>0</v>
      </c>
      <c r="H647" s="7">
        <v>28134.11</v>
      </c>
      <c r="I647" s="7">
        <v>0</v>
      </c>
    </row>
    <row r="648" spans="1:9" x14ac:dyDescent="0.2">
      <c r="A648" s="7">
        <v>28073</v>
      </c>
      <c r="B648" s="7">
        <v>1.5452470740828899E-2</v>
      </c>
      <c r="C648" s="7">
        <v>8.4798680815203503E-2</v>
      </c>
      <c r="D648" s="7">
        <v>20000</v>
      </c>
      <c r="E648" s="7" t="s">
        <v>7</v>
      </c>
      <c r="F648" s="7">
        <v>22.7</v>
      </c>
      <c r="G648" s="7">
        <v>0</v>
      </c>
      <c r="H648" s="7">
        <v>28895.52</v>
      </c>
      <c r="I648" s="7">
        <v>0</v>
      </c>
    </row>
    <row r="649" spans="1:9" x14ac:dyDescent="0.2">
      <c r="A649" s="7">
        <v>21851</v>
      </c>
      <c r="B649" s="7">
        <v>3.1537566641919798E-2</v>
      </c>
      <c r="C649" s="7">
        <v>8.4798680815203503E-2</v>
      </c>
      <c r="D649" s="7">
        <v>20000</v>
      </c>
      <c r="E649" s="7" t="s">
        <v>6</v>
      </c>
      <c r="F649" s="7">
        <v>17.760000000000002</v>
      </c>
      <c r="G649" s="7">
        <v>1</v>
      </c>
      <c r="H649" s="7">
        <v>6485.85</v>
      </c>
      <c r="I649" s="7">
        <v>0</v>
      </c>
    </row>
    <row r="650" spans="1:9" x14ac:dyDescent="0.2">
      <c r="A650" s="7">
        <v>6163</v>
      </c>
      <c r="B650" s="7">
        <v>1.4146693328712901E-2</v>
      </c>
      <c r="C650" s="7">
        <v>8.4798680815203503E-2</v>
      </c>
      <c r="D650" s="7">
        <v>35000</v>
      </c>
      <c r="E650" s="7" t="s">
        <v>5</v>
      </c>
      <c r="F650" s="7">
        <v>16.2</v>
      </c>
      <c r="G650" s="7">
        <v>0</v>
      </c>
      <c r="H650" s="7">
        <v>42680.319997695398</v>
      </c>
      <c r="I650" s="7">
        <v>0</v>
      </c>
    </row>
    <row r="651" spans="1:9" x14ac:dyDescent="0.2">
      <c r="A651" s="7">
        <v>84456</v>
      </c>
      <c r="B651" s="7">
        <v>3.0449011541720101E-2</v>
      </c>
      <c r="C651" s="7">
        <v>7.4974238972806501E-2</v>
      </c>
      <c r="D651" s="7">
        <v>15000</v>
      </c>
      <c r="E651" s="7" t="s">
        <v>8</v>
      </c>
      <c r="F651" s="7">
        <v>11.14</v>
      </c>
      <c r="G651" s="7">
        <v>0</v>
      </c>
      <c r="H651" s="7">
        <v>16900.425273185399</v>
      </c>
      <c r="I651" s="7">
        <v>0</v>
      </c>
    </row>
    <row r="652" spans="1:9" x14ac:dyDescent="0.2">
      <c r="A652" s="7">
        <v>142065</v>
      </c>
      <c r="B652" s="7">
        <v>1.54374444011608E-3</v>
      </c>
      <c r="C652" s="7">
        <v>8.1509172207196695E-2</v>
      </c>
      <c r="D652" s="7">
        <v>16000</v>
      </c>
      <c r="E652" s="7" t="s">
        <v>6</v>
      </c>
      <c r="F652" s="7">
        <v>16.77</v>
      </c>
      <c r="G652" s="7">
        <v>1</v>
      </c>
      <c r="H652" s="7">
        <v>11078.76</v>
      </c>
      <c r="I652" s="7">
        <v>28.25</v>
      </c>
    </row>
    <row r="653" spans="1:9" x14ac:dyDescent="0.2">
      <c r="A653" s="7">
        <v>107961</v>
      </c>
      <c r="B653" s="7">
        <v>2.44217697415159E-2</v>
      </c>
      <c r="C653" s="7">
        <v>8.1509172207196695E-2</v>
      </c>
      <c r="D653" s="7">
        <v>11100</v>
      </c>
      <c r="E653" s="7" t="s">
        <v>8</v>
      </c>
      <c r="F653" s="7">
        <v>12.12</v>
      </c>
      <c r="G653" s="7">
        <v>0</v>
      </c>
      <c r="H653" s="7">
        <v>12566.833989389401</v>
      </c>
      <c r="I653" s="7">
        <v>0</v>
      </c>
    </row>
    <row r="654" spans="1:9" x14ac:dyDescent="0.2">
      <c r="A654" s="7">
        <v>106890</v>
      </c>
      <c r="B654" s="7">
        <v>2.60770023067536E-2</v>
      </c>
      <c r="C654" s="7">
        <v>7.4974238972806501E-2</v>
      </c>
      <c r="D654" s="7">
        <v>10750</v>
      </c>
      <c r="E654" s="7" t="s">
        <v>8</v>
      </c>
      <c r="F654" s="7">
        <v>12.12</v>
      </c>
      <c r="G654" s="7">
        <v>0</v>
      </c>
      <c r="H654" s="7">
        <v>12776.0300022391</v>
      </c>
      <c r="I654" s="7">
        <v>0</v>
      </c>
    </row>
    <row r="655" spans="1:9" x14ac:dyDescent="0.2">
      <c r="A655" s="7">
        <v>93276</v>
      </c>
      <c r="B655" s="7">
        <v>3.3459902913573501E-2</v>
      </c>
      <c r="C655" s="7">
        <v>8.4798680815203503E-2</v>
      </c>
      <c r="D655" s="7">
        <v>22100</v>
      </c>
      <c r="E655" s="7" t="s">
        <v>5</v>
      </c>
      <c r="F655" s="7">
        <v>17.27</v>
      </c>
      <c r="G655" s="7">
        <v>0</v>
      </c>
      <c r="H655" s="7">
        <v>27765.68</v>
      </c>
      <c r="I655" s="7">
        <v>0</v>
      </c>
    </row>
    <row r="656" spans="1:9" x14ac:dyDescent="0.2">
      <c r="A656" s="7">
        <v>84766</v>
      </c>
      <c r="B656" s="7">
        <v>2.5845266496596599E-2</v>
      </c>
      <c r="C656" s="7">
        <v>5.3944556304700297E-2</v>
      </c>
      <c r="D656" s="7">
        <v>20950</v>
      </c>
      <c r="E656" s="7" t="s">
        <v>4</v>
      </c>
      <c r="F656" s="7">
        <v>8.9</v>
      </c>
      <c r="G656" s="7">
        <v>1</v>
      </c>
      <c r="H656" s="7">
        <v>20554.79</v>
      </c>
      <c r="I656" s="7">
        <v>597.89</v>
      </c>
    </row>
    <row r="657" spans="1:9" x14ac:dyDescent="0.2">
      <c r="A657" s="7">
        <v>90896</v>
      </c>
      <c r="B657" s="7">
        <v>7.6918835570139398E-4</v>
      </c>
      <c r="C657" s="7">
        <v>8.4798680815203503E-2</v>
      </c>
      <c r="D657" s="7">
        <v>24375</v>
      </c>
      <c r="E657" s="7" t="s">
        <v>5</v>
      </c>
      <c r="F657" s="7">
        <v>17.27</v>
      </c>
      <c r="G657" s="7">
        <v>0</v>
      </c>
      <c r="H657" s="7">
        <v>29220.8271457966</v>
      </c>
      <c r="I657" s="7">
        <v>0</v>
      </c>
    </row>
    <row r="658" spans="1:9" x14ac:dyDescent="0.2">
      <c r="A658" s="7">
        <v>127766</v>
      </c>
      <c r="B658" s="7">
        <v>2.2438317915296001E-2</v>
      </c>
      <c r="C658" s="7">
        <v>7.4974238972806501E-2</v>
      </c>
      <c r="D658" s="7">
        <v>8450</v>
      </c>
      <c r="E658" s="7" t="s">
        <v>4</v>
      </c>
      <c r="F658" s="7">
        <v>6.03</v>
      </c>
      <c r="G658" s="7">
        <v>0</v>
      </c>
      <c r="H658" s="7">
        <v>9159.9930720196007</v>
      </c>
      <c r="I658" s="7">
        <v>0</v>
      </c>
    </row>
    <row r="659" spans="1:9" x14ac:dyDescent="0.2">
      <c r="A659" s="7">
        <v>13185</v>
      </c>
      <c r="B659" s="7">
        <v>2.0592197664453499E-2</v>
      </c>
      <c r="C659" s="7">
        <v>5.3944556304700297E-2</v>
      </c>
      <c r="D659" s="7">
        <v>20000</v>
      </c>
      <c r="E659" s="7" t="s">
        <v>4</v>
      </c>
      <c r="F659" s="7">
        <v>7.9</v>
      </c>
      <c r="G659" s="7">
        <v>0</v>
      </c>
      <c r="H659" s="7">
        <v>22314.85</v>
      </c>
      <c r="I659" s="7">
        <v>0</v>
      </c>
    </row>
    <row r="660" spans="1:9" x14ac:dyDescent="0.2">
      <c r="A660" s="7">
        <v>143399</v>
      </c>
      <c r="B660" s="7">
        <v>5.6710650498951803E-3</v>
      </c>
      <c r="C660" s="7">
        <v>8.4798680815203503E-2</v>
      </c>
      <c r="D660" s="7">
        <v>35000</v>
      </c>
      <c r="E660" s="7" t="s">
        <v>5</v>
      </c>
      <c r="F660" s="7">
        <v>13.49</v>
      </c>
      <c r="G660" s="7">
        <v>0</v>
      </c>
      <c r="H660" s="7">
        <v>36546.126087958801</v>
      </c>
      <c r="I660" s="7">
        <v>0</v>
      </c>
    </row>
    <row r="661" spans="1:9" x14ac:dyDescent="0.2">
      <c r="A661" s="7">
        <v>10879</v>
      </c>
      <c r="B661" s="7">
        <v>2.5694230891233402E-2</v>
      </c>
      <c r="C661" s="7">
        <v>8.1509172207196695E-2</v>
      </c>
      <c r="D661" s="7">
        <v>11200</v>
      </c>
      <c r="E661" s="7" t="s">
        <v>5</v>
      </c>
      <c r="F661" s="7">
        <v>15.1</v>
      </c>
      <c r="G661" s="7">
        <v>0</v>
      </c>
      <c r="H661" s="7">
        <v>12464.1580098505</v>
      </c>
      <c r="I661" s="7">
        <v>0</v>
      </c>
    </row>
    <row r="662" spans="1:9" x14ac:dyDescent="0.2">
      <c r="A662" s="7">
        <v>11461</v>
      </c>
      <c r="B662" s="7">
        <v>3.5267445971448999E-2</v>
      </c>
      <c r="C662" s="7">
        <v>5.3944556304700297E-2</v>
      </c>
      <c r="D662" s="7">
        <v>12000</v>
      </c>
      <c r="E662" s="7" t="s">
        <v>8</v>
      </c>
      <c r="F662" s="7">
        <v>9.67</v>
      </c>
      <c r="G662" s="7">
        <v>0</v>
      </c>
      <c r="H662" s="7">
        <v>12097.3886106591</v>
      </c>
      <c r="I662" s="7">
        <v>0</v>
      </c>
    </row>
    <row r="663" spans="1:9" x14ac:dyDescent="0.2">
      <c r="A663" s="7">
        <v>64131</v>
      </c>
      <c r="B663" s="7">
        <v>5.7971747909821798E-2</v>
      </c>
      <c r="C663" s="7">
        <v>5.3944556304700297E-2</v>
      </c>
      <c r="D663" s="7">
        <v>10000</v>
      </c>
      <c r="E663" s="7" t="s">
        <v>6</v>
      </c>
      <c r="F663" s="7">
        <v>17.77</v>
      </c>
      <c r="G663" s="7">
        <v>1</v>
      </c>
      <c r="H663" s="7">
        <v>8749.5499999999993</v>
      </c>
      <c r="I663" s="7">
        <v>821.82</v>
      </c>
    </row>
    <row r="664" spans="1:9" x14ac:dyDescent="0.2">
      <c r="A664" s="7">
        <v>31481</v>
      </c>
      <c r="B664" s="7">
        <v>3.7784584439286202E-3</v>
      </c>
      <c r="C664" s="7">
        <v>8.4798680815203503E-2</v>
      </c>
      <c r="D664" s="7">
        <v>20000</v>
      </c>
      <c r="E664" s="7" t="s">
        <v>6</v>
      </c>
      <c r="F664" s="7">
        <v>17.559999999999999</v>
      </c>
      <c r="G664" s="7">
        <v>1</v>
      </c>
      <c r="H664" s="7">
        <v>9441.52</v>
      </c>
      <c r="I664" s="7">
        <v>2407.0700000000002</v>
      </c>
    </row>
    <row r="665" spans="1:9" x14ac:dyDescent="0.2">
      <c r="A665" s="7">
        <v>125398</v>
      </c>
      <c r="B665" s="7">
        <v>2.27390348827167E-2</v>
      </c>
      <c r="C665" s="7">
        <v>7.4974238972806501E-2</v>
      </c>
      <c r="D665" s="7">
        <v>1875</v>
      </c>
      <c r="E665" s="7" t="s">
        <v>8</v>
      </c>
      <c r="F665" s="7">
        <v>10.16</v>
      </c>
      <c r="G665" s="7">
        <v>0</v>
      </c>
      <c r="H665" s="7">
        <v>2144.5745941265</v>
      </c>
      <c r="I665" s="7">
        <v>0</v>
      </c>
    </row>
    <row r="666" spans="1:9" x14ac:dyDescent="0.2">
      <c r="A666" s="7">
        <v>20302</v>
      </c>
      <c r="B666" s="7">
        <v>3.4650193238406402E-2</v>
      </c>
      <c r="C666" s="7">
        <v>5.3944556304700297E-2</v>
      </c>
      <c r="D666" s="7">
        <v>24000</v>
      </c>
      <c r="E666" s="7" t="s">
        <v>4</v>
      </c>
      <c r="F666" s="7">
        <v>9.25</v>
      </c>
      <c r="G666" s="7">
        <v>0</v>
      </c>
      <c r="H666" s="7">
        <v>26479.1000223232</v>
      </c>
      <c r="I666" s="7">
        <v>0</v>
      </c>
    </row>
    <row r="667" spans="1:9" x14ac:dyDescent="0.2">
      <c r="A667" s="7">
        <v>54649</v>
      </c>
      <c r="B667" s="7">
        <v>4.12341094544217E-3</v>
      </c>
      <c r="C667" s="7">
        <v>8.4798680815203503E-2</v>
      </c>
      <c r="D667" s="7">
        <v>20000</v>
      </c>
      <c r="E667" s="7" t="s">
        <v>7</v>
      </c>
      <c r="F667" s="7">
        <v>21.98</v>
      </c>
      <c r="G667" s="7">
        <v>1</v>
      </c>
      <c r="H667" s="7">
        <v>9194.69</v>
      </c>
      <c r="I667" s="7">
        <v>2568.9299999999998</v>
      </c>
    </row>
    <row r="668" spans="1:9" x14ac:dyDescent="0.2">
      <c r="A668" s="7">
        <v>115236</v>
      </c>
      <c r="B668" s="7">
        <v>3.40781456885575E-2</v>
      </c>
      <c r="C668" s="7">
        <v>8.4798680815203503E-2</v>
      </c>
      <c r="D668" s="7">
        <v>23500</v>
      </c>
      <c r="E668" s="7" t="s">
        <v>5</v>
      </c>
      <c r="F668" s="7">
        <v>17.27</v>
      </c>
      <c r="G668" s="7">
        <v>1</v>
      </c>
      <c r="H668" s="7">
        <v>11734.12</v>
      </c>
      <c r="I668" s="7">
        <v>2484.88</v>
      </c>
    </row>
    <row r="669" spans="1:9" x14ac:dyDescent="0.2">
      <c r="A669" s="7">
        <v>140050</v>
      </c>
      <c r="B669" s="7">
        <v>3.6433171574016397E-2</v>
      </c>
      <c r="C669" s="7">
        <v>7.7054178620260594E-2</v>
      </c>
      <c r="D669" s="7">
        <v>12000</v>
      </c>
      <c r="E669" s="7" t="s">
        <v>5</v>
      </c>
      <c r="F669" s="7">
        <v>14.65</v>
      </c>
      <c r="G669" s="7">
        <v>0</v>
      </c>
      <c r="H669" s="7">
        <v>14528.7504520291</v>
      </c>
      <c r="I669" s="7">
        <v>0</v>
      </c>
    </row>
    <row r="670" spans="1:9" x14ac:dyDescent="0.2">
      <c r="A670" s="7">
        <v>126884</v>
      </c>
      <c r="B670" s="7">
        <v>2.3730779149686802E-2</v>
      </c>
      <c r="C670" s="7">
        <v>8.1509172207196695E-2</v>
      </c>
      <c r="D670" s="7">
        <v>10000</v>
      </c>
      <c r="E670" s="7" t="s">
        <v>5</v>
      </c>
      <c r="F670" s="7">
        <v>14.65</v>
      </c>
      <c r="G670" s="7">
        <v>1</v>
      </c>
      <c r="H670" s="7">
        <v>7243.95</v>
      </c>
      <c r="I670" s="7">
        <v>10.64</v>
      </c>
    </row>
    <row r="671" spans="1:9" x14ac:dyDescent="0.2">
      <c r="A671" s="7">
        <v>33526</v>
      </c>
      <c r="B671" s="7">
        <v>2.4177751050628801E-2</v>
      </c>
      <c r="C671" s="7">
        <v>7.4974238972806501E-2</v>
      </c>
      <c r="D671" s="7">
        <v>6350</v>
      </c>
      <c r="E671" s="7" t="s">
        <v>8</v>
      </c>
      <c r="F671" s="7">
        <v>12.35</v>
      </c>
      <c r="G671" s="7">
        <v>0</v>
      </c>
      <c r="H671" s="7">
        <v>7519.9600016392997</v>
      </c>
      <c r="I671" s="7">
        <v>0</v>
      </c>
    </row>
    <row r="672" spans="1:9" x14ac:dyDescent="0.2">
      <c r="A672" s="7">
        <v>63371</v>
      </c>
      <c r="B672" s="7">
        <v>2.6249440065064002E-2</v>
      </c>
      <c r="C672" s="7">
        <v>8.4798680815203503E-2</v>
      </c>
      <c r="D672" s="7">
        <v>20700</v>
      </c>
      <c r="E672" s="7" t="s">
        <v>7</v>
      </c>
      <c r="F672" s="7">
        <v>21</v>
      </c>
      <c r="G672" s="7">
        <v>0</v>
      </c>
      <c r="H672" s="7">
        <v>28075.377359192698</v>
      </c>
      <c r="I672" s="7">
        <v>0</v>
      </c>
    </row>
    <row r="673" spans="1:9" x14ac:dyDescent="0.2">
      <c r="A673" s="7">
        <v>124558</v>
      </c>
      <c r="B673" s="7">
        <v>-5.9568284188708199E-3</v>
      </c>
      <c r="C673" s="7">
        <v>8.1509172207196695E-2</v>
      </c>
      <c r="D673" s="7">
        <v>16750</v>
      </c>
      <c r="E673" s="7" t="s">
        <v>7</v>
      </c>
      <c r="F673" s="7">
        <v>20.49</v>
      </c>
      <c r="G673" s="7">
        <v>0</v>
      </c>
      <c r="H673" s="7">
        <v>23774.0599845457</v>
      </c>
      <c r="I673" s="7">
        <v>0</v>
      </c>
    </row>
    <row r="674" spans="1:9" x14ac:dyDescent="0.2">
      <c r="A674" s="7">
        <v>35774</v>
      </c>
      <c r="B674" s="7">
        <v>3.2244685929748697E-2</v>
      </c>
      <c r="C674" s="7">
        <v>8.1509172207196695E-2</v>
      </c>
      <c r="D674" s="7">
        <v>15000</v>
      </c>
      <c r="E674" s="7" t="s">
        <v>8</v>
      </c>
      <c r="F674" s="7">
        <v>11.55</v>
      </c>
      <c r="G674" s="7">
        <v>0</v>
      </c>
      <c r="H674" s="7">
        <v>15938.609323201201</v>
      </c>
      <c r="I674" s="7">
        <v>0</v>
      </c>
    </row>
    <row r="675" spans="1:9" x14ac:dyDescent="0.2">
      <c r="A675" s="7">
        <v>74664</v>
      </c>
      <c r="B675" s="7">
        <v>4.0486707173714699E-2</v>
      </c>
      <c r="C675" s="7">
        <v>5.3944556304700297E-2</v>
      </c>
      <c r="D675" s="7">
        <v>17325</v>
      </c>
      <c r="E675" s="7" t="s">
        <v>8</v>
      </c>
      <c r="F675" s="7">
        <v>11.14</v>
      </c>
      <c r="G675" s="7">
        <v>1</v>
      </c>
      <c r="H675" s="7">
        <v>15442.69</v>
      </c>
      <c r="I675" s="7">
        <v>665.97</v>
      </c>
    </row>
    <row r="676" spans="1:9" x14ac:dyDescent="0.2">
      <c r="A676" s="7">
        <v>115942</v>
      </c>
      <c r="B676" s="7">
        <v>3.53114964619703E-2</v>
      </c>
      <c r="C676" s="7">
        <v>8.1509172207196695E-2</v>
      </c>
      <c r="D676" s="7">
        <v>2700</v>
      </c>
      <c r="E676" s="7" t="s">
        <v>6</v>
      </c>
      <c r="F676" s="7">
        <v>19.05</v>
      </c>
      <c r="G676" s="7">
        <v>0</v>
      </c>
      <c r="H676" s="7">
        <v>3565.4170734304998</v>
      </c>
      <c r="I676" s="7">
        <v>0</v>
      </c>
    </row>
    <row r="677" spans="1:9" x14ac:dyDescent="0.2">
      <c r="A677" s="7">
        <v>110</v>
      </c>
      <c r="B677" s="7">
        <v>3.2472389361075098E-2</v>
      </c>
      <c r="C677" s="7">
        <v>7.4974238972806501E-2</v>
      </c>
      <c r="D677" s="7">
        <v>9000</v>
      </c>
      <c r="E677" s="7" t="s">
        <v>5</v>
      </c>
      <c r="F677" s="7">
        <v>15.61</v>
      </c>
      <c r="G677" s="7">
        <v>0</v>
      </c>
      <c r="H677" s="7">
        <v>10917.760001341499</v>
      </c>
      <c r="I677" s="7">
        <v>0</v>
      </c>
    </row>
    <row r="678" spans="1:9" x14ac:dyDescent="0.2">
      <c r="A678" s="7">
        <v>80306</v>
      </c>
      <c r="B678" s="7">
        <v>3.4107575962822899E-2</v>
      </c>
      <c r="C678" s="7">
        <v>5.3944556304700297E-2</v>
      </c>
      <c r="D678" s="7">
        <v>35000</v>
      </c>
      <c r="E678" s="7" t="s">
        <v>8</v>
      </c>
      <c r="F678" s="7">
        <v>11.14</v>
      </c>
      <c r="G678" s="7">
        <v>0</v>
      </c>
      <c r="H678" s="7">
        <v>41334.3504575076</v>
      </c>
      <c r="I678" s="7">
        <v>0</v>
      </c>
    </row>
    <row r="679" spans="1:9" x14ac:dyDescent="0.2">
      <c r="A679" s="7">
        <v>36999</v>
      </c>
      <c r="B679" s="7">
        <v>-6.1269289540400503E-3</v>
      </c>
      <c r="C679" s="7">
        <v>8.4798680815203503E-2</v>
      </c>
      <c r="D679" s="7">
        <v>20000</v>
      </c>
      <c r="E679" s="7" t="s">
        <v>6</v>
      </c>
      <c r="F679" s="7">
        <v>17.559999999999999</v>
      </c>
      <c r="G679" s="7">
        <v>1</v>
      </c>
      <c r="H679" s="7">
        <v>14084.82</v>
      </c>
      <c r="I679" s="7">
        <v>0</v>
      </c>
    </row>
    <row r="680" spans="1:9" x14ac:dyDescent="0.2">
      <c r="A680" s="7">
        <v>135874</v>
      </c>
      <c r="B680" s="7">
        <v>-3.1239424066655101E-3</v>
      </c>
      <c r="C680" s="7">
        <v>8.4798680815203503E-2</v>
      </c>
      <c r="D680" s="7">
        <v>20800</v>
      </c>
      <c r="E680" s="7" t="s">
        <v>10</v>
      </c>
      <c r="F680" s="7">
        <v>22.78</v>
      </c>
      <c r="G680" s="7">
        <v>0</v>
      </c>
      <c r="H680" s="7">
        <v>28543.517050898299</v>
      </c>
      <c r="I680" s="7">
        <v>0</v>
      </c>
    </row>
    <row r="681" spans="1:9" x14ac:dyDescent="0.2">
      <c r="A681" s="7">
        <v>106628</v>
      </c>
      <c r="B681" s="7">
        <v>4.1506941922852598E-2</v>
      </c>
      <c r="C681" s="7">
        <v>8.4798680815203503E-2</v>
      </c>
      <c r="D681" s="7">
        <v>35000</v>
      </c>
      <c r="E681" s="7" t="s">
        <v>6</v>
      </c>
      <c r="F681" s="7">
        <v>19.05</v>
      </c>
      <c r="G681" s="7">
        <v>0</v>
      </c>
      <c r="H681" s="7">
        <v>42394.447365742701</v>
      </c>
      <c r="I681" s="7">
        <v>0</v>
      </c>
    </row>
    <row r="682" spans="1:9" x14ac:dyDescent="0.2">
      <c r="A682" s="7">
        <v>123830</v>
      </c>
      <c r="B682" s="7">
        <v>2.7740531918389801E-2</v>
      </c>
      <c r="C682" s="7">
        <v>8.1509172207196695E-2</v>
      </c>
      <c r="D682" s="7">
        <v>10200</v>
      </c>
      <c r="E682" s="7" t="s">
        <v>5</v>
      </c>
      <c r="F682" s="7">
        <v>15.31</v>
      </c>
      <c r="G682" s="7">
        <v>0</v>
      </c>
      <c r="H682" s="7">
        <v>12784.893035389799</v>
      </c>
      <c r="I682" s="7">
        <v>0</v>
      </c>
    </row>
    <row r="683" spans="1:9" x14ac:dyDescent="0.2">
      <c r="A683" s="7">
        <v>44718</v>
      </c>
      <c r="B683" s="7">
        <v>-2.2275326079347398E-3</v>
      </c>
      <c r="C683" s="7">
        <v>8.4798680815203503E-2</v>
      </c>
      <c r="D683" s="7">
        <v>16000</v>
      </c>
      <c r="E683" s="7" t="s">
        <v>7</v>
      </c>
      <c r="F683" s="7">
        <v>21.6</v>
      </c>
      <c r="G683" s="7">
        <v>1</v>
      </c>
      <c r="H683" s="7">
        <v>9074.43</v>
      </c>
      <c r="I683" s="7">
        <v>1911.95</v>
      </c>
    </row>
    <row r="684" spans="1:9" x14ac:dyDescent="0.2">
      <c r="A684" s="7">
        <v>120433</v>
      </c>
      <c r="B684" s="7">
        <v>1.77103006692753E-2</v>
      </c>
      <c r="C684" s="7">
        <v>8.1509172207196695E-2</v>
      </c>
      <c r="D684" s="7">
        <v>6000</v>
      </c>
      <c r="E684" s="7" t="s">
        <v>8</v>
      </c>
      <c r="F684" s="7">
        <v>11.14</v>
      </c>
      <c r="G684" s="7">
        <v>0</v>
      </c>
      <c r="H684" s="7">
        <v>6969.9632175468996</v>
      </c>
      <c r="I684" s="7">
        <v>0</v>
      </c>
    </row>
    <row r="685" spans="1:9" x14ac:dyDescent="0.2">
      <c r="A685" s="7">
        <v>45555</v>
      </c>
      <c r="B685" s="7">
        <v>-7.1949106897081696E-3</v>
      </c>
      <c r="C685" s="7">
        <v>8.4798680815203503E-2</v>
      </c>
      <c r="D685" s="7">
        <v>18250</v>
      </c>
      <c r="E685" s="7" t="s">
        <v>10</v>
      </c>
      <c r="F685" s="7">
        <v>23.5</v>
      </c>
      <c r="G685" s="7">
        <v>1</v>
      </c>
      <c r="H685" s="7">
        <v>6235.06</v>
      </c>
      <c r="I685" s="7">
        <v>0</v>
      </c>
    </row>
    <row r="686" spans="1:9" x14ac:dyDescent="0.2">
      <c r="A686" s="7">
        <v>14737</v>
      </c>
      <c r="B686" s="7">
        <v>-9.0552730897255594E-3</v>
      </c>
      <c r="C686" s="7">
        <v>8.4798680815203503E-2</v>
      </c>
      <c r="D686" s="7">
        <v>20000</v>
      </c>
      <c r="E686" s="7" t="s">
        <v>6</v>
      </c>
      <c r="F686" s="7">
        <v>19.52</v>
      </c>
      <c r="G686" s="7">
        <v>0</v>
      </c>
      <c r="H686" s="7">
        <v>24532.019999997901</v>
      </c>
      <c r="I686" s="7">
        <v>0</v>
      </c>
    </row>
    <row r="687" spans="1:9" x14ac:dyDescent="0.2">
      <c r="A687" s="7">
        <v>142706</v>
      </c>
      <c r="B687" s="7">
        <v>-2.3866781705893202E-3</v>
      </c>
      <c r="C687" s="7">
        <v>8.4798680815203503E-2</v>
      </c>
      <c r="D687" s="7">
        <v>21000</v>
      </c>
      <c r="E687" s="7" t="s">
        <v>8</v>
      </c>
      <c r="F687" s="7">
        <v>12.69</v>
      </c>
      <c r="G687" s="7">
        <v>1</v>
      </c>
      <c r="H687" s="7">
        <v>9962.8700000000008</v>
      </c>
      <c r="I687" s="7">
        <v>0</v>
      </c>
    </row>
    <row r="688" spans="1:9" x14ac:dyDescent="0.2">
      <c r="A688" s="7">
        <v>43724</v>
      </c>
      <c r="B688" s="7">
        <v>4.4774026921070798E-2</v>
      </c>
      <c r="C688" s="7">
        <v>8.1509172207196695E-2</v>
      </c>
      <c r="D688" s="7">
        <v>11700</v>
      </c>
      <c r="E688" s="7" t="s">
        <v>6</v>
      </c>
      <c r="F688" s="7">
        <v>18.25</v>
      </c>
      <c r="G688" s="7">
        <v>0</v>
      </c>
      <c r="H688" s="7">
        <v>15200.08</v>
      </c>
      <c r="I688" s="7">
        <v>0</v>
      </c>
    </row>
    <row r="689" spans="1:9" x14ac:dyDescent="0.2">
      <c r="A689" s="7">
        <v>116807</v>
      </c>
      <c r="B689" s="7">
        <v>3.5707834392687203E-2</v>
      </c>
      <c r="C689" s="7">
        <v>8.1509172207196695E-2</v>
      </c>
      <c r="D689" s="7">
        <v>18000</v>
      </c>
      <c r="E689" s="7" t="s">
        <v>5</v>
      </c>
      <c r="F689" s="7">
        <v>14.33</v>
      </c>
      <c r="G689" s="7">
        <v>1</v>
      </c>
      <c r="H689" s="7">
        <v>9220.48</v>
      </c>
      <c r="I689" s="7">
        <v>1819.72</v>
      </c>
    </row>
    <row r="690" spans="1:9" x14ac:dyDescent="0.2">
      <c r="A690" s="7">
        <v>59092</v>
      </c>
      <c r="B690" s="7">
        <v>8.3428027023614293E-3</v>
      </c>
      <c r="C690" s="7">
        <v>7.7054178620260594E-2</v>
      </c>
      <c r="D690" s="7">
        <v>12000</v>
      </c>
      <c r="E690" s="7" t="s">
        <v>5</v>
      </c>
      <c r="F690" s="7">
        <v>16.29</v>
      </c>
      <c r="G690" s="7">
        <v>0</v>
      </c>
      <c r="H690" s="7">
        <v>14510.6786966208</v>
      </c>
      <c r="I690" s="7">
        <v>0</v>
      </c>
    </row>
    <row r="691" spans="1:9" x14ac:dyDescent="0.2">
      <c r="A691" s="7">
        <v>77096</v>
      </c>
      <c r="B691" s="7">
        <v>2.7503919916351999E-2</v>
      </c>
      <c r="C691" s="7">
        <v>5.3944556304700297E-2</v>
      </c>
      <c r="D691" s="7">
        <v>20000</v>
      </c>
      <c r="E691" s="7" t="s">
        <v>8</v>
      </c>
      <c r="F691" s="7">
        <v>11.14</v>
      </c>
      <c r="G691" s="7">
        <v>0</v>
      </c>
      <c r="H691" s="7">
        <v>23619.582316986201</v>
      </c>
      <c r="I691" s="7">
        <v>0</v>
      </c>
    </row>
    <row r="692" spans="1:9" x14ac:dyDescent="0.2">
      <c r="A692" s="7">
        <v>141780</v>
      </c>
      <c r="B692" s="7">
        <v>8.6889958508367497E-3</v>
      </c>
      <c r="C692" s="7">
        <v>7.4974238972806501E-2</v>
      </c>
      <c r="D692" s="7">
        <v>8000</v>
      </c>
      <c r="E692" s="7" t="s">
        <v>8</v>
      </c>
      <c r="F692" s="7">
        <v>12.69</v>
      </c>
      <c r="G692" s="7">
        <v>0</v>
      </c>
      <c r="H692" s="7">
        <v>9660.9099999971004</v>
      </c>
      <c r="I692" s="7">
        <v>0</v>
      </c>
    </row>
    <row r="693" spans="1:9" x14ac:dyDescent="0.2">
      <c r="A693" s="7">
        <v>68800</v>
      </c>
      <c r="B693" s="7">
        <v>2.5973416759726899E-2</v>
      </c>
      <c r="C693" s="7">
        <v>7.4974238972806501E-2</v>
      </c>
      <c r="D693" s="7">
        <v>9000</v>
      </c>
      <c r="E693" s="7" t="s">
        <v>8</v>
      </c>
      <c r="F693" s="7">
        <v>13.11</v>
      </c>
      <c r="G693" s="7">
        <v>1</v>
      </c>
      <c r="H693" s="7">
        <v>8500.48</v>
      </c>
      <c r="I693" s="7">
        <v>0</v>
      </c>
    </row>
    <row r="694" spans="1:9" x14ac:dyDescent="0.2">
      <c r="A694" s="7">
        <v>41999</v>
      </c>
      <c r="B694" s="7">
        <v>2.50905016305875E-2</v>
      </c>
      <c r="C694" s="7">
        <v>8.1509172207196695E-2</v>
      </c>
      <c r="D694" s="7">
        <v>10000</v>
      </c>
      <c r="E694" s="7" t="s">
        <v>8</v>
      </c>
      <c r="F694" s="7">
        <v>9.7100000000000009</v>
      </c>
      <c r="G694" s="7">
        <v>1</v>
      </c>
      <c r="H694" s="7">
        <v>8083.98</v>
      </c>
      <c r="I694" s="7">
        <v>697.4</v>
      </c>
    </row>
    <row r="695" spans="1:9" x14ac:dyDescent="0.2">
      <c r="A695" s="7">
        <v>109925</v>
      </c>
      <c r="B695" s="7">
        <v>3.9303743727395903E-2</v>
      </c>
      <c r="C695" s="7">
        <v>5.3944556304700297E-2</v>
      </c>
      <c r="D695" s="7">
        <v>20000</v>
      </c>
      <c r="E695" s="7" t="s">
        <v>5</v>
      </c>
      <c r="F695" s="7">
        <v>14.33</v>
      </c>
      <c r="G695" s="7">
        <v>0</v>
      </c>
      <c r="H695" s="7">
        <v>24723.386515188398</v>
      </c>
      <c r="I695" s="7">
        <v>0</v>
      </c>
    </row>
    <row r="696" spans="1:9" x14ac:dyDescent="0.2">
      <c r="A696" s="7">
        <v>99951</v>
      </c>
      <c r="B696" s="7">
        <v>3.1416262096482003E-2</v>
      </c>
      <c r="C696" s="7">
        <v>8.1509172207196695E-2</v>
      </c>
      <c r="D696" s="7">
        <v>16000</v>
      </c>
      <c r="E696" s="7" t="s">
        <v>5</v>
      </c>
      <c r="F696" s="7">
        <v>15.31</v>
      </c>
      <c r="G696" s="7">
        <v>1</v>
      </c>
      <c r="H696" s="7">
        <v>4136.18</v>
      </c>
      <c r="I696" s="7">
        <v>794.28</v>
      </c>
    </row>
    <row r="697" spans="1:9" x14ac:dyDescent="0.2">
      <c r="A697" s="7">
        <v>102717</v>
      </c>
      <c r="B697" s="7">
        <v>3.7704122702522803E-2</v>
      </c>
      <c r="C697" s="7">
        <v>5.3944556304700297E-2</v>
      </c>
      <c r="D697" s="7">
        <v>12000</v>
      </c>
      <c r="E697" s="7" t="s">
        <v>8</v>
      </c>
      <c r="F697" s="7">
        <v>12.12</v>
      </c>
      <c r="G697" s="7">
        <v>0</v>
      </c>
      <c r="H697" s="7">
        <v>14373.353087375899</v>
      </c>
      <c r="I697" s="7">
        <v>0</v>
      </c>
    </row>
    <row r="698" spans="1:9" x14ac:dyDescent="0.2">
      <c r="A698" s="7">
        <v>134982</v>
      </c>
      <c r="B698" s="7">
        <v>2.7563122610510499E-2</v>
      </c>
      <c r="C698" s="7">
        <v>8.1509172207196695E-2</v>
      </c>
      <c r="D698" s="7">
        <v>8000</v>
      </c>
      <c r="E698" s="7" t="s">
        <v>5</v>
      </c>
      <c r="F698" s="7">
        <v>13.99</v>
      </c>
      <c r="G698" s="7">
        <v>0</v>
      </c>
      <c r="H698" s="7">
        <v>9567.8484690546993</v>
      </c>
      <c r="I698" s="7">
        <v>0</v>
      </c>
    </row>
    <row r="699" spans="1:9" x14ac:dyDescent="0.2">
      <c r="A699" s="7">
        <v>116861</v>
      </c>
      <c r="B699" s="7">
        <v>2.60065601427538E-2</v>
      </c>
      <c r="C699" s="7">
        <v>5.3944556304700297E-2</v>
      </c>
      <c r="D699" s="7">
        <v>15000</v>
      </c>
      <c r="E699" s="7" t="s">
        <v>4</v>
      </c>
      <c r="F699" s="7">
        <v>8.9</v>
      </c>
      <c r="G699" s="7">
        <v>0</v>
      </c>
      <c r="H699" s="7">
        <v>17146.7251083597</v>
      </c>
      <c r="I699" s="7">
        <v>0</v>
      </c>
    </row>
    <row r="700" spans="1:9" x14ac:dyDescent="0.2">
      <c r="A700" s="7">
        <v>136445</v>
      </c>
      <c r="B700" s="7">
        <v>3.8398541207260398E-2</v>
      </c>
      <c r="C700" s="7">
        <v>7.4974238972806501E-2</v>
      </c>
      <c r="D700" s="7">
        <v>12000</v>
      </c>
      <c r="E700" s="7" t="s">
        <v>5</v>
      </c>
      <c r="F700" s="7">
        <v>15.31</v>
      </c>
      <c r="G700" s="7">
        <v>0</v>
      </c>
      <c r="H700" s="7">
        <v>13606.15156138</v>
      </c>
      <c r="I700" s="7">
        <v>0</v>
      </c>
    </row>
    <row r="701" spans="1:9" x14ac:dyDescent="0.2">
      <c r="A701" s="7">
        <v>53268</v>
      </c>
      <c r="B701" s="7">
        <v>2.6529746661066299E-2</v>
      </c>
      <c r="C701" s="7">
        <v>7.7054178620260594E-2</v>
      </c>
      <c r="D701" s="7">
        <v>10000</v>
      </c>
      <c r="E701" s="7" t="s">
        <v>8</v>
      </c>
      <c r="F701" s="7">
        <v>14.09</v>
      </c>
      <c r="G701" s="7">
        <v>0</v>
      </c>
      <c r="H701" s="7">
        <v>12319.634501128599</v>
      </c>
      <c r="I701" s="7">
        <v>0</v>
      </c>
    </row>
    <row r="702" spans="1:9" x14ac:dyDescent="0.2">
      <c r="A702" s="7">
        <v>109213</v>
      </c>
      <c r="B702" s="7">
        <v>3.5887076613475899E-2</v>
      </c>
      <c r="C702" s="7">
        <v>8.1509172207196695E-2</v>
      </c>
      <c r="D702" s="7">
        <v>13250</v>
      </c>
      <c r="E702" s="7" t="s">
        <v>8</v>
      </c>
      <c r="F702" s="7">
        <v>10.16</v>
      </c>
      <c r="G702" s="7">
        <v>0</v>
      </c>
      <c r="H702" s="7">
        <v>15012.023318277401</v>
      </c>
      <c r="I702" s="7">
        <v>0</v>
      </c>
    </row>
    <row r="703" spans="1:9" x14ac:dyDescent="0.2">
      <c r="A703" s="7">
        <v>126135</v>
      </c>
      <c r="B703" s="7">
        <v>3.5917082362936101E-2</v>
      </c>
      <c r="C703" s="7">
        <v>8.1509172207196695E-2</v>
      </c>
      <c r="D703" s="7">
        <v>12450</v>
      </c>
      <c r="E703" s="7" t="s">
        <v>8</v>
      </c>
      <c r="F703" s="7">
        <v>13.11</v>
      </c>
      <c r="G703" s="7">
        <v>0</v>
      </c>
      <c r="H703" s="7">
        <v>15125.3899965211</v>
      </c>
      <c r="I703" s="7">
        <v>0</v>
      </c>
    </row>
    <row r="704" spans="1:9" x14ac:dyDescent="0.2">
      <c r="A704" s="7">
        <v>72624</v>
      </c>
      <c r="B704" s="7">
        <v>3.2804147663138099E-2</v>
      </c>
      <c r="C704" s="7">
        <v>8.1509172207196695E-2</v>
      </c>
      <c r="D704" s="7">
        <v>5000</v>
      </c>
      <c r="E704" s="7" t="s">
        <v>5</v>
      </c>
      <c r="F704" s="7">
        <v>14.33</v>
      </c>
      <c r="G704" s="7">
        <v>0</v>
      </c>
      <c r="H704" s="7">
        <v>5439.4225871510998</v>
      </c>
      <c r="I704" s="7">
        <v>0</v>
      </c>
    </row>
    <row r="705" spans="1:9" x14ac:dyDescent="0.2">
      <c r="A705" s="7">
        <v>86587</v>
      </c>
      <c r="B705" s="7">
        <v>3.6953181270584598E-2</v>
      </c>
      <c r="C705" s="7">
        <v>8.1509172207196695E-2</v>
      </c>
      <c r="D705" s="7">
        <v>20000</v>
      </c>
      <c r="E705" s="7" t="s">
        <v>8</v>
      </c>
      <c r="F705" s="7">
        <v>13.11</v>
      </c>
      <c r="G705" s="7">
        <v>0</v>
      </c>
      <c r="H705" s="7">
        <v>23980.959999999199</v>
      </c>
      <c r="I705" s="7">
        <v>0</v>
      </c>
    </row>
    <row r="706" spans="1:9" x14ac:dyDescent="0.2">
      <c r="A706" s="7">
        <v>81232</v>
      </c>
      <c r="B706" s="7">
        <v>6.0644591058421297E-3</v>
      </c>
      <c r="C706" s="7">
        <v>8.4798680815203503E-2</v>
      </c>
      <c r="D706" s="7">
        <v>21000</v>
      </c>
      <c r="E706" s="7" t="s">
        <v>5</v>
      </c>
      <c r="F706" s="7">
        <v>15.8</v>
      </c>
      <c r="G706" s="7">
        <v>0</v>
      </c>
      <c r="H706" s="7">
        <v>26794.8500162278</v>
      </c>
      <c r="I706" s="7">
        <v>0</v>
      </c>
    </row>
    <row r="707" spans="1:9" x14ac:dyDescent="0.2">
      <c r="A707" s="7">
        <v>110880</v>
      </c>
      <c r="B707" s="7">
        <v>3.4148382890053001E-2</v>
      </c>
      <c r="C707" s="7">
        <v>7.4974238972806501E-2</v>
      </c>
      <c r="D707" s="7">
        <v>11200</v>
      </c>
      <c r="E707" s="7" t="s">
        <v>8</v>
      </c>
      <c r="F707" s="7">
        <v>13.11</v>
      </c>
      <c r="G707" s="7">
        <v>0</v>
      </c>
      <c r="H707" s="7">
        <v>13080.164971951301</v>
      </c>
      <c r="I707" s="7">
        <v>0</v>
      </c>
    </row>
    <row r="708" spans="1:9" x14ac:dyDescent="0.2">
      <c r="A708" s="7">
        <v>30879</v>
      </c>
      <c r="B708" s="7">
        <v>5.0443419785151204E-3</v>
      </c>
      <c r="C708" s="7">
        <v>7.4974238972806501E-2</v>
      </c>
      <c r="D708" s="7">
        <v>15000</v>
      </c>
      <c r="E708" s="7" t="s">
        <v>5</v>
      </c>
      <c r="F708" s="7">
        <v>15.88</v>
      </c>
      <c r="G708" s="7">
        <v>0</v>
      </c>
      <c r="H708" s="7">
        <v>19669.470010269499</v>
      </c>
      <c r="I708" s="7">
        <v>0</v>
      </c>
    </row>
    <row r="709" spans="1:9" x14ac:dyDescent="0.2">
      <c r="A709" s="7">
        <v>13240</v>
      </c>
      <c r="B709" s="7">
        <v>2.3011455979194E-2</v>
      </c>
      <c r="C709" s="7">
        <v>8.1509172207196695E-2</v>
      </c>
      <c r="D709" s="7">
        <v>10000</v>
      </c>
      <c r="E709" s="7" t="s">
        <v>4</v>
      </c>
      <c r="F709" s="7">
        <v>7.62</v>
      </c>
      <c r="G709" s="7">
        <v>0</v>
      </c>
      <c r="H709" s="7">
        <v>10463.319524352</v>
      </c>
      <c r="I709" s="7">
        <v>0</v>
      </c>
    </row>
    <row r="710" spans="1:9" x14ac:dyDescent="0.2">
      <c r="A710" s="7">
        <v>36828</v>
      </c>
      <c r="B710" s="7">
        <v>3.3265308521990299E-2</v>
      </c>
      <c r="C710" s="7">
        <v>8.1509172207196695E-2</v>
      </c>
      <c r="D710" s="7">
        <v>3000</v>
      </c>
      <c r="E710" s="7" t="s">
        <v>6</v>
      </c>
      <c r="F710" s="7">
        <v>18.25</v>
      </c>
      <c r="G710" s="7">
        <v>0</v>
      </c>
      <c r="H710" s="7">
        <v>3045.6786870499</v>
      </c>
      <c r="I710" s="7">
        <v>0</v>
      </c>
    </row>
    <row r="711" spans="1:9" x14ac:dyDescent="0.2">
      <c r="A711" s="7">
        <v>62033</v>
      </c>
      <c r="B711" s="7">
        <v>1.50325897187029E-2</v>
      </c>
      <c r="C711" s="7">
        <v>7.7054178620260594E-2</v>
      </c>
      <c r="D711" s="7">
        <v>8000</v>
      </c>
      <c r="E711" s="7" t="s">
        <v>6</v>
      </c>
      <c r="F711" s="7">
        <v>18.489999999999998</v>
      </c>
      <c r="G711" s="7">
        <v>0</v>
      </c>
      <c r="H711" s="7">
        <v>8807.6063416512006</v>
      </c>
      <c r="I711" s="7">
        <v>0</v>
      </c>
    </row>
    <row r="712" spans="1:9" x14ac:dyDescent="0.2">
      <c r="A712" s="7">
        <v>47007</v>
      </c>
      <c r="B712" s="7">
        <v>1.85210690609839E-2</v>
      </c>
      <c r="C712" s="7">
        <v>7.4974238972806501E-2</v>
      </c>
      <c r="D712" s="7">
        <v>20000</v>
      </c>
      <c r="E712" s="7" t="s">
        <v>4</v>
      </c>
      <c r="F712" s="7">
        <v>7.9</v>
      </c>
      <c r="G712" s="7">
        <v>0</v>
      </c>
      <c r="H712" s="7">
        <v>20740.78</v>
      </c>
      <c r="I712" s="7">
        <v>0</v>
      </c>
    </row>
    <row r="713" spans="1:9" x14ac:dyDescent="0.2">
      <c r="A713" s="7">
        <v>118655</v>
      </c>
      <c r="B713" s="7">
        <v>2.9981506877016499E-2</v>
      </c>
      <c r="C713" s="7">
        <v>8.1509172207196695E-2</v>
      </c>
      <c r="D713" s="7">
        <v>6000</v>
      </c>
      <c r="E713" s="7" t="s">
        <v>8</v>
      </c>
      <c r="F713" s="7">
        <v>12.12</v>
      </c>
      <c r="G713" s="7">
        <v>0</v>
      </c>
      <c r="H713" s="7">
        <v>7099.2059157826998</v>
      </c>
      <c r="I713" s="7">
        <v>0</v>
      </c>
    </row>
    <row r="714" spans="1:9" x14ac:dyDescent="0.2">
      <c r="A714" s="7">
        <v>109262</v>
      </c>
      <c r="B714" s="7">
        <v>2.64623883605495E-2</v>
      </c>
      <c r="C714" s="7">
        <v>8.1509172207196695E-2</v>
      </c>
      <c r="D714" s="7">
        <v>10000</v>
      </c>
      <c r="E714" s="7" t="s">
        <v>5</v>
      </c>
      <c r="F714" s="7">
        <v>17.27</v>
      </c>
      <c r="G714" s="7">
        <v>1</v>
      </c>
      <c r="H714" s="7">
        <v>8196.9599999999991</v>
      </c>
      <c r="I714" s="7">
        <v>693.16</v>
      </c>
    </row>
    <row r="715" spans="1:9" x14ac:dyDescent="0.2">
      <c r="A715" s="7">
        <v>118340</v>
      </c>
      <c r="B715" s="7">
        <v>1.71961990129363E-2</v>
      </c>
      <c r="C715" s="7">
        <v>8.1509172207196695E-2</v>
      </c>
      <c r="D715" s="7">
        <v>12000</v>
      </c>
      <c r="E715" s="7" t="s">
        <v>4</v>
      </c>
      <c r="F715" s="7">
        <v>8.9</v>
      </c>
      <c r="G715" s="7">
        <v>0</v>
      </c>
      <c r="H715" s="7">
        <v>12923.7600770514</v>
      </c>
      <c r="I715" s="7">
        <v>0</v>
      </c>
    </row>
    <row r="716" spans="1:9" x14ac:dyDescent="0.2">
      <c r="A716" s="7">
        <v>45243</v>
      </c>
      <c r="B716" s="7">
        <v>-9.1730874123740896E-3</v>
      </c>
      <c r="C716" s="7">
        <v>8.1509172207196695E-2</v>
      </c>
      <c r="D716" s="7">
        <v>12000</v>
      </c>
      <c r="E716" s="7" t="s">
        <v>7</v>
      </c>
      <c r="F716" s="7">
        <v>21.15</v>
      </c>
      <c r="G716" s="7">
        <v>0</v>
      </c>
      <c r="H716" s="7">
        <v>14020.07</v>
      </c>
      <c r="I716" s="7">
        <v>0</v>
      </c>
    </row>
    <row r="717" spans="1:9" x14ac:dyDescent="0.2">
      <c r="A717" s="7">
        <v>13437</v>
      </c>
      <c r="B717" s="7">
        <v>3.9715196375178903E-2</v>
      </c>
      <c r="C717" s="7">
        <v>8.4798680815203503E-2</v>
      </c>
      <c r="D717" s="7">
        <v>25000</v>
      </c>
      <c r="E717" s="7" t="s">
        <v>5</v>
      </c>
      <c r="F717" s="7">
        <v>17.100000000000001</v>
      </c>
      <c r="G717" s="7">
        <v>0</v>
      </c>
      <c r="H717" s="7">
        <v>29981.059999999801</v>
      </c>
      <c r="I717" s="7">
        <v>0</v>
      </c>
    </row>
    <row r="718" spans="1:9" x14ac:dyDescent="0.2">
      <c r="A718" s="7">
        <v>61718</v>
      </c>
      <c r="B718" s="7">
        <v>4.86995542028913E-2</v>
      </c>
      <c r="C718" s="7">
        <v>5.3944556304700297E-2</v>
      </c>
      <c r="D718" s="7">
        <v>17050</v>
      </c>
      <c r="E718" s="7" t="s">
        <v>5</v>
      </c>
      <c r="F718" s="7">
        <v>17.27</v>
      </c>
      <c r="G718" s="7">
        <v>0</v>
      </c>
      <c r="H718" s="7">
        <v>21169.8000004122</v>
      </c>
      <c r="I718" s="7">
        <v>0</v>
      </c>
    </row>
    <row r="719" spans="1:9" x14ac:dyDescent="0.2">
      <c r="A719" s="7">
        <v>118493</v>
      </c>
      <c r="B719" s="7">
        <v>2.7655187728141399E-2</v>
      </c>
      <c r="C719" s="7">
        <v>7.4974238972806501E-2</v>
      </c>
      <c r="D719" s="7">
        <v>6500</v>
      </c>
      <c r="E719" s="7" t="s">
        <v>4</v>
      </c>
      <c r="F719" s="7">
        <v>8.9</v>
      </c>
      <c r="G719" s="7">
        <v>0</v>
      </c>
      <c r="H719" s="7">
        <v>6757.9047984871004</v>
      </c>
      <c r="I719" s="7">
        <v>0</v>
      </c>
    </row>
    <row r="720" spans="1:9" x14ac:dyDescent="0.2">
      <c r="A720" s="7">
        <v>120028</v>
      </c>
      <c r="B720" s="7">
        <v>2.2737651715966398E-2</v>
      </c>
      <c r="C720" s="7">
        <v>7.4974238972806501E-2</v>
      </c>
      <c r="D720" s="7">
        <v>8500</v>
      </c>
      <c r="E720" s="7" t="s">
        <v>8</v>
      </c>
      <c r="F720" s="7">
        <v>12.12</v>
      </c>
      <c r="G720" s="7">
        <v>0</v>
      </c>
      <c r="H720" s="7">
        <v>8751.59</v>
      </c>
      <c r="I720" s="7">
        <v>0</v>
      </c>
    </row>
    <row r="721" spans="1:9" x14ac:dyDescent="0.2">
      <c r="A721" s="7">
        <v>82390</v>
      </c>
      <c r="B721" s="7">
        <v>3.5880766733132001E-2</v>
      </c>
      <c r="C721" s="7">
        <v>8.4798680815203503E-2</v>
      </c>
      <c r="D721" s="7">
        <v>33600</v>
      </c>
      <c r="E721" s="7" t="s">
        <v>6</v>
      </c>
      <c r="F721" s="7">
        <v>18.75</v>
      </c>
      <c r="G721" s="7">
        <v>0</v>
      </c>
      <c r="H721" s="7">
        <v>36583.023187391002</v>
      </c>
      <c r="I721" s="7">
        <v>0</v>
      </c>
    </row>
    <row r="722" spans="1:9" x14ac:dyDescent="0.2">
      <c r="A722" s="7">
        <v>83220</v>
      </c>
      <c r="B722" s="7">
        <v>4.4059704755499203E-2</v>
      </c>
      <c r="C722" s="7">
        <v>5.3944556304700297E-2</v>
      </c>
      <c r="D722" s="7">
        <v>20000</v>
      </c>
      <c r="E722" s="7" t="s">
        <v>4</v>
      </c>
      <c r="F722" s="7">
        <v>8.9</v>
      </c>
      <c r="G722" s="7">
        <v>0</v>
      </c>
      <c r="H722" s="7">
        <v>22862.283169947699</v>
      </c>
      <c r="I722" s="7">
        <v>0</v>
      </c>
    </row>
    <row r="723" spans="1:9" x14ac:dyDescent="0.2">
      <c r="A723" s="7">
        <v>49053</v>
      </c>
      <c r="B723" s="7">
        <v>8.2351248204421308E-3</v>
      </c>
      <c r="C723" s="7">
        <v>7.4974238972806501E-2</v>
      </c>
      <c r="D723" s="7">
        <v>13000</v>
      </c>
      <c r="E723" s="7" t="s">
        <v>6</v>
      </c>
      <c r="F723" s="7">
        <v>17.77</v>
      </c>
      <c r="G723" s="7">
        <v>0</v>
      </c>
      <c r="H723" s="7">
        <v>17441.64</v>
      </c>
      <c r="I723" s="7">
        <v>0</v>
      </c>
    </row>
    <row r="724" spans="1:9" x14ac:dyDescent="0.2">
      <c r="A724" s="7">
        <v>11595</v>
      </c>
      <c r="B724" s="7">
        <v>2.7548180682343801E-2</v>
      </c>
      <c r="C724" s="7">
        <v>7.4974238972806501E-2</v>
      </c>
      <c r="D724" s="7">
        <v>12000</v>
      </c>
      <c r="E724" s="7" t="s">
        <v>8</v>
      </c>
      <c r="F724" s="7">
        <v>13.67</v>
      </c>
      <c r="G724" s="7">
        <v>1</v>
      </c>
      <c r="H724" s="7">
        <v>9388.6700000001001</v>
      </c>
      <c r="I724" s="7">
        <v>0</v>
      </c>
    </row>
    <row r="725" spans="1:9" x14ac:dyDescent="0.2">
      <c r="A725" s="7">
        <v>15792</v>
      </c>
      <c r="B725" s="7">
        <v>3.4168841356162501E-2</v>
      </c>
      <c r="C725" s="7">
        <v>8.4798680815203503E-2</v>
      </c>
      <c r="D725" s="7">
        <v>33950</v>
      </c>
      <c r="E725" s="7" t="s">
        <v>5</v>
      </c>
      <c r="F725" s="7">
        <v>16.2</v>
      </c>
      <c r="G725" s="7">
        <v>0</v>
      </c>
      <c r="H725" s="7">
        <v>42569.739993105402</v>
      </c>
      <c r="I725" s="7">
        <v>0</v>
      </c>
    </row>
    <row r="726" spans="1:9" x14ac:dyDescent="0.2">
      <c r="A726" s="7">
        <v>119797</v>
      </c>
      <c r="B726" s="7">
        <v>1.6313114604445698E-2</v>
      </c>
      <c r="C726" s="7">
        <v>8.1509172207196695E-2</v>
      </c>
      <c r="D726" s="7">
        <v>9325</v>
      </c>
      <c r="E726" s="7" t="s">
        <v>4</v>
      </c>
      <c r="F726" s="7">
        <v>8.9</v>
      </c>
      <c r="G726" s="7">
        <v>0</v>
      </c>
      <c r="H726" s="7">
        <v>10659.549996531299</v>
      </c>
      <c r="I726" s="7">
        <v>0</v>
      </c>
    </row>
    <row r="727" spans="1:9" x14ac:dyDescent="0.2">
      <c r="A727" s="7">
        <v>96684</v>
      </c>
      <c r="B727" s="7">
        <v>3.9875893556321401E-2</v>
      </c>
      <c r="C727" s="7">
        <v>8.4798680815203503E-2</v>
      </c>
      <c r="D727" s="7">
        <v>35000</v>
      </c>
      <c r="E727" s="7" t="s">
        <v>8</v>
      </c>
      <c r="F727" s="7">
        <v>14.09</v>
      </c>
      <c r="G727" s="7">
        <v>0</v>
      </c>
      <c r="H727" s="7">
        <v>38356.781341035901</v>
      </c>
      <c r="I727" s="7">
        <v>0</v>
      </c>
    </row>
    <row r="728" spans="1:9" x14ac:dyDescent="0.2">
      <c r="A728" s="7">
        <v>30871</v>
      </c>
      <c r="B728" s="7">
        <v>3.4966434253011699E-2</v>
      </c>
      <c r="C728" s="7">
        <v>8.1509172207196695E-2</v>
      </c>
      <c r="D728" s="7">
        <v>13600</v>
      </c>
      <c r="E728" s="7" t="s">
        <v>5</v>
      </c>
      <c r="F728" s="7">
        <v>13.68</v>
      </c>
      <c r="G728" s="7">
        <v>0</v>
      </c>
      <c r="H728" s="7">
        <v>16438.560000000001</v>
      </c>
      <c r="I728" s="7">
        <v>0</v>
      </c>
    </row>
    <row r="729" spans="1:9" x14ac:dyDescent="0.2">
      <c r="A729" s="7">
        <v>113523</v>
      </c>
      <c r="B729" s="7">
        <v>1.6136218463874901E-2</v>
      </c>
      <c r="C729" s="7">
        <v>7.4974238972806501E-2</v>
      </c>
      <c r="D729" s="7">
        <v>15000</v>
      </c>
      <c r="E729" s="7" t="s">
        <v>4</v>
      </c>
      <c r="F729" s="7">
        <v>6.03</v>
      </c>
      <c r="G729" s="7">
        <v>0</v>
      </c>
      <c r="H729" s="7">
        <v>15879.7091917485</v>
      </c>
      <c r="I729" s="7">
        <v>0</v>
      </c>
    </row>
    <row r="730" spans="1:9" x14ac:dyDescent="0.2">
      <c r="A730" s="7">
        <v>113436</v>
      </c>
      <c r="B730" s="7">
        <v>2.9761883613243899E-2</v>
      </c>
      <c r="C730" s="7">
        <v>8.1509172207196695E-2</v>
      </c>
      <c r="D730" s="7">
        <v>12000</v>
      </c>
      <c r="E730" s="7" t="s">
        <v>8</v>
      </c>
      <c r="F730" s="7">
        <v>12.12</v>
      </c>
      <c r="G730" s="7">
        <v>0</v>
      </c>
      <c r="H730" s="7">
        <v>13585.9857651687</v>
      </c>
      <c r="I730" s="7">
        <v>0</v>
      </c>
    </row>
    <row r="731" spans="1:9" x14ac:dyDescent="0.2">
      <c r="A731" s="7">
        <v>62614</v>
      </c>
      <c r="B731" s="7">
        <v>2.68955454240613E-2</v>
      </c>
      <c r="C731" s="7">
        <v>8.4798680815203503E-2</v>
      </c>
      <c r="D731" s="7">
        <v>16000</v>
      </c>
      <c r="E731" s="7" t="s">
        <v>10</v>
      </c>
      <c r="F731" s="7">
        <v>22.95</v>
      </c>
      <c r="G731" s="7">
        <v>0</v>
      </c>
      <c r="H731" s="7">
        <v>17744.786205861699</v>
      </c>
      <c r="I731" s="7">
        <v>0</v>
      </c>
    </row>
    <row r="732" spans="1:9" x14ac:dyDescent="0.2">
      <c r="A732" s="7">
        <v>106125</v>
      </c>
      <c r="B732" s="7">
        <v>2.5893578995807701E-2</v>
      </c>
      <c r="C732" s="7">
        <v>7.4974238972806501E-2</v>
      </c>
      <c r="D732" s="7">
        <v>2000</v>
      </c>
      <c r="E732" s="7" t="s">
        <v>8</v>
      </c>
      <c r="F732" s="7">
        <v>13.11</v>
      </c>
      <c r="G732" s="7">
        <v>0</v>
      </c>
      <c r="H732" s="7">
        <v>2429.7335262880001</v>
      </c>
      <c r="I732" s="7">
        <v>0</v>
      </c>
    </row>
    <row r="733" spans="1:9" x14ac:dyDescent="0.2">
      <c r="A733" s="7">
        <v>35729</v>
      </c>
      <c r="B733" s="7">
        <v>2.7317828070448202E-2</v>
      </c>
      <c r="C733" s="7">
        <v>7.7054178620260594E-2</v>
      </c>
      <c r="D733" s="7">
        <v>5000</v>
      </c>
      <c r="E733" s="7" t="s">
        <v>8</v>
      </c>
      <c r="F733" s="7">
        <v>12.35</v>
      </c>
      <c r="G733" s="7">
        <v>0</v>
      </c>
      <c r="H733" s="7">
        <v>5903.77</v>
      </c>
      <c r="I733" s="7">
        <v>0</v>
      </c>
    </row>
    <row r="734" spans="1:9" x14ac:dyDescent="0.2">
      <c r="A734" s="7">
        <v>135029</v>
      </c>
      <c r="B734" s="7">
        <v>2.01424073632442E-2</v>
      </c>
      <c r="C734" s="7">
        <v>7.4974238972806501E-2</v>
      </c>
      <c r="D734" s="7">
        <v>15000</v>
      </c>
      <c r="E734" s="7" t="s">
        <v>4</v>
      </c>
      <c r="F734" s="7">
        <v>7.9</v>
      </c>
      <c r="G734" s="7">
        <v>0</v>
      </c>
      <c r="H734" s="7">
        <v>16896.710004554599</v>
      </c>
      <c r="I734" s="7">
        <v>0</v>
      </c>
    </row>
    <row r="735" spans="1:9" x14ac:dyDescent="0.2">
      <c r="A735" s="7">
        <v>113236</v>
      </c>
      <c r="B735" s="7">
        <v>3.6384785591816703E-2</v>
      </c>
      <c r="C735" s="7">
        <v>7.4974238972806501E-2</v>
      </c>
      <c r="D735" s="7">
        <v>6150</v>
      </c>
      <c r="E735" s="7" t="s">
        <v>5</v>
      </c>
      <c r="F735" s="7">
        <v>15.8</v>
      </c>
      <c r="G735" s="7">
        <v>0</v>
      </c>
      <c r="H735" s="7">
        <v>7761.9138861938</v>
      </c>
      <c r="I735" s="7">
        <v>0</v>
      </c>
    </row>
    <row r="736" spans="1:9" x14ac:dyDescent="0.2">
      <c r="A736" s="7">
        <v>117288</v>
      </c>
      <c r="B736" s="7">
        <v>3.12808543269186E-2</v>
      </c>
      <c r="C736" s="7">
        <v>7.4974238972806501E-2</v>
      </c>
      <c r="D736" s="7">
        <v>14000</v>
      </c>
      <c r="E736" s="7" t="s">
        <v>8</v>
      </c>
      <c r="F736" s="7">
        <v>11.14</v>
      </c>
      <c r="G736" s="7">
        <v>0</v>
      </c>
      <c r="H736" s="7">
        <v>16421.420003147701</v>
      </c>
      <c r="I736" s="7">
        <v>0</v>
      </c>
    </row>
    <row r="737" spans="1:9" x14ac:dyDescent="0.2">
      <c r="A737" s="7">
        <v>41708</v>
      </c>
      <c r="B737" s="7">
        <v>3.8393677211972198E-2</v>
      </c>
      <c r="C737" s="7">
        <v>8.4798680815203503E-2</v>
      </c>
      <c r="D737" s="7">
        <v>20000</v>
      </c>
      <c r="E737" s="7" t="s">
        <v>8</v>
      </c>
      <c r="F737" s="7">
        <v>13.05</v>
      </c>
      <c r="G737" s="7">
        <v>1</v>
      </c>
      <c r="H737" s="7">
        <v>18207.64</v>
      </c>
      <c r="I737" s="7">
        <v>0</v>
      </c>
    </row>
    <row r="738" spans="1:9" x14ac:dyDescent="0.2">
      <c r="A738" s="7">
        <v>30947</v>
      </c>
      <c r="B738" s="7">
        <v>-3.10112628985325E-3</v>
      </c>
      <c r="C738" s="7">
        <v>8.4798680815203503E-2</v>
      </c>
      <c r="D738" s="7">
        <v>31300</v>
      </c>
      <c r="E738" s="7" t="s">
        <v>5</v>
      </c>
      <c r="F738" s="7">
        <v>16.78</v>
      </c>
      <c r="G738" s="7">
        <v>1</v>
      </c>
      <c r="H738" s="7">
        <v>21677.32</v>
      </c>
      <c r="I738" s="7">
        <v>14.75</v>
      </c>
    </row>
    <row r="739" spans="1:9" x14ac:dyDescent="0.2">
      <c r="A739" s="7">
        <v>36485</v>
      </c>
      <c r="B739" s="7">
        <v>3.43085830434849E-2</v>
      </c>
      <c r="C739" s="7">
        <v>7.4974238972806501E-2</v>
      </c>
      <c r="D739" s="7">
        <v>10000</v>
      </c>
      <c r="E739" s="7" t="s">
        <v>8</v>
      </c>
      <c r="F739" s="7">
        <v>11.55</v>
      </c>
      <c r="G739" s="7">
        <v>0</v>
      </c>
      <c r="H739" s="7">
        <v>11651.280000001199</v>
      </c>
      <c r="I739" s="7">
        <v>0</v>
      </c>
    </row>
    <row r="740" spans="1:9" x14ac:dyDescent="0.2">
      <c r="A740" s="7">
        <v>11292</v>
      </c>
      <c r="B740" s="7">
        <v>3.1198241580257299E-2</v>
      </c>
      <c r="C740" s="7">
        <v>8.4798680815203503E-2</v>
      </c>
      <c r="D740" s="7">
        <v>22000</v>
      </c>
      <c r="E740" s="7" t="s">
        <v>6</v>
      </c>
      <c r="F740" s="7">
        <v>17.760000000000002</v>
      </c>
      <c r="G740" s="7">
        <v>0</v>
      </c>
      <c r="H740" s="7">
        <v>27673.309991490001</v>
      </c>
      <c r="I740" s="7">
        <v>0</v>
      </c>
    </row>
    <row r="741" spans="1:9" x14ac:dyDescent="0.2">
      <c r="A741" s="7">
        <v>37517</v>
      </c>
      <c r="B741" s="7">
        <v>2.6179489974322599E-2</v>
      </c>
      <c r="C741" s="7">
        <v>7.4974238972806501E-2</v>
      </c>
      <c r="D741" s="7">
        <v>15000</v>
      </c>
      <c r="E741" s="7" t="s">
        <v>4</v>
      </c>
      <c r="F741" s="7">
        <v>8.9</v>
      </c>
      <c r="G741" s="7">
        <v>0</v>
      </c>
      <c r="H741" s="7">
        <v>16151.815769086699</v>
      </c>
      <c r="I741" s="7">
        <v>0</v>
      </c>
    </row>
    <row r="742" spans="1:9" x14ac:dyDescent="0.2">
      <c r="A742" s="7">
        <v>63134</v>
      </c>
      <c r="B742" s="7">
        <v>2.4932694086673E-2</v>
      </c>
      <c r="C742" s="7">
        <v>8.1509172207196695E-2</v>
      </c>
      <c r="D742" s="7">
        <v>20000</v>
      </c>
      <c r="E742" s="7" t="s">
        <v>5</v>
      </c>
      <c r="F742" s="7">
        <v>14.33</v>
      </c>
      <c r="G742" s="7">
        <v>0</v>
      </c>
      <c r="H742" s="7">
        <v>24723.386515190101</v>
      </c>
      <c r="I742" s="7">
        <v>0</v>
      </c>
    </row>
    <row r="743" spans="1:9" x14ac:dyDescent="0.2">
      <c r="A743" s="7">
        <v>8222</v>
      </c>
      <c r="B743" s="7">
        <v>7.4286773709040903E-3</v>
      </c>
      <c r="C743" s="7">
        <v>8.4798680815203503E-2</v>
      </c>
      <c r="D743" s="7">
        <v>18000</v>
      </c>
      <c r="E743" s="7" t="s">
        <v>6</v>
      </c>
      <c r="F743" s="7">
        <v>18.55</v>
      </c>
      <c r="G743" s="7">
        <v>0</v>
      </c>
      <c r="H743" s="7">
        <v>24561.310006562799</v>
      </c>
      <c r="I743" s="7">
        <v>0</v>
      </c>
    </row>
    <row r="744" spans="1:9" x14ac:dyDescent="0.2">
      <c r="A744" s="7">
        <v>138542</v>
      </c>
      <c r="B744" s="7">
        <v>2.3307285241533599E-2</v>
      </c>
      <c r="C744" s="7">
        <v>7.4974238972806501E-2</v>
      </c>
      <c r="D744" s="7">
        <v>9600</v>
      </c>
      <c r="E744" s="7" t="s">
        <v>4</v>
      </c>
      <c r="F744" s="7">
        <v>7.62</v>
      </c>
      <c r="G744" s="7">
        <v>0</v>
      </c>
      <c r="H744" s="7">
        <v>10758.840001967201</v>
      </c>
      <c r="I744" s="7">
        <v>0</v>
      </c>
    </row>
    <row r="745" spans="1:9" x14ac:dyDescent="0.2">
      <c r="A745" s="7">
        <v>40201</v>
      </c>
      <c r="B745" s="7">
        <v>3.4186488670984901E-2</v>
      </c>
      <c r="C745" s="7">
        <v>8.1509172207196695E-2</v>
      </c>
      <c r="D745" s="7">
        <v>14400</v>
      </c>
      <c r="E745" s="7" t="s">
        <v>8</v>
      </c>
      <c r="F745" s="7">
        <v>13.05</v>
      </c>
      <c r="G745" s="7">
        <v>1</v>
      </c>
      <c r="H745" s="7">
        <v>2425.4499999999998</v>
      </c>
      <c r="I745" s="7">
        <v>0</v>
      </c>
    </row>
    <row r="746" spans="1:9" x14ac:dyDescent="0.2">
      <c r="A746" s="7">
        <v>109270</v>
      </c>
      <c r="B746" s="7">
        <v>6.2080063034305102E-3</v>
      </c>
      <c r="C746" s="7">
        <v>8.1509172207196695E-2</v>
      </c>
      <c r="D746" s="7">
        <v>11000</v>
      </c>
      <c r="E746" s="7" t="s">
        <v>6</v>
      </c>
      <c r="F746" s="7">
        <v>18.75</v>
      </c>
      <c r="G746" s="7">
        <v>1</v>
      </c>
      <c r="H746" s="7">
        <v>4228.22</v>
      </c>
      <c r="I746" s="7">
        <v>1393.52</v>
      </c>
    </row>
    <row r="747" spans="1:9" x14ac:dyDescent="0.2">
      <c r="A747" s="7">
        <v>18051</v>
      </c>
      <c r="B747" s="7">
        <v>1.2923688657114799E-2</v>
      </c>
      <c r="C747" s="7">
        <v>5.3944556304700297E-2</v>
      </c>
      <c r="D747" s="7">
        <v>28000</v>
      </c>
      <c r="E747" s="7" t="s">
        <v>5</v>
      </c>
      <c r="F747" s="7">
        <v>14.3</v>
      </c>
      <c r="G747" s="7">
        <v>0</v>
      </c>
      <c r="H747" s="7">
        <v>36131.3199121906</v>
      </c>
      <c r="I747" s="7">
        <v>0</v>
      </c>
    </row>
    <row r="748" spans="1:9" x14ac:dyDescent="0.2">
      <c r="A748" s="7">
        <v>35345</v>
      </c>
      <c r="B748" s="7">
        <v>2.4112066648576E-2</v>
      </c>
      <c r="C748" s="7">
        <v>8.1509172207196695E-2</v>
      </c>
      <c r="D748" s="7">
        <v>5000</v>
      </c>
      <c r="E748" s="7" t="s">
        <v>5</v>
      </c>
      <c r="F748" s="7">
        <v>15.88</v>
      </c>
      <c r="G748" s="7">
        <v>0</v>
      </c>
      <c r="H748" s="7">
        <v>5754.745885243</v>
      </c>
      <c r="I748" s="7">
        <v>0</v>
      </c>
    </row>
    <row r="749" spans="1:9" x14ac:dyDescent="0.2">
      <c r="A749" s="7">
        <v>70669</v>
      </c>
      <c r="B749" s="7">
        <v>3.3860021402561197E-2</v>
      </c>
      <c r="C749" s="7">
        <v>7.4974238972806501E-2</v>
      </c>
      <c r="D749" s="7">
        <v>12000</v>
      </c>
      <c r="E749" s="7" t="s">
        <v>5</v>
      </c>
      <c r="F749" s="7">
        <v>15.31</v>
      </c>
      <c r="G749" s="7">
        <v>1</v>
      </c>
      <c r="H749" s="7">
        <v>7719.48</v>
      </c>
      <c r="I749" s="7">
        <v>1034.6199999999999</v>
      </c>
    </row>
    <row r="750" spans="1:9" x14ac:dyDescent="0.2">
      <c r="A750" s="7">
        <v>1238</v>
      </c>
      <c r="B750" s="7">
        <v>3.6451277859830301E-2</v>
      </c>
      <c r="C750" s="7">
        <v>8.4798680815203503E-2</v>
      </c>
      <c r="D750" s="7">
        <v>34000</v>
      </c>
      <c r="E750" s="7" t="s">
        <v>8</v>
      </c>
      <c r="F750" s="7">
        <v>12.85</v>
      </c>
      <c r="G750" s="7">
        <v>0</v>
      </c>
      <c r="H750" s="7">
        <v>38896.400000000001</v>
      </c>
      <c r="I750" s="7">
        <v>0</v>
      </c>
    </row>
    <row r="751" spans="1:9" x14ac:dyDescent="0.2">
      <c r="A751" s="7">
        <v>69445</v>
      </c>
      <c r="B751" s="7">
        <v>3.3371743729935698E-2</v>
      </c>
      <c r="C751" s="7">
        <v>7.4974238972806501E-2</v>
      </c>
      <c r="D751" s="7">
        <v>15000</v>
      </c>
      <c r="E751" s="7" t="s">
        <v>8</v>
      </c>
      <c r="F751" s="7">
        <v>12.12</v>
      </c>
      <c r="G751" s="7">
        <v>0</v>
      </c>
      <c r="H751" s="7">
        <v>17846.659999999902</v>
      </c>
      <c r="I751" s="7">
        <v>0</v>
      </c>
    </row>
    <row r="752" spans="1:9" x14ac:dyDescent="0.2">
      <c r="A752" s="7">
        <v>135565</v>
      </c>
      <c r="B752" s="7">
        <v>6.0332321755516205E-4</v>
      </c>
      <c r="C752" s="7">
        <v>8.1509172207196695E-2</v>
      </c>
      <c r="D752" s="7">
        <v>16100</v>
      </c>
      <c r="E752" s="7" t="s">
        <v>6</v>
      </c>
      <c r="F752" s="7">
        <v>18.55</v>
      </c>
      <c r="G752" s="7">
        <v>1</v>
      </c>
      <c r="H752" s="7">
        <v>4148.43</v>
      </c>
      <c r="I752" s="7">
        <v>844.83</v>
      </c>
    </row>
    <row r="753" spans="1:9" x14ac:dyDescent="0.2">
      <c r="A753" s="7">
        <v>50721</v>
      </c>
      <c r="B753" s="7">
        <v>6.8512228197680101E-3</v>
      </c>
      <c r="C753" s="7">
        <v>8.4798680815203503E-2</v>
      </c>
      <c r="D753" s="7">
        <v>35000</v>
      </c>
      <c r="E753" s="7" t="s">
        <v>5</v>
      </c>
      <c r="F753" s="7">
        <v>15.31</v>
      </c>
      <c r="G753" s="7">
        <v>0</v>
      </c>
      <c r="H753" s="7">
        <v>44556.369977066301</v>
      </c>
      <c r="I753" s="7">
        <v>0</v>
      </c>
    </row>
    <row r="754" spans="1:9" x14ac:dyDescent="0.2">
      <c r="A754" s="7">
        <v>104988</v>
      </c>
      <c r="B754" s="7">
        <v>1.64678342648222E-2</v>
      </c>
      <c r="C754" s="7">
        <v>7.4974238972806501E-2</v>
      </c>
      <c r="D754" s="7">
        <v>5000</v>
      </c>
      <c r="E754" s="7" t="s">
        <v>4</v>
      </c>
      <c r="F754" s="7">
        <v>6.03</v>
      </c>
      <c r="G754" s="7">
        <v>0</v>
      </c>
      <c r="H754" s="7">
        <v>5477.8108564198001</v>
      </c>
      <c r="I754" s="7">
        <v>0</v>
      </c>
    </row>
    <row r="755" spans="1:9" x14ac:dyDescent="0.2">
      <c r="A755" s="7">
        <v>108975</v>
      </c>
      <c r="B755" s="7">
        <v>2.9413691947816099E-2</v>
      </c>
      <c r="C755" s="7">
        <v>8.1509172207196695E-2</v>
      </c>
      <c r="D755" s="7">
        <v>10250</v>
      </c>
      <c r="E755" s="7" t="s">
        <v>8</v>
      </c>
      <c r="F755" s="7">
        <v>12.12</v>
      </c>
      <c r="G755" s="7">
        <v>0</v>
      </c>
      <c r="H755" s="7">
        <v>12277.200341149</v>
      </c>
      <c r="I755" s="7">
        <v>0</v>
      </c>
    </row>
    <row r="756" spans="1:9" x14ac:dyDescent="0.2">
      <c r="A756" s="7">
        <v>81806</v>
      </c>
      <c r="B756" s="7">
        <v>3.12463650412023E-2</v>
      </c>
      <c r="C756" s="7">
        <v>8.1509172207196695E-2</v>
      </c>
      <c r="D756" s="7">
        <v>13250</v>
      </c>
      <c r="E756" s="7" t="s">
        <v>5</v>
      </c>
      <c r="F756" s="7">
        <v>16.29</v>
      </c>
      <c r="G756" s="7">
        <v>0</v>
      </c>
      <c r="H756" s="7">
        <v>16641.990004748499</v>
      </c>
      <c r="I756" s="7">
        <v>0</v>
      </c>
    </row>
    <row r="757" spans="1:9" x14ac:dyDescent="0.2">
      <c r="A757" s="7">
        <v>7257</v>
      </c>
      <c r="B757" s="7">
        <v>3.5195761901297098E-2</v>
      </c>
      <c r="C757" s="7">
        <v>7.4974238972806501E-2</v>
      </c>
      <c r="D757" s="7">
        <v>16000</v>
      </c>
      <c r="E757" s="7" t="s">
        <v>8</v>
      </c>
      <c r="F757" s="7">
        <v>12.99</v>
      </c>
      <c r="G757" s="7">
        <v>0</v>
      </c>
      <c r="H757" s="7">
        <v>19015.573224297699</v>
      </c>
      <c r="I757" s="7">
        <v>0</v>
      </c>
    </row>
    <row r="758" spans="1:9" x14ac:dyDescent="0.2">
      <c r="A758" s="7">
        <v>34394</v>
      </c>
      <c r="B758" s="7">
        <v>2.3545115028756398E-2</v>
      </c>
      <c r="C758" s="7">
        <v>8.1509172207196695E-2</v>
      </c>
      <c r="D758" s="7">
        <v>15000</v>
      </c>
      <c r="E758" s="7" t="s">
        <v>8</v>
      </c>
      <c r="F758" s="7">
        <v>11.55</v>
      </c>
      <c r="G758" s="7">
        <v>0</v>
      </c>
      <c r="H758" s="7">
        <v>16175.116136742099</v>
      </c>
      <c r="I758" s="7">
        <v>0</v>
      </c>
    </row>
    <row r="759" spans="1:9" x14ac:dyDescent="0.2">
      <c r="A759" s="7">
        <v>116036</v>
      </c>
      <c r="B759" s="7">
        <v>2.5764717747031499E-2</v>
      </c>
      <c r="C759" s="7">
        <v>8.1509172207196695E-2</v>
      </c>
      <c r="D759" s="7">
        <v>14675</v>
      </c>
      <c r="E759" s="7" t="s">
        <v>7</v>
      </c>
      <c r="F759" s="7">
        <v>21</v>
      </c>
      <c r="G759" s="7">
        <v>1</v>
      </c>
      <c r="H759" s="7">
        <v>6246.18</v>
      </c>
      <c r="I759" s="7">
        <v>718.99</v>
      </c>
    </row>
    <row r="760" spans="1:9" x14ac:dyDescent="0.2">
      <c r="A760" s="7">
        <v>124440</v>
      </c>
      <c r="B760" s="7">
        <v>4.0179876967556101E-2</v>
      </c>
      <c r="C760" s="7">
        <v>7.4974238972806501E-2</v>
      </c>
      <c r="D760" s="7">
        <v>11600</v>
      </c>
      <c r="E760" s="7" t="s">
        <v>8</v>
      </c>
      <c r="F760" s="7">
        <v>14.09</v>
      </c>
      <c r="G760" s="7">
        <v>0</v>
      </c>
      <c r="H760" s="7">
        <v>14290.8299959628</v>
      </c>
      <c r="I760" s="7">
        <v>0</v>
      </c>
    </row>
    <row r="761" spans="1:9" x14ac:dyDescent="0.2">
      <c r="A761" s="7">
        <v>36496</v>
      </c>
      <c r="B761" s="7">
        <v>3.1633601944936703E-2</v>
      </c>
      <c r="C761" s="7">
        <v>7.4974238972806501E-2</v>
      </c>
      <c r="D761" s="7">
        <v>17000</v>
      </c>
      <c r="E761" s="7" t="s">
        <v>8</v>
      </c>
      <c r="F761" s="7">
        <v>10.64</v>
      </c>
      <c r="G761" s="7">
        <v>0</v>
      </c>
      <c r="H761" s="7">
        <v>19905.769984015398</v>
      </c>
      <c r="I761" s="7">
        <v>0</v>
      </c>
    </row>
    <row r="762" spans="1:9" x14ac:dyDescent="0.2">
      <c r="A762" s="7">
        <v>24131</v>
      </c>
      <c r="B762" s="7">
        <v>4.2260170243080201E-2</v>
      </c>
      <c r="C762" s="7">
        <v>5.3944556304700297E-2</v>
      </c>
      <c r="D762" s="7">
        <v>16800</v>
      </c>
      <c r="E762" s="7" t="s">
        <v>8</v>
      </c>
      <c r="F762" s="7">
        <v>10.99</v>
      </c>
      <c r="G762" s="7">
        <v>0</v>
      </c>
      <c r="H762" s="7">
        <v>19410.639991901</v>
      </c>
      <c r="I762" s="7">
        <v>0</v>
      </c>
    </row>
    <row r="763" spans="1:9" x14ac:dyDescent="0.2">
      <c r="A763" s="7">
        <v>15269</v>
      </c>
      <c r="B763" s="7">
        <v>3.0285485927113699E-2</v>
      </c>
      <c r="C763" s="7">
        <v>7.4974238972806501E-2</v>
      </c>
      <c r="D763" s="7">
        <v>15000</v>
      </c>
      <c r="E763" s="7" t="s">
        <v>4</v>
      </c>
      <c r="F763" s="7">
        <v>8.9</v>
      </c>
      <c r="G763" s="7">
        <v>0</v>
      </c>
      <c r="H763" s="7">
        <v>16151.815768053901</v>
      </c>
      <c r="I763" s="7">
        <v>0</v>
      </c>
    </row>
    <row r="764" spans="1:9" x14ac:dyDescent="0.2">
      <c r="A764" s="7">
        <v>61411</v>
      </c>
      <c r="B764" s="7">
        <v>3.2249410852804299E-2</v>
      </c>
      <c r="C764" s="7">
        <v>8.4798680815203503E-2</v>
      </c>
      <c r="D764" s="7">
        <v>27175</v>
      </c>
      <c r="E764" s="7" t="s">
        <v>5</v>
      </c>
      <c r="F764" s="7">
        <v>15.31</v>
      </c>
      <c r="G764" s="7">
        <v>0</v>
      </c>
      <c r="H764" s="7">
        <v>34061.708441643001</v>
      </c>
      <c r="I764" s="7">
        <v>0</v>
      </c>
    </row>
    <row r="765" spans="1:9" x14ac:dyDescent="0.2">
      <c r="A765" s="7">
        <v>73223</v>
      </c>
      <c r="B765" s="7">
        <v>2.5243481738106199E-2</v>
      </c>
      <c r="C765" s="7">
        <v>5.3944556304700297E-2</v>
      </c>
      <c r="D765" s="7">
        <v>24000</v>
      </c>
      <c r="E765" s="7" t="s">
        <v>5</v>
      </c>
      <c r="F765" s="7">
        <v>16.29</v>
      </c>
      <c r="G765" s="7">
        <v>0</v>
      </c>
      <c r="H765" s="7">
        <v>33228.500020309097</v>
      </c>
      <c r="I765" s="7">
        <v>0</v>
      </c>
    </row>
    <row r="766" spans="1:9" x14ac:dyDescent="0.2">
      <c r="A766" s="7">
        <v>25070</v>
      </c>
      <c r="B766" s="7">
        <v>2.70383112034146E-2</v>
      </c>
      <c r="C766" s="7">
        <v>8.1509172207196695E-2</v>
      </c>
      <c r="D766" s="7">
        <v>10000</v>
      </c>
      <c r="E766" s="7" t="s">
        <v>6</v>
      </c>
      <c r="F766" s="7">
        <v>17.760000000000002</v>
      </c>
      <c r="G766" s="7">
        <v>1</v>
      </c>
      <c r="H766" s="7">
        <v>4323.8</v>
      </c>
      <c r="I766" s="7">
        <v>0</v>
      </c>
    </row>
    <row r="767" spans="1:9" x14ac:dyDescent="0.2">
      <c r="A767" s="7">
        <v>47142</v>
      </c>
      <c r="B767" s="7">
        <v>2.74715929862486E-2</v>
      </c>
      <c r="C767" s="7">
        <v>7.4974238972806501E-2</v>
      </c>
      <c r="D767" s="7">
        <v>2000</v>
      </c>
      <c r="E767" s="7" t="s">
        <v>7</v>
      </c>
      <c r="F767" s="7">
        <v>21.98</v>
      </c>
      <c r="G767" s="7">
        <v>1</v>
      </c>
      <c r="H767" s="7">
        <v>498.27</v>
      </c>
      <c r="I767" s="7">
        <v>269.88</v>
      </c>
    </row>
    <row r="768" spans="1:9" x14ac:dyDescent="0.2">
      <c r="A768" s="7">
        <v>123975</v>
      </c>
      <c r="B768" s="7">
        <v>3.3412431735066299E-2</v>
      </c>
      <c r="C768" s="7">
        <v>7.4974238972806501E-2</v>
      </c>
      <c r="D768" s="7">
        <v>10800</v>
      </c>
      <c r="E768" s="7" t="s">
        <v>5</v>
      </c>
      <c r="F768" s="7">
        <v>14.33</v>
      </c>
      <c r="G768" s="7">
        <v>0</v>
      </c>
      <c r="H768" s="7">
        <v>13350.599997195999</v>
      </c>
      <c r="I768" s="7">
        <v>0</v>
      </c>
    </row>
    <row r="769" spans="1:9" x14ac:dyDescent="0.2">
      <c r="A769" s="7">
        <v>33881</v>
      </c>
      <c r="B769" s="7">
        <v>1.82988898021396E-2</v>
      </c>
      <c r="C769" s="7">
        <v>5.3944556304700297E-2</v>
      </c>
      <c r="D769" s="7">
        <v>20000</v>
      </c>
      <c r="E769" s="7" t="s">
        <v>5</v>
      </c>
      <c r="F769" s="7">
        <v>15.88</v>
      </c>
      <c r="G769" s="7">
        <v>0</v>
      </c>
      <c r="H769" s="7">
        <v>27095.919999999998</v>
      </c>
      <c r="I769" s="7">
        <v>0</v>
      </c>
    </row>
    <row r="770" spans="1:9" x14ac:dyDescent="0.2">
      <c r="A770" s="7">
        <v>74755</v>
      </c>
      <c r="B770" s="7">
        <v>2.0870471340380801E-2</v>
      </c>
      <c r="C770" s="7">
        <v>7.4974238972806501E-2</v>
      </c>
      <c r="D770" s="7">
        <v>12000</v>
      </c>
      <c r="E770" s="7" t="s">
        <v>4</v>
      </c>
      <c r="F770" s="7">
        <v>8.9</v>
      </c>
      <c r="G770" s="7">
        <v>0</v>
      </c>
      <c r="H770" s="7">
        <v>13717.3800775825</v>
      </c>
      <c r="I770" s="7">
        <v>0</v>
      </c>
    </row>
    <row r="771" spans="1:9" x14ac:dyDescent="0.2">
      <c r="A771" s="7">
        <v>94112</v>
      </c>
      <c r="B771" s="7">
        <v>2.7733085493458601E-2</v>
      </c>
      <c r="C771" s="7">
        <v>7.4974238972806501E-2</v>
      </c>
      <c r="D771" s="7">
        <v>4500</v>
      </c>
      <c r="E771" s="7" t="s">
        <v>4</v>
      </c>
      <c r="F771" s="7">
        <v>7.9</v>
      </c>
      <c r="G771" s="7">
        <v>0</v>
      </c>
      <c r="H771" s="7">
        <v>5069.0038892195998</v>
      </c>
      <c r="I771" s="7">
        <v>0</v>
      </c>
    </row>
    <row r="772" spans="1:9" x14ac:dyDescent="0.2">
      <c r="A772" s="7">
        <v>17769</v>
      </c>
      <c r="B772" s="7">
        <v>3.1885799467237699E-2</v>
      </c>
      <c r="C772" s="7">
        <v>7.7054178620260594E-2</v>
      </c>
      <c r="D772" s="7">
        <v>9000</v>
      </c>
      <c r="E772" s="7" t="s">
        <v>6</v>
      </c>
      <c r="F772" s="7">
        <v>18.55</v>
      </c>
      <c r="G772" s="7">
        <v>0</v>
      </c>
      <c r="H772" s="7">
        <v>11533.7800073505</v>
      </c>
      <c r="I772" s="7">
        <v>0</v>
      </c>
    </row>
    <row r="773" spans="1:9" x14ac:dyDescent="0.2">
      <c r="A773" s="7">
        <v>26548</v>
      </c>
      <c r="B773" s="7">
        <v>2.6067355967761E-2</v>
      </c>
      <c r="C773" s="7">
        <v>7.7054178620260594E-2</v>
      </c>
      <c r="D773" s="7">
        <v>2500</v>
      </c>
      <c r="E773" s="7" t="s">
        <v>6</v>
      </c>
      <c r="F773" s="7">
        <v>17.760000000000002</v>
      </c>
      <c r="G773" s="7">
        <v>1</v>
      </c>
      <c r="H773" s="7">
        <v>2342.19</v>
      </c>
      <c r="I773" s="7">
        <v>0</v>
      </c>
    </row>
    <row r="774" spans="1:9" x14ac:dyDescent="0.2">
      <c r="A774" s="7">
        <v>132304</v>
      </c>
      <c r="B774" s="7">
        <v>3.4357524286799501E-2</v>
      </c>
      <c r="C774" s="7">
        <v>8.4798680815203503E-2</v>
      </c>
      <c r="D774" s="7">
        <v>27200</v>
      </c>
      <c r="E774" s="7" t="s">
        <v>6</v>
      </c>
      <c r="F774" s="7">
        <v>17.27</v>
      </c>
      <c r="G774" s="7">
        <v>0</v>
      </c>
      <c r="H774" s="7">
        <v>33490.446569955602</v>
      </c>
      <c r="I774" s="7">
        <v>0</v>
      </c>
    </row>
    <row r="775" spans="1:9" x14ac:dyDescent="0.2">
      <c r="A775" s="7">
        <v>22955</v>
      </c>
      <c r="B775" s="7">
        <v>3.6384260502178002E-2</v>
      </c>
      <c r="C775" s="7">
        <v>8.4798680815203503E-2</v>
      </c>
      <c r="D775" s="7">
        <v>30000</v>
      </c>
      <c r="E775" s="7" t="s">
        <v>6</v>
      </c>
      <c r="F775" s="7">
        <v>19.52</v>
      </c>
      <c r="G775" s="7">
        <v>0</v>
      </c>
      <c r="H775" s="7">
        <v>39731.969996107196</v>
      </c>
      <c r="I775" s="7">
        <v>0</v>
      </c>
    </row>
    <row r="776" spans="1:9" x14ac:dyDescent="0.2">
      <c r="A776" s="7">
        <v>123937</v>
      </c>
      <c r="B776" s="7">
        <v>2.9965071593473201E-2</v>
      </c>
      <c r="C776" s="7">
        <v>7.4974238972806501E-2</v>
      </c>
      <c r="D776" s="7">
        <v>15000</v>
      </c>
      <c r="E776" s="7" t="s">
        <v>6</v>
      </c>
      <c r="F776" s="7">
        <v>17.77</v>
      </c>
      <c r="G776" s="7">
        <v>0</v>
      </c>
      <c r="H776" s="7">
        <v>19460.009922998499</v>
      </c>
      <c r="I776" s="7">
        <v>0</v>
      </c>
    </row>
    <row r="777" spans="1:9" x14ac:dyDescent="0.2">
      <c r="A777" s="7">
        <v>20163</v>
      </c>
      <c r="B777" s="7">
        <v>-9.7334453072791295E-3</v>
      </c>
      <c r="C777" s="7">
        <v>8.4798680815203503E-2</v>
      </c>
      <c r="D777" s="7">
        <v>17325</v>
      </c>
      <c r="E777" s="7" t="s">
        <v>10</v>
      </c>
      <c r="F777" s="7">
        <v>23.7</v>
      </c>
      <c r="G777" s="7">
        <v>1</v>
      </c>
      <c r="H777" s="7">
        <v>5335.52</v>
      </c>
      <c r="I777" s="7">
        <v>2366.04</v>
      </c>
    </row>
    <row r="778" spans="1:9" x14ac:dyDescent="0.2">
      <c r="A778" s="7">
        <v>82525</v>
      </c>
      <c r="B778" s="7">
        <v>2.48909515675617E-2</v>
      </c>
      <c r="C778" s="7">
        <v>8.4798680815203503E-2</v>
      </c>
      <c r="D778" s="7">
        <v>28000</v>
      </c>
      <c r="E778" s="7" t="s">
        <v>4</v>
      </c>
      <c r="F778" s="7">
        <v>8.9</v>
      </c>
      <c r="G778" s="7">
        <v>1</v>
      </c>
      <c r="H778" s="7">
        <v>17286.03</v>
      </c>
      <c r="I778" s="7">
        <v>2179.7800000000002</v>
      </c>
    </row>
    <row r="779" spans="1:9" x14ac:dyDescent="0.2">
      <c r="A779" s="7">
        <v>106280</v>
      </c>
      <c r="B779" s="7">
        <v>4.9785779345531099E-3</v>
      </c>
      <c r="C779" s="7">
        <v>8.4798680815203503E-2</v>
      </c>
      <c r="D779" s="7">
        <v>20000</v>
      </c>
      <c r="E779" s="7" t="s">
        <v>6</v>
      </c>
      <c r="F779" s="7">
        <v>19.72</v>
      </c>
      <c r="G779" s="7">
        <v>0</v>
      </c>
      <c r="H779" s="7">
        <v>28148.399999998699</v>
      </c>
      <c r="I779" s="7">
        <v>0</v>
      </c>
    </row>
    <row r="780" spans="1:9" x14ac:dyDescent="0.2">
      <c r="A780" s="7">
        <v>124238</v>
      </c>
      <c r="B780" s="7">
        <v>3.5110878556339598E-2</v>
      </c>
      <c r="C780" s="7">
        <v>8.1509172207196695E-2</v>
      </c>
      <c r="D780" s="7">
        <v>5000</v>
      </c>
      <c r="E780" s="7" t="s">
        <v>5</v>
      </c>
      <c r="F780" s="7">
        <v>15.31</v>
      </c>
      <c r="G780" s="7">
        <v>0</v>
      </c>
      <c r="H780" s="7">
        <v>6179.0653595351996</v>
      </c>
      <c r="I780" s="7">
        <v>0</v>
      </c>
    </row>
    <row r="781" spans="1:9" x14ac:dyDescent="0.2">
      <c r="A781" s="7">
        <v>107356</v>
      </c>
      <c r="B781" s="7">
        <v>5.6569565057955198E-2</v>
      </c>
      <c r="C781" s="7">
        <v>5.3944556304700297E-2</v>
      </c>
      <c r="D781" s="7">
        <v>20000</v>
      </c>
      <c r="E781" s="7" t="s">
        <v>5</v>
      </c>
      <c r="F781" s="7">
        <v>17.27</v>
      </c>
      <c r="G781" s="7">
        <v>0</v>
      </c>
      <c r="H781" s="7">
        <v>25766.763501730999</v>
      </c>
      <c r="I781" s="7">
        <v>0</v>
      </c>
    </row>
    <row r="782" spans="1:9" x14ac:dyDescent="0.2">
      <c r="A782" s="7">
        <v>120723</v>
      </c>
      <c r="B782" s="7">
        <v>1.2918471974164999E-2</v>
      </c>
      <c r="C782" s="7">
        <v>7.4974238972806501E-2</v>
      </c>
      <c r="D782" s="7">
        <v>3000</v>
      </c>
      <c r="E782" s="7" t="s">
        <v>4</v>
      </c>
      <c r="F782" s="7">
        <v>6.03</v>
      </c>
      <c r="G782" s="7">
        <v>0</v>
      </c>
      <c r="H782" s="7">
        <v>3226.4725256828001</v>
      </c>
      <c r="I782" s="7">
        <v>0</v>
      </c>
    </row>
    <row r="783" spans="1:9" x14ac:dyDescent="0.2">
      <c r="A783" s="7">
        <v>138662</v>
      </c>
      <c r="B783" s="7">
        <v>2.6210563731648401E-2</v>
      </c>
      <c r="C783" s="7">
        <v>8.1509172207196695E-2</v>
      </c>
      <c r="D783" s="7">
        <v>9950</v>
      </c>
      <c r="E783" s="7" t="s">
        <v>8</v>
      </c>
      <c r="F783" s="7">
        <v>13.11</v>
      </c>
      <c r="G783" s="7">
        <v>1</v>
      </c>
      <c r="H783" s="7">
        <v>4750.87</v>
      </c>
      <c r="I783" s="7">
        <v>390.54</v>
      </c>
    </row>
    <row r="784" spans="1:9" x14ac:dyDescent="0.2">
      <c r="A784" s="7">
        <v>90695</v>
      </c>
      <c r="B784" s="7">
        <v>2.8196487797274902E-2</v>
      </c>
      <c r="C784" s="7">
        <v>7.4974238972806501E-2</v>
      </c>
      <c r="D784" s="7">
        <v>3000</v>
      </c>
      <c r="E784" s="7" t="s">
        <v>6</v>
      </c>
      <c r="F784" s="7">
        <v>17.77</v>
      </c>
      <c r="G784" s="7">
        <v>0</v>
      </c>
      <c r="H784" s="7">
        <v>3849.0499991803999</v>
      </c>
      <c r="I784" s="7">
        <v>0</v>
      </c>
    </row>
    <row r="785" spans="1:9" x14ac:dyDescent="0.2">
      <c r="A785" s="7">
        <v>117402</v>
      </c>
      <c r="B785" s="7">
        <v>3.7351630194390903E-2</v>
      </c>
      <c r="C785" s="7">
        <v>8.1509172207196695E-2</v>
      </c>
      <c r="D785" s="7">
        <v>10000</v>
      </c>
      <c r="E785" s="7" t="s">
        <v>5</v>
      </c>
      <c r="F785" s="7">
        <v>15.31</v>
      </c>
      <c r="G785" s="7">
        <v>0</v>
      </c>
      <c r="H785" s="7">
        <v>12534.175914240799</v>
      </c>
      <c r="I785" s="7">
        <v>0</v>
      </c>
    </row>
    <row r="786" spans="1:9" x14ac:dyDescent="0.2">
      <c r="A786" s="7">
        <v>78357</v>
      </c>
      <c r="B786" s="7">
        <v>5.57332775175488E-3</v>
      </c>
      <c r="C786" s="7">
        <v>8.4798680815203503E-2</v>
      </c>
      <c r="D786" s="7">
        <v>30000</v>
      </c>
      <c r="E786" s="7" t="s">
        <v>6</v>
      </c>
      <c r="F786" s="7">
        <v>17.77</v>
      </c>
      <c r="G786" s="7">
        <v>0</v>
      </c>
      <c r="H786" s="7">
        <v>35008.642027004498</v>
      </c>
      <c r="I786" s="7">
        <v>0</v>
      </c>
    </row>
    <row r="787" spans="1:9" x14ac:dyDescent="0.2">
      <c r="A787" s="7">
        <v>54483</v>
      </c>
      <c r="B787" s="7">
        <v>4.14637550826739E-2</v>
      </c>
      <c r="C787" s="7">
        <v>5.3944556304700297E-2</v>
      </c>
      <c r="D787" s="7">
        <v>32000</v>
      </c>
      <c r="E787" s="7" t="s">
        <v>5</v>
      </c>
      <c r="F787" s="7">
        <v>15.31</v>
      </c>
      <c r="G787" s="7">
        <v>0</v>
      </c>
      <c r="H787" s="7">
        <v>37780.005193030302</v>
      </c>
      <c r="I787" s="7">
        <v>0</v>
      </c>
    </row>
    <row r="788" spans="1:9" x14ac:dyDescent="0.2">
      <c r="A788" s="7">
        <v>26525</v>
      </c>
      <c r="B788" s="7">
        <v>2.1308378730208799E-2</v>
      </c>
      <c r="C788" s="7">
        <v>8.1509172207196695E-2</v>
      </c>
      <c r="D788" s="7">
        <v>8000</v>
      </c>
      <c r="E788" s="7" t="s">
        <v>8</v>
      </c>
      <c r="F788" s="7">
        <v>12.99</v>
      </c>
      <c r="G788" s="7">
        <v>0</v>
      </c>
      <c r="H788" s="7">
        <v>9253.4500000008993</v>
      </c>
      <c r="I788" s="7">
        <v>0</v>
      </c>
    </row>
    <row r="789" spans="1:9" x14ac:dyDescent="0.2">
      <c r="A789" s="7">
        <v>92942</v>
      </c>
      <c r="B789" s="7">
        <v>2.1560777077508399E-2</v>
      </c>
      <c r="C789" s="7">
        <v>5.3944556304700297E-2</v>
      </c>
      <c r="D789" s="7">
        <v>23500</v>
      </c>
      <c r="E789" s="7" t="s">
        <v>4</v>
      </c>
      <c r="F789" s="7">
        <v>8.9</v>
      </c>
      <c r="G789" s="7">
        <v>0</v>
      </c>
      <c r="H789" s="7">
        <v>26863.1687319517</v>
      </c>
      <c r="I789" s="7">
        <v>0</v>
      </c>
    </row>
    <row r="790" spans="1:9" x14ac:dyDescent="0.2">
      <c r="A790" s="7">
        <v>115153</v>
      </c>
      <c r="B790" s="7">
        <v>-1.65178201749803E-3</v>
      </c>
      <c r="C790" s="7">
        <v>7.4974238972806501E-2</v>
      </c>
      <c r="D790" s="7">
        <v>3000</v>
      </c>
      <c r="E790" s="7" t="s">
        <v>8</v>
      </c>
      <c r="F790" s="7">
        <v>14.09</v>
      </c>
      <c r="G790" s="7">
        <v>1</v>
      </c>
      <c r="H790" s="7">
        <v>510.16</v>
      </c>
      <c r="I790" s="7">
        <v>162.01</v>
      </c>
    </row>
    <row r="791" spans="1:9" x14ac:dyDescent="0.2">
      <c r="A791" s="7">
        <v>44788</v>
      </c>
      <c r="B791" s="7">
        <v>1.49981520231751E-2</v>
      </c>
      <c r="C791" s="7">
        <v>8.1509172207196695E-2</v>
      </c>
      <c r="D791" s="7">
        <v>9800</v>
      </c>
      <c r="E791" s="7" t="s">
        <v>4</v>
      </c>
      <c r="F791" s="7">
        <v>6.62</v>
      </c>
      <c r="G791" s="7">
        <v>0</v>
      </c>
      <c r="H791" s="7">
        <v>10318.5490233442</v>
      </c>
      <c r="I791" s="7">
        <v>0</v>
      </c>
    </row>
    <row r="792" spans="1:9" x14ac:dyDescent="0.2">
      <c r="A792" s="7">
        <v>117216</v>
      </c>
      <c r="B792" s="7">
        <v>6.71481211509417E-3</v>
      </c>
      <c r="C792" s="7">
        <v>8.4798680815203503E-2</v>
      </c>
      <c r="D792" s="7">
        <v>35000</v>
      </c>
      <c r="E792" s="7" t="s">
        <v>7</v>
      </c>
      <c r="F792" s="7">
        <v>21</v>
      </c>
      <c r="G792" s="7">
        <v>0</v>
      </c>
      <c r="H792" s="7">
        <v>47857.281446381799</v>
      </c>
      <c r="I792" s="7">
        <v>0</v>
      </c>
    </row>
    <row r="793" spans="1:9" x14ac:dyDescent="0.2">
      <c r="A793" s="7">
        <v>35008</v>
      </c>
      <c r="B793" s="7">
        <v>3.56317959129357E-2</v>
      </c>
      <c r="C793" s="7">
        <v>8.1509172207196695E-2</v>
      </c>
      <c r="D793" s="7">
        <v>8975</v>
      </c>
      <c r="E793" s="7" t="s">
        <v>8</v>
      </c>
      <c r="F793" s="7">
        <v>9.7100000000000009</v>
      </c>
      <c r="G793" s="7">
        <v>0</v>
      </c>
      <c r="H793" s="7">
        <v>9187.6787270200002</v>
      </c>
      <c r="I793" s="7">
        <v>0</v>
      </c>
    </row>
    <row r="794" spans="1:9" x14ac:dyDescent="0.2">
      <c r="A794" s="7">
        <v>5476</v>
      </c>
      <c r="B794" s="7">
        <v>7.2346731190483802E-3</v>
      </c>
      <c r="C794" s="7">
        <v>7.7054178620260594E-2</v>
      </c>
      <c r="D794" s="7">
        <v>14000</v>
      </c>
      <c r="E794" s="7" t="s">
        <v>5</v>
      </c>
      <c r="F794" s="7">
        <v>16.239999999999998</v>
      </c>
      <c r="G794" s="7">
        <v>0</v>
      </c>
      <c r="H794" s="7">
        <v>16833.18</v>
      </c>
      <c r="I794" s="7">
        <v>0</v>
      </c>
    </row>
    <row r="795" spans="1:9" x14ac:dyDescent="0.2">
      <c r="A795" s="7">
        <v>139476</v>
      </c>
      <c r="B795" s="7">
        <v>4.4678759173888399E-3</v>
      </c>
      <c r="C795" s="7">
        <v>8.4798680815203503E-2</v>
      </c>
      <c r="D795" s="7">
        <v>29700</v>
      </c>
      <c r="E795" s="7" t="s">
        <v>8</v>
      </c>
      <c r="F795" s="7">
        <v>13.67</v>
      </c>
      <c r="G795" s="7">
        <v>1</v>
      </c>
      <c r="H795" s="7">
        <v>30870</v>
      </c>
      <c r="I795" s="7">
        <v>31.28</v>
      </c>
    </row>
    <row r="796" spans="1:9" x14ac:dyDescent="0.2">
      <c r="A796" s="7">
        <v>93554</v>
      </c>
      <c r="B796" s="7">
        <v>2.2552943238066302E-2</v>
      </c>
      <c r="C796" s="7">
        <v>7.7054178620260594E-2</v>
      </c>
      <c r="D796" s="7">
        <v>15000</v>
      </c>
      <c r="E796" s="7" t="s">
        <v>8</v>
      </c>
      <c r="F796" s="7">
        <v>11.14</v>
      </c>
      <c r="G796" s="7">
        <v>1</v>
      </c>
      <c r="H796" s="7">
        <v>13777.72</v>
      </c>
      <c r="I796" s="7">
        <v>0</v>
      </c>
    </row>
    <row r="797" spans="1:9" x14ac:dyDescent="0.2">
      <c r="A797" s="7">
        <v>15957</v>
      </c>
      <c r="B797" s="7">
        <v>2.8645850696811401E-2</v>
      </c>
      <c r="C797" s="7">
        <v>7.4974238972806501E-2</v>
      </c>
      <c r="D797" s="7">
        <v>20000</v>
      </c>
      <c r="E797" s="7" t="s">
        <v>8</v>
      </c>
      <c r="F797" s="7">
        <v>10.99</v>
      </c>
      <c r="G797" s="7">
        <v>0</v>
      </c>
      <c r="H797" s="7">
        <v>22306.009999997299</v>
      </c>
      <c r="I797" s="7">
        <v>0</v>
      </c>
    </row>
    <row r="798" spans="1:9" x14ac:dyDescent="0.2">
      <c r="A798" s="7">
        <v>107133</v>
      </c>
      <c r="B798" s="7">
        <v>3.1859047546352999E-2</v>
      </c>
      <c r="C798" s="7">
        <v>7.7054178620260594E-2</v>
      </c>
      <c r="D798" s="7">
        <v>4725</v>
      </c>
      <c r="E798" s="7" t="s">
        <v>8</v>
      </c>
      <c r="F798" s="7">
        <v>12.12</v>
      </c>
      <c r="G798" s="7">
        <v>0</v>
      </c>
      <c r="H798" s="7">
        <v>5662.5644002585996</v>
      </c>
      <c r="I798" s="7">
        <v>0</v>
      </c>
    </row>
    <row r="799" spans="1:9" x14ac:dyDescent="0.2">
      <c r="A799" s="7">
        <v>99456</v>
      </c>
      <c r="B799" s="7">
        <v>3.3657375207164698E-2</v>
      </c>
      <c r="C799" s="7">
        <v>8.1509172207196695E-2</v>
      </c>
      <c r="D799" s="7">
        <v>12000</v>
      </c>
      <c r="E799" s="7" t="s">
        <v>8</v>
      </c>
      <c r="F799" s="7">
        <v>12.12</v>
      </c>
      <c r="G799" s="7">
        <v>0</v>
      </c>
      <c r="H799" s="7">
        <v>13727.8661259538</v>
      </c>
      <c r="I799" s="7">
        <v>0</v>
      </c>
    </row>
    <row r="800" spans="1:9" x14ac:dyDescent="0.2">
      <c r="A800" s="7">
        <v>107187</v>
      </c>
      <c r="B800" s="7">
        <v>-6.6880808011531402E-3</v>
      </c>
      <c r="C800" s="7">
        <v>8.1509172207196695E-2</v>
      </c>
      <c r="D800" s="7">
        <v>15500</v>
      </c>
      <c r="E800" s="7" t="s">
        <v>8</v>
      </c>
      <c r="F800" s="7">
        <v>13.11</v>
      </c>
      <c r="G800" s="7">
        <v>1</v>
      </c>
      <c r="H800" s="7">
        <v>8985.14</v>
      </c>
      <c r="I800" s="7">
        <v>1561.64</v>
      </c>
    </row>
    <row r="801" spans="1:9" x14ac:dyDescent="0.2">
      <c r="A801" s="7">
        <v>105255</v>
      </c>
      <c r="B801" s="7">
        <v>2.2331221462592699E-2</v>
      </c>
      <c r="C801" s="7">
        <v>8.1509172207196695E-2</v>
      </c>
      <c r="D801" s="7">
        <v>5375</v>
      </c>
      <c r="E801" s="7" t="s">
        <v>5</v>
      </c>
      <c r="F801" s="7">
        <v>14.33</v>
      </c>
      <c r="G801" s="7">
        <v>1</v>
      </c>
      <c r="H801" s="7">
        <v>3691.4</v>
      </c>
      <c r="I801" s="7">
        <v>13.5</v>
      </c>
    </row>
    <row r="802" spans="1:9" x14ac:dyDescent="0.2">
      <c r="A802" s="7">
        <v>46758</v>
      </c>
      <c r="B802" s="7">
        <v>2.0288169925195099E-2</v>
      </c>
      <c r="C802" s="7">
        <v>7.4974238972806501E-2</v>
      </c>
      <c r="D802" s="7">
        <v>6000</v>
      </c>
      <c r="E802" s="7" t="s">
        <v>8</v>
      </c>
      <c r="F802" s="7">
        <v>9.7100000000000009</v>
      </c>
      <c r="G802" s="7">
        <v>0</v>
      </c>
      <c r="H802" s="7">
        <v>6840.3000020137997</v>
      </c>
      <c r="I802" s="7">
        <v>0</v>
      </c>
    </row>
    <row r="803" spans="1:9" x14ac:dyDescent="0.2">
      <c r="A803" s="7">
        <v>66329</v>
      </c>
      <c r="B803" s="7">
        <v>2.3229478271899601E-2</v>
      </c>
      <c r="C803" s="7">
        <v>7.4974238972806501E-2</v>
      </c>
      <c r="D803" s="7">
        <v>6000</v>
      </c>
      <c r="E803" s="7" t="s">
        <v>4</v>
      </c>
      <c r="F803" s="7">
        <v>7.62</v>
      </c>
      <c r="G803" s="7">
        <v>0</v>
      </c>
      <c r="H803" s="7">
        <v>6580.16</v>
      </c>
      <c r="I803" s="7">
        <v>0</v>
      </c>
    </row>
    <row r="804" spans="1:9" x14ac:dyDescent="0.2">
      <c r="A804" s="7">
        <v>73404</v>
      </c>
      <c r="B804" s="7">
        <v>2.8793436948940199E-2</v>
      </c>
      <c r="C804" s="7">
        <v>5.3944556304700297E-2</v>
      </c>
      <c r="D804" s="7">
        <v>12000</v>
      </c>
      <c r="E804" s="7" t="s">
        <v>4</v>
      </c>
      <c r="F804" s="7">
        <v>7.62</v>
      </c>
      <c r="G804" s="7">
        <v>0</v>
      </c>
      <c r="H804" s="7">
        <v>13413.6374123633</v>
      </c>
      <c r="I804" s="7">
        <v>0</v>
      </c>
    </row>
    <row r="805" spans="1:9" x14ac:dyDescent="0.2">
      <c r="A805" s="7">
        <v>93953</v>
      </c>
      <c r="B805" s="7">
        <v>2.9317084318188601E-2</v>
      </c>
      <c r="C805" s="7">
        <v>7.4974238972806501E-2</v>
      </c>
      <c r="D805" s="7">
        <v>7800</v>
      </c>
      <c r="E805" s="7" t="s">
        <v>5</v>
      </c>
      <c r="F805" s="7">
        <v>16.29</v>
      </c>
      <c r="G805" s="7">
        <v>0</v>
      </c>
      <c r="H805" s="7">
        <v>9771.0299994073994</v>
      </c>
      <c r="I805" s="7">
        <v>0</v>
      </c>
    </row>
    <row r="806" spans="1:9" x14ac:dyDescent="0.2">
      <c r="A806" s="7">
        <v>74436</v>
      </c>
      <c r="B806" s="7">
        <v>3.2862061977710799E-2</v>
      </c>
      <c r="C806" s="7">
        <v>7.4974238972806501E-2</v>
      </c>
      <c r="D806" s="7">
        <v>10000</v>
      </c>
      <c r="E806" s="7" t="s">
        <v>8</v>
      </c>
      <c r="F806" s="7">
        <v>11.14</v>
      </c>
      <c r="G806" s="7">
        <v>0</v>
      </c>
      <c r="H806" s="7">
        <v>11657.020000001001</v>
      </c>
      <c r="I806" s="7">
        <v>0</v>
      </c>
    </row>
    <row r="807" spans="1:9" x14ac:dyDescent="0.2">
      <c r="A807" s="7">
        <v>128914</v>
      </c>
      <c r="B807" s="7">
        <v>3.32162226442487E-2</v>
      </c>
      <c r="C807" s="7">
        <v>8.1509172207196695E-2</v>
      </c>
      <c r="D807" s="7">
        <v>10000</v>
      </c>
      <c r="E807" s="7" t="s">
        <v>8</v>
      </c>
      <c r="F807" s="7">
        <v>13.67</v>
      </c>
      <c r="G807" s="7">
        <v>0</v>
      </c>
      <c r="H807" s="7">
        <v>11352.475432560401</v>
      </c>
      <c r="I807" s="7">
        <v>0</v>
      </c>
    </row>
    <row r="808" spans="1:9" x14ac:dyDescent="0.2">
      <c r="A808" s="7">
        <v>45368</v>
      </c>
      <c r="B808" s="7">
        <v>5.4814616520760498E-4</v>
      </c>
      <c r="C808" s="7">
        <v>7.4974238972806501E-2</v>
      </c>
      <c r="D808" s="7">
        <v>16450</v>
      </c>
      <c r="E808" s="7" t="s">
        <v>8</v>
      </c>
      <c r="F808" s="7">
        <v>12.35</v>
      </c>
      <c r="G808" s="7">
        <v>1</v>
      </c>
      <c r="H808" s="7">
        <v>9957.07</v>
      </c>
      <c r="I808" s="7">
        <v>0</v>
      </c>
    </row>
    <row r="809" spans="1:9" x14ac:dyDescent="0.2">
      <c r="A809" s="7">
        <v>16925</v>
      </c>
      <c r="B809" s="7">
        <v>4.12576029270533E-2</v>
      </c>
      <c r="C809" s="7">
        <v>7.7054178620260594E-2</v>
      </c>
      <c r="D809" s="7">
        <v>8000</v>
      </c>
      <c r="E809" s="7" t="s">
        <v>6</v>
      </c>
      <c r="F809" s="7">
        <v>20.2</v>
      </c>
      <c r="G809" s="7">
        <v>0</v>
      </c>
      <c r="H809" s="7">
        <v>9423.8054667873002</v>
      </c>
      <c r="I809" s="7">
        <v>0</v>
      </c>
    </row>
    <row r="810" spans="1:9" x14ac:dyDescent="0.2">
      <c r="A810" s="7">
        <v>2326</v>
      </c>
      <c r="B810" s="7">
        <v>2.9922186900766801E-2</v>
      </c>
      <c r="C810" s="7">
        <v>8.1509172207196695E-2</v>
      </c>
      <c r="D810" s="7">
        <v>6400</v>
      </c>
      <c r="E810" s="7" t="s">
        <v>8</v>
      </c>
      <c r="F810" s="7">
        <v>10.99</v>
      </c>
      <c r="G810" s="7">
        <v>0</v>
      </c>
      <c r="H810" s="7">
        <v>7485.7</v>
      </c>
      <c r="I810" s="7">
        <v>0</v>
      </c>
    </row>
    <row r="811" spans="1:9" x14ac:dyDescent="0.2">
      <c r="A811" s="7">
        <v>89081</v>
      </c>
      <c r="B811" s="7">
        <v>2.08493611344454E-2</v>
      </c>
      <c r="C811" s="7">
        <v>7.7054178620260594E-2</v>
      </c>
      <c r="D811" s="7">
        <v>8000</v>
      </c>
      <c r="E811" s="7" t="s">
        <v>8</v>
      </c>
      <c r="F811" s="7">
        <v>11.14</v>
      </c>
      <c r="G811" s="7">
        <v>0</v>
      </c>
      <c r="H811" s="7">
        <v>9447.7938434322004</v>
      </c>
      <c r="I811" s="7">
        <v>0</v>
      </c>
    </row>
    <row r="812" spans="1:9" x14ac:dyDescent="0.2">
      <c r="A812" s="7">
        <v>112482</v>
      </c>
      <c r="B812" s="7">
        <v>3.3407244662757497E-2</v>
      </c>
      <c r="C812" s="7">
        <v>7.4974238972806501E-2</v>
      </c>
      <c r="D812" s="7">
        <v>6000</v>
      </c>
      <c r="E812" s="7" t="s">
        <v>8</v>
      </c>
      <c r="F812" s="7">
        <v>14.09</v>
      </c>
      <c r="G812" s="7">
        <v>0</v>
      </c>
      <c r="H812" s="7">
        <v>7333.5900033398002</v>
      </c>
      <c r="I812" s="7">
        <v>0</v>
      </c>
    </row>
    <row r="813" spans="1:9" x14ac:dyDescent="0.2">
      <c r="A813" s="7">
        <v>6988</v>
      </c>
      <c r="B813" s="7">
        <v>6.7544835627582596E-3</v>
      </c>
      <c r="C813" s="7">
        <v>7.7054178620260594E-2</v>
      </c>
      <c r="D813" s="7">
        <v>20000</v>
      </c>
      <c r="E813" s="7" t="s">
        <v>5</v>
      </c>
      <c r="F813" s="7">
        <v>17.100000000000001</v>
      </c>
      <c r="G813" s="7">
        <v>0</v>
      </c>
      <c r="H813" s="7">
        <v>26471.8</v>
      </c>
      <c r="I813" s="7">
        <v>0</v>
      </c>
    </row>
    <row r="814" spans="1:9" x14ac:dyDescent="0.2">
      <c r="A814" s="7">
        <v>111242</v>
      </c>
      <c r="B814" s="7">
        <v>4.7115873747763298E-2</v>
      </c>
      <c r="C814" s="7">
        <v>5.3944556304700297E-2</v>
      </c>
      <c r="D814" s="7">
        <v>7000</v>
      </c>
      <c r="E814" s="7" t="s">
        <v>8</v>
      </c>
      <c r="F814" s="7">
        <v>12.12</v>
      </c>
      <c r="G814" s="7">
        <v>0</v>
      </c>
      <c r="H814" s="7">
        <v>8384.3963372566996</v>
      </c>
      <c r="I814" s="7">
        <v>0</v>
      </c>
    </row>
    <row r="815" spans="1:9" x14ac:dyDescent="0.2">
      <c r="A815" s="7">
        <v>5328</v>
      </c>
      <c r="B815" s="7">
        <v>3.1680126078781498E-2</v>
      </c>
      <c r="C815" s="7">
        <v>8.1509172207196695E-2</v>
      </c>
      <c r="D815" s="7">
        <v>2100</v>
      </c>
      <c r="E815" s="7" t="s">
        <v>6</v>
      </c>
      <c r="F815" s="7">
        <v>19.22</v>
      </c>
      <c r="G815" s="7">
        <v>1</v>
      </c>
      <c r="H815" s="7">
        <v>513.69000000000005</v>
      </c>
      <c r="I815" s="7">
        <v>282.19</v>
      </c>
    </row>
    <row r="816" spans="1:9" x14ac:dyDescent="0.2">
      <c r="A816" s="7">
        <v>125547</v>
      </c>
      <c r="B816" s="7">
        <v>2.6782679916169898E-4</v>
      </c>
      <c r="C816" s="7">
        <v>8.4798680815203503E-2</v>
      </c>
      <c r="D816" s="7">
        <v>30000</v>
      </c>
      <c r="E816" s="7" t="s">
        <v>10</v>
      </c>
      <c r="F816" s="7">
        <v>23.76</v>
      </c>
      <c r="G816" s="7">
        <v>1</v>
      </c>
      <c r="H816" s="7">
        <v>17251.38</v>
      </c>
      <c r="I816" s="7">
        <v>6969.9</v>
      </c>
    </row>
    <row r="817" spans="1:9" x14ac:dyDescent="0.2">
      <c r="A817" s="7">
        <v>34872</v>
      </c>
      <c r="B817" s="7">
        <v>2.1658721914890999E-2</v>
      </c>
      <c r="C817" s="7">
        <v>7.4974238972806501E-2</v>
      </c>
      <c r="D817" s="7">
        <v>9450</v>
      </c>
      <c r="E817" s="7" t="s">
        <v>5</v>
      </c>
      <c r="F817" s="7">
        <v>13.68</v>
      </c>
      <c r="G817" s="7">
        <v>1</v>
      </c>
      <c r="H817" s="7">
        <v>2893.38</v>
      </c>
      <c r="I817" s="7">
        <v>0</v>
      </c>
    </row>
    <row r="818" spans="1:9" x14ac:dyDescent="0.2">
      <c r="A818" s="7">
        <v>119130</v>
      </c>
      <c r="B818" s="7">
        <v>3.3397121637217399E-2</v>
      </c>
      <c r="C818" s="7">
        <v>8.1509172207196695E-2</v>
      </c>
      <c r="D818" s="7">
        <v>3500</v>
      </c>
      <c r="E818" s="7" t="s">
        <v>8</v>
      </c>
      <c r="F818" s="7">
        <v>13.11</v>
      </c>
      <c r="G818" s="7">
        <v>0</v>
      </c>
      <c r="H818" s="7">
        <v>4252.0799978958003</v>
      </c>
      <c r="I818" s="7">
        <v>0</v>
      </c>
    </row>
    <row r="819" spans="1:9" x14ac:dyDescent="0.2">
      <c r="A819" s="7">
        <v>74279</v>
      </c>
      <c r="B819" s="7">
        <v>2.94796247507195E-2</v>
      </c>
      <c r="C819" s="7">
        <v>8.1509172207196695E-2</v>
      </c>
      <c r="D819" s="7">
        <v>7000</v>
      </c>
      <c r="E819" s="7" t="s">
        <v>5</v>
      </c>
      <c r="F819" s="7">
        <v>17.27</v>
      </c>
      <c r="G819" s="7">
        <v>0</v>
      </c>
      <c r="H819" s="7">
        <v>9008.1600032143997</v>
      </c>
      <c r="I819" s="7">
        <v>0</v>
      </c>
    </row>
    <row r="820" spans="1:9" x14ac:dyDescent="0.2">
      <c r="A820" s="7">
        <v>56351</v>
      </c>
      <c r="B820" s="7">
        <v>3.8056941753433098E-2</v>
      </c>
      <c r="C820" s="7">
        <v>5.3944556304700297E-2</v>
      </c>
      <c r="D820" s="7">
        <v>15000</v>
      </c>
      <c r="E820" s="7" t="s">
        <v>8</v>
      </c>
      <c r="F820" s="7">
        <v>10.16</v>
      </c>
      <c r="G820" s="7">
        <v>0</v>
      </c>
      <c r="H820" s="7">
        <v>17217.750004209502</v>
      </c>
      <c r="I820" s="7">
        <v>0</v>
      </c>
    </row>
    <row r="821" spans="1:9" x14ac:dyDescent="0.2">
      <c r="A821" s="7">
        <v>17658</v>
      </c>
      <c r="B821" s="7">
        <v>3.42952741726016E-2</v>
      </c>
      <c r="C821" s="7">
        <v>8.1509172207196695E-2</v>
      </c>
      <c r="D821" s="7">
        <v>5000</v>
      </c>
      <c r="E821" s="7" t="s">
        <v>8</v>
      </c>
      <c r="F821" s="7">
        <v>12.99</v>
      </c>
      <c r="G821" s="7">
        <v>0</v>
      </c>
      <c r="H821" s="7">
        <v>5226.8999999999996</v>
      </c>
      <c r="I821" s="7">
        <v>0</v>
      </c>
    </row>
    <row r="822" spans="1:9" x14ac:dyDescent="0.2">
      <c r="A822" s="7">
        <v>1431</v>
      </c>
      <c r="B822" s="7">
        <v>2.6232168599186499E-2</v>
      </c>
      <c r="C822" s="7">
        <v>7.4974238972806501E-2</v>
      </c>
      <c r="D822" s="7">
        <v>4800</v>
      </c>
      <c r="E822" s="7" t="s">
        <v>5</v>
      </c>
      <c r="F822" s="7">
        <v>13.98</v>
      </c>
      <c r="G822" s="7">
        <v>0</v>
      </c>
      <c r="H822" s="7">
        <v>5523.2799990586</v>
      </c>
      <c r="I822" s="7">
        <v>0</v>
      </c>
    </row>
    <row r="823" spans="1:9" x14ac:dyDescent="0.2">
      <c r="A823" s="7">
        <v>67951</v>
      </c>
      <c r="B823" s="7">
        <v>2.9284744454724201E-2</v>
      </c>
      <c r="C823" s="7">
        <v>7.4974238972806501E-2</v>
      </c>
      <c r="D823" s="7">
        <v>3000</v>
      </c>
      <c r="E823" s="7" t="s">
        <v>8</v>
      </c>
      <c r="F823" s="7">
        <v>12.12</v>
      </c>
      <c r="G823" s="7">
        <v>0</v>
      </c>
      <c r="H823" s="7">
        <v>3524.81</v>
      </c>
      <c r="I823" s="7">
        <v>0</v>
      </c>
    </row>
    <row r="824" spans="1:9" x14ac:dyDescent="0.2">
      <c r="A824" s="7">
        <v>54399</v>
      </c>
      <c r="B824" s="7">
        <v>2.9122804992005199E-2</v>
      </c>
      <c r="C824" s="7">
        <v>7.4974238972806501E-2</v>
      </c>
      <c r="D824" s="7">
        <v>10000</v>
      </c>
      <c r="E824" s="7" t="s">
        <v>8</v>
      </c>
      <c r="F824" s="7">
        <v>12.12</v>
      </c>
      <c r="G824" s="7">
        <v>0</v>
      </c>
      <c r="H824" s="7">
        <v>10978.2994000692</v>
      </c>
      <c r="I824" s="7">
        <v>0</v>
      </c>
    </row>
    <row r="825" spans="1:9" x14ac:dyDescent="0.2">
      <c r="A825" s="7">
        <v>4116</v>
      </c>
      <c r="B825" s="7">
        <v>3.5214768868596397E-2</v>
      </c>
      <c r="C825" s="7">
        <v>7.7054178620260594E-2</v>
      </c>
      <c r="D825" s="7">
        <v>9775</v>
      </c>
      <c r="E825" s="7" t="s">
        <v>5</v>
      </c>
      <c r="F825" s="7">
        <v>15.61</v>
      </c>
      <c r="G825" s="7">
        <v>0</v>
      </c>
      <c r="H825" s="7">
        <v>10495.3300000001</v>
      </c>
      <c r="I825" s="7">
        <v>0</v>
      </c>
    </row>
    <row r="826" spans="1:9" x14ac:dyDescent="0.2">
      <c r="A826" s="7">
        <v>129907</v>
      </c>
      <c r="B826" s="7">
        <v>-2.0841997646442499E-3</v>
      </c>
      <c r="C826" s="7">
        <v>8.4798680815203503E-2</v>
      </c>
      <c r="D826" s="7">
        <v>26600</v>
      </c>
      <c r="E826" s="7" t="s">
        <v>7</v>
      </c>
      <c r="F826" s="7">
        <v>21.48</v>
      </c>
      <c r="G826" s="7">
        <v>0</v>
      </c>
      <c r="H826" s="7">
        <v>41989.369961529897</v>
      </c>
      <c r="I826" s="7">
        <v>0</v>
      </c>
    </row>
    <row r="827" spans="1:9" x14ac:dyDescent="0.2">
      <c r="A827" s="7">
        <v>99787</v>
      </c>
      <c r="B827" s="7">
        <v>2.0094458252201998E-3</v>
      </c>
      <c r="C827" s="7">
        <v>8.4798680815203503E-2</v>
      </c>
      <c r="D827" s="7">
        <v>20100</v>
      </c>
      <c r="E827" s="7" t="s">
        <v>5</v>
      </c>
      <c r="F827" s="7">
        <v>15.31</v>
      </c>
      <c r="G827" s="7">
        <v>0</v>
      </c>
      <c r="H827" s="7">
        <v>20611.5810703688</v>
      </c>
      <c r="I827" s="7">
        <v>0</v>
      </c>
    </row>
    <row r="828" spans="1:9" x14ac:dyDescent="0.2">
      <c r="A828" s="7">
        <v>53797</v>
      </c>
      <c r="B828" s="7">
        <v>3.2972094641626898E-2</v>
      </c>
      <c r="C828" s="7">
        <v>7.7054178620260594E-2</v>
      </c>
      <c r="D828" s="7">
        <v>10000</v>
      </c>
      <c r="E828" s="7" t="s">
        <v>5</v>
      </c>
      <c r="F828" s="7">
        <v>15.8</v>
      </c>
      <c r="G828" s="7">
        <v>0</v>
      </c>
      <c r="H828" s="7">
        <v>12620.9533242497</v>
      </c>
      <c r="I828" s="7">
        <v>0</v>
      </c>
    </row>
    <row r="829" spans="1:9" x14ac:dyDescent="0.2">
      <c r="A829" s="7">
        <v>127165</v>
      </c>
      <c r="B829" s="7">
        <v>2.6940547400401801E-2</v>
      </c>
      <c r="C829" s="7">
        <v>8.1509172207196695E-2</v>
      </c>
      <c r="D829" s="7">
        <v>3600</v>
      </c>
      <c r="E829" s="7" t="s">
        <v>6</v>
      </c>
      <c r="F829" s="7">
        <v>17.27</v>
      </c>
      <c r="G829" s="7">
        <v>0</v>
      </c>
      <c r="H829" s="7">
        <v>4626.4299971279997</v>
      </c>
      <c r="I829" s="7">
        <v>0</v>
      </c>
    </row>
    <row r="830" spans="1:9" x14ac:dyDescent="0.2">
      <c r="A830" s="7">
        <v>66321</v>
      </c>
      <c r="B830" s="7">
        <v>2.9919492987032899E-2</v>
      </c>
      <c r="C830" s="7">
        <v>8.1509172207196695E-2</v>
      </c>
      <c r="D830" s="7">
        <v>10625</v>
      </c>
      <c r="E830" s="7" t="s">
        <v>8</v>
      </c>
      <c r="F830" s="7">
        <v>14.09</v>
      </c>
      <c r="G830" s="7">
        <v>1</v>
      </c>
      <c r="H830" s="7">
        <v>3470.75</v>
      </c>
      <c r="I830" s="7">
        <v>1291.9100000000001</v>
      </c>
    </row>
    <row r="831" spans="1:9" x14ac:dyDescent="0.2">
      <c r="A831" s="7">
        <v>37458</v>
      </c>
      <c r="B831" s="7">
        <v>3.0749631296238599E-2</v>
      </c>
      <c r="C831" s="7">
        <v>8.1509172207196695E-2</v>
      </c>
      <c r="D831" s="7">
        <v>7200</v>
      </c>
      <c r="E831" s="7" t="s">
        <v>8</v>
      </c>
      <c r="F831" s="7">
        <v>11.55</v>
      </c>
      <c r="G831" s="7">
        <v>0</v>
      </c>
      <c r="H831" s="7">
        <v>8034.9612295223997</v>
      </c>
      <c r="I831" s="7">
        <v>0</v>
      </c>
    </row>
    <row r="832" spans="1:9" x14ac:dyDescent="0.2">
      <c r="A832" s="7">
        <v>128262</v>
      </c>
      <c r="B832" s="7">
        <v>3.77200826314684E-2</v>
      </c>
      <c r="C832" s="7">
        <v>5.3944556304700297E-2</v>
      </c>
      <c r="D832" s="7">
        <v>24375</v>
      </c>
      <c r="E832" s="7" t="s">
        <v>6</v>
      </c>
      <c r="F832" s="7">
        <v>17.27</v>
      </c>
      <c r="G832" s="7">
        <v>0</v>
      </c>
      <c r="H832" s="7">
        <v>31459.2385163746</v>
      </c>
      <c r="I832" s="7">
        <v>0</v>
      </c>
    </row>
    <row r="833" spans="1:9" x14ac:dyDescent="0.2">
      <c r="A833" s="7">
        <v>4914</v>
      </c>
      <c r="B833" s="7">
        <v>3.34989644877038E-2</v>
      </c>
      <c r="C833" s="7">
        <v>5.3944556304700297E-2</v>
      </c>
      <c r="D833" s="7">
        <v>32000</v>
      </c>
      <c r="E833" s="7" t="s">
        <v>5</v>
      </c>
      <c r="F833" s="7">
        <v>15.61</v>
      </c>
      <c r="G833" s="7">
        <v>1</v>
      </c>
      <c r="H833" s="7">
        <v>5397.65</v>
      </c>
      <c r="I833" s="7">
        <v>0</v>
      </c>
    </row>
    <row r="834" spans="1:9" x14ac:dyDescent="0.2">
      <c r="A834" s="7">
        <v>18477</v>
      </c>
      <c r="B834" s="7">
        <v>2.6658755835354701E-2</v>
      </c>
      <c r="C834" s="7">
        <v>7.7054178620260594E-2</v>
      </c>
      <c r="D834" s="7">
        <v>25000</v>
      </c>
      <c r="E834" s="7" t="s">
        <v>4</v>
      </c>
      <c r="F834" s="7">
        <v>9.25</v>
      </c>
      <c r="G834" s="7">
        <v>0</v>
      </c>
      <c r="H834" s="7">
        <v>28636.959999999999</v>
      </c>
      <c r="I834" s="7">
        <v>0</v>
      </c>
    </row>
    <row r="835" spans="1:9" x14ac:dyDescent="0.2">
      <c r="A835" s="7">
        <v>133278</v>
      </c>
      <c r="B835" s="7">
        <v>2.8636371502543199E-2</v>
      </c>
      <c r="C835" s="7">
        <v>8.1509172207196695E-2</v>
      </c>
      <c r="D835" s="7">
        <v>10000</v>
      </c>
      <c r="E835" s="7" t="s">
        <v>8</v>
      </c>
      <c r="F835" s="7">
        <v>10.74</v>
      </c>
      <c r="G835" s="7">
        <v>0</v>
      </c>
      <c r="H835" s="7">
        <v>11741.649999998601</v>
      </c>
      <c r="I835" s="7">
        <v>0</v>
      </c>
    </row>
    <row r="836" spans="1:9" x14ac:dyDescent="0.2">
      <c r="A836" s="7">
        <v>82581</v>
      </c>
      <c r="B836" s="7">
        <v>-7.1653547136994104E-4</v>
      </c>
      <c r="C836" s="7">
        <v>5.3944556304700297E-2</v>
      </c>
      <c r="D836" s="7">
        <v>24000</v>
      </c>
      <c r="E836" s="7" t="s">
        <v>8</v>
      </c>
      <c r="F836" s="7">
        <v>10.16</v>
      </c>
      <c r="G836" s="7">
        <v>0</v>
      </c>
      <c r="H836" s="7">
        <v>29742.110009185599</v>
      </c>
      <c r="I836" s="7">
        <v>0</v>
      </c>
    </row>
    <row r="837" spans="1:9" x14ac:dyDescent="0.2">
      <c r="A837" s="7">
        <v>16295</v>
      </c>
      <c r="B837" s="7">
        <v>1.1214710073545501E-2</v>
      </c>
      <c r="C837" s="7">
        <v>7.4974238972806501E-2</v>
      </c>
      <c r="D837" s="7">
        <v>11100</v>
      </c>
      <c r="E837" s="7" t="s">
        <v>7</v>
      </c>
      <c r="F837" s="7">
        <v>23.4</v>
      </c>
      <c r="G837" s="7">
        <v>0</v>
      </c>
      <c r="H837" s="7">
        <v>13751.911771127599</v>
      </c>
      <c r="I837" s="7">
        <v>0</v>
      </c>
    </row>
    <row r="838" spans="1:9" x14ac:dyDescent="0.2">
      <c r="A838" s="7">
        <v>76553</v>
      </c>
      <c r="B838" s="7">
        <v>3.1035189186418202E-2</v>
      </c>
      <c r="C838" s="7">
        <v>7.4974238972806501E-2</v>
      </c>
      <c r="D838" s="7">
        <v>14000</v>
      </c>
      <c r="E838" s="7" t="s">
        <v>8</v>
      </c>
      <c r="F838" s="7">
        <v>11.14</v>
      </c>
      <c r="G838" s="7">
        <v>0</v>
      </c>
      <c r="H838" s="7">
        <v>16309.029999999901</v>
      </c>
      <c r="I838" s="7">
        <v>0</v>
      </c>
    </row>
    <row r="839" spans="1:9" x14ac:dyDescent="0.2">
      <c r="A839" s="7">
        <v>20261</v>
      </c>
      <c r="B839" s="7">
        <v>-3.8498104612456402E-3</v>
      </c>
      <c r="C839" s="7">
        <v>8.4798680815203503E-2</v>
      </c>
      <c r="D839" s="7">
        <v>17325</v>
      </c>
      <c r="E839" s="7" t="s">
        <v>7</v>
      </c>
      <c r="F839" s="7">
        <v>23.1</v>
      </c>
      <c r="G839" s="7">
        <v>1</v>
      </c>
      <c r="H839" s="7">
        <v>8107.8</v>
      </c>
      <c r="I839" s="7">
        <v>2240</v>
      </c>
    </row>
    <row r="840" spans="1:9" x14ac:dyDescent="0.2">
      <c r="A840" s="7">
        <v>84111</v>
      </c>
      <c r="B840" s="7">
        <v>2.8538006243617499E-2</v>
      </c>
      <c r="C840" s="7">
        <v>8.4798680815203503E-2</v>
      </c>
      <c r="D840" s="7">
        <v>18000</v>
      </c>
      <c r="E840" s="7" t="s">
        <v>5</v>
      </c>
      <c r="F840" s="7">
        <v>16.29</v>
      </c>
      <c r="G840" s="7">
        <v>0</v>
      </c>
      <c r="H840" s="7">
        <v>21230.367041679099</v>
      </c>
      <c r="I840" s="7">
        <v>0</v>
      </c>
    </row>
    <row r="841" spans="1:9" x14ac:dyDescent="0.2">
      <c r="A841" s="7">
        <v>101198</v>
      </c>
      <c r="B841" s="7">
        <v>3.7921534768221798E-2</v>
      </c>
      <c r="C841" s="7">
        <v>8.1509172207196695E-2</v>
      </c>
      <c r="D841" s="7">
        <v>9750</v>
      </c>
      <c r="E841" s="7" t="s">
        <v>5</v>
      </c>
      <c r="F841" s="7">
        <v>15.31</v>
      </c>
      <c r="G841" s="7">
        <v>0</v>
      </c>
      <c r="H841" s="7">
        <v>12220.8728477761</v>
      </c>
      <c r="I841" s="7">
        <v>0</v>
      </c>
    </row>
    <row r="842" spans="1:9" x14ac:dyDescent="0.2">
      <c r="A842" s="7">
        <v>122175</v>
      </c>
      <c r="B842" s="7">
        <v>2.72764432262706E-2</v>
      </c>
      <c r="C842" s="7">
        <v>8.1509172207196695E-2</v>
      </c>
      <c r="D842" s="7">
        <v>4375</v>
      </c>
      <c r="E842" s="7" t="s">
        <v>8</v>
      </c>
      <c r="F842" s="7">
        <v>14.09</v>
      </c>
      <c r="G842" s="7">
        <v>0</v>
      </c>
      <c r="H842" s="7">
        <v>5389.8599981730003</v>
      </c>
      <c r="I842" s="7">
        <v>0</v>
      </c>
    </row>
    <row r="843" spans="1:9" x14ac:dyDescent="0.2">
      <c r="A843" s="7">
        <v>28344</v>
      </c>
      <c r="B843" s="7">
        <v>2.7089211623690601E-2</v>
      </c>
      <c r="C843" s="7">
        <v>7.4974238972806501E-2</v>
      </c>
      <c r="D843" s="7">
        <v>8450</v>
      </c>
      <c r="E843" s="7" t="s">
        <v>5</v>
      </c>
      <c r="F843" s="7">
        <v>14.33</v>
      </c>
      <c r="G843" s="7">
        <v>0</v>
      </c>
      <c r="H843" s="7">
        <v>10362.799999999999</v>
      </c>
      <c r="I843" s="7">
        <v>0</v>
      </c>
    </row>
    <row r="844" spans="1:9" x14ac:dyDescent="0.2">
      <c r="A844" s="7">
        <v>111258</v>
      </c>
      <c r="B844" s="7">
        <v>4.2279307257450799E-2</v>
      </c>
      <c r="C844" s="7">
        <v>8.4798680815203503E-2</v>
      </c>
      <c r="D844" s="7">
        <v>32000</v>
      </c>
      <c r="E844" s="7" t="s">
        <v>7</v>
      </c>
      <c r="F844" s="7">
        <v>21</v>
      </c>
      <c r="G844" s="7">
        <v>0</v>
      </c>
      <c r="H844" s="7">
        <v>43401.571141726599</v>
      </c>
      <c r="I844" s="7">
        <v>0</v>
      </c>
    </row>
    <row r="845" spans="1:9" x14ac:dyDescent="0.2">
      <c r="A845" s="7">
        <v>143765</v>
      </c>
      <c r="B845" s="7">
        <v>3.0643862749213699E-2</v>
      </c>
      <c r="C845" s="7">
        <v>7.4974238972806501E-2</v>
      </c>
      <c r="D845" s="7">
        <v>8400</v>
      </c>
      <c r="E845" s="7" t="s">
        <v>5</v>
      </c>
      <c r="F845" s="7">
        <v>14.27</v>
      </c>
      <c r="G845" s="7">
        <v>0</v>
      </c>
      <c r="H845" s="7">
        <v>10374.9800088907</v>
      </c>
      <c r="I845" s="7">
        <v>0</v>
      </c>
    </row>
    <row r="846" spans="1:9" x14ac:dyDescent="0.2">
      <c r="A846" s="7">
        <v>39560</v>
      </c>
      <c r="B846" s="7">
        <v>3.86291719216528E-2</v>
      </c>
      <c r="C846" s="7">
        <v>8.4798680815203503E-2</v>
      </c>
      <c r="D846" s="7">
        <v>30000</v>
      </c>
      <c r="E846" s="7" t="s">
        <v>5</v>
      </c>
      <c r="F846" s="7">
        <v>14.33</v>
      </c>
      <c r="G846" s="7">
        <v>0</v>
      </c>
      <c r="H846" s="7">
        <v>34003.169613119302</v>
      </c>
      <c r="I846" s="7">
        <v>0</v>
      </c>
    </row>
    <row r="847" spans="1:9" x14ac:dyDescent="0.2">
      <c r="A847" s="7">
        <v>73616</v>
      </c>
      <c r="B847" s="7">
        <v>3.6150900305802897E-2</v>
      </c>
      <c r="C847" s="7">
        <v>7.4974238972806501E-2</v>
      </c>
      <c r="D847" s="7">
        <v>3425</v>
      </c>
      <c r="E847" s="7" t="s">
        <v>5</v>
      </c>
      <c r="F847" s="7">
        <v>16.29</v>
      </c>
      <c r="G847" s="7">
        <v>0</v>
      </c>
      <c r="H847" s="7">
        <v>4352.4738038270998</v>
      </c>
      <c r="I847" s="7">
        <v>0</v>
      </c>
    </row>
    <row r="848" spans="1:9" x14ac:dyDescent="0.2">
      <c r="A848" s="7">
        <v>115210</v>
      </c>
      <c r="B848" s="7">
        <v>3.2278821645363102E-2</v>
      </c>
      <c r="C848" s="7">
        <v>7.4974238972806501E-2</v>
      </c>
      <c r="D848" s="7">
        <v>10000</v>
      </c>
      <c r="E848" s="7" t="s">
        <v>4</v>
      </c>
      <c r="F848" s="7">
        <v>8.9</v>
      </c>
      <c r="G848" s="7">
        <v>0</v>
      </c>
      <c r="H848" s="7">
        <v>11431.11613264</v>
      </c>
      <c r="I848" s="7">
        <v>0</v>
      </c>
    </row>
    <row r="849" spans="1:9" x14ac:dyDescent="0.2">
      <c r="A849" s="7">
        <v>62325</v>
      </c>
      <c r="B849" s="7">
        <v>2.8784473543104299E-2</v>
      </c>
      <c r="C849" s="7">
        <v>7.7054178620260594E-2</v>
      </c>
      <c r="D849" s="7">
        <v>15000</v>
      </c>
      <c r="E849" s="7" t="s">
        <v>8</v>
      </c>
      <c r="F849" s="7">
        <v>11.14</v>
      </c>
      <c r="G849" s="7">
        <v>0</v>
      </c>
      <c r="H849" s="7">
        <v>17714.7030224843</v>
      </c>
      <c r="I849" s="7">
        <v>0</v>
      </c>
    </row>
    <row r="850" spans="1:9" x14ac:dyDescent="0.2">
      <c r="A850" s="7">
        <v>129631</v>
      </c>
      <c r="B850" s="7">
        <v>3.2517919344295897E-2</v>
      </c>
      <c r="C850" s="7">
        <v>5.3944556304700297E-2</v>
      </c>
      <c r="D850" s="7">
        <v>12000</v>
      </c>
      <c r="E850" s="7" t="s">
        <v>8</v>
      </c>
      <c r="F850" s="7">
        <v>12.12</v>
      </c>
      <c r="G850" s="7">
        <v>0</v>
      </c>
      <c r="H850" s="7">
        <v>13348.852397483301</v>
      </c>
      <c r="I850" s="7">
        <v>0</v>
      </c>
    </row>
    <row r="851" spans="1:9" x14ac:dyDescent="0.2">
      <c r="A851" s="7">
        <v>93338</v>
      </c>
      <c r="B851" s="7">
        <v>2.54320733201354E-2</v>
      </c>
      <c r="C851" s="7">
        <v>8.1509172207196695E-2</v>
      </c>
      <c r="D851" s="7">
        <v>8000</v>
      </c>
      <c r="E851" s="7" t="s">
        <v>5</v>
      </c>
      <c r="F851" s="7">
        <v>16.29</v>
      </c>
      <c r="G851" s="7">
        <v>0</v>
      </c>
      <c r="H851" s="7">
        <v>10052.710000000299</v>
      </c>
      <c r="I851" s="7">
        <v>0</v>
      </c>
    </row>
    <row r="852" spans="1:9" x14ac:dyDescent="0.2">
      <c r="A852" s="7">
        <v>116150</v>
      </c>
      <c r="B852" s="7">
        <v>2.6974668655448099E-2</v>
      </c>
      <c r="C852" s="7">
        <v>8.1509172207196695E-2</v>
      </c>
      <c r="D852" s="7">
        <v>7000</v>
      </c>
      <c r="E852" s="7" t="s">
        <v>5</v>
      </c>
      <c r="F852" s="7">
        <v>16.29</v>
      </c>
      <c r="G852" s="7">
        <v>1</v>
      </c>
      <c r="H852" s="7">
        <v>2962.2</v>
      </c>
      <c r="I852" s="7">
        <v>0</v>
      </c>
    </row>
    <row r="853" spans="1:9" x14ac:dyDescent="0.2">
      <c r="A853" s="7">
        <v>91353</v>
      </c>
      <c r="B853" s="7">
        <v>3.8501086520007999E-2</v>
      </c>
      <c r="C853" s="7">
        <v>8.1509172207196695E-2</v>
      </c>
      <c r="D853" s="7">
        <v>8000</v>
      </c>
      <c r="E853" s="7" t="s">
        <v>5</v>
      </c>
      <c r="F853" s="7">
        <v>15.8</v>
      </c>
      <c r="G853" s="7">
        <v>1</v>
      </c>
      <c r="H853" s="7">
        <v>6745.44</v>
      </c>
      <c r="I853" s="7">
        <v>1166.03</v>
      </c>
    </row>
    <row r="854" spans="1:9" x14ac:dyDescent="0.2">
      <c r="A854" s="7">
        <v>104665</v>
      </c>
      <c r="B854" s="7">
        <v>2.6727669635064E-2</v>
      </c>
      <c r="C854" s="7">
        <v>8.1509172207196695E-2</v>
      </c>
      <c r="D854" s="7">
        <v>8000</v>
      </c>
      <c r="E854" s="7" t="s">
        <v>6</v>
      </c>
      <c r="F854" s="7">
        <v>17.77</v>
      </c>
      <c r="G854" s="7">
        <v>0</v>
      </c>
      <c r="H854" s="7">
        <v>10251.4600000009</v>
      </c>
      <c r="I854" s="7">
        <v>0</v>
      </c>
    </row>
    <row r="855" spans="1:9" x14ac:dyDescent="0.2">
      <c r="A855" s="7">
        <v>16587</v>
      </c>
      <c r="B855" s="7">
        <v>3.0439167459182402E-3</v>
      </c>
      <c r="C855" s="7">
        <v>8.4798680815203503E-2</v>
      </c>
      <c r="D855" s="7">
        <v>28000</v>
      </c>
      <c r="E855" s="7" t="s">
        <v>6</v>
      </c>
      <c r="F855" s="7">
        <v>20.2</v>
      </c>
      <c r="G855" s="7">
        <v>0</v>
      </c>
      <c r="H855" s="7">
        <v>38535.129997893098</v>
      </c>
      <c r="I855" s="7">
        <v>0</v>
      </c>
    </row>
    <row r="856" spans="1:9" x14ac:dyDescent="0.2">
      <c r="A856" s="7">
        <v>8763</v>
      </c>
      <c r="B856" s="7">
        <v>2.5895098399621098E-2</v>
      </c>
      <c r="C856" s="7">
        <v>8.1509172207196695E-2</v>
      </c>
      <c r="D856" s="7">
        <v>4000</v>
      </c>
      <c r="E856" s="7" t="s">
        <v>6</v>
      </c>
      <c r="F856" s="7">
        <v>18.55</v>
      </c>
      <c r="G856" s="7">
        <v>0</v>
      </c>
      <c r="H856" s="7">
        <v>5088.5600000000004</v>
      </c>
      <c r="I856" s="7">
        <v>0</v>
      </c>
    </row>
    <row r="857" spans="1:9" x14ac:dyDescent="0.2">
      <c r="A857" s="7">
        <v>84706</v>
      </c>
      <c r="B857" s="7">
        <v>-6.5516076333987398E-3</v>
      </c>
      <c r="C857" s="7">
        <v>8.1509172207196695E-2</v>
      </c>
      <c r="D857" s="7">
        <v>6000</v>
      </c>
      <c r="E857" s="7" t="s">
        <v>6</v>
      </c>
      <c r="F857" s="7">
        <v>19.72</v>
      </c>
      <c r="G857" s="7">
        <v>1</v>
      </c>
      <c r="H857" s="7">
        <v>2639.99</v>
      </c>
      <c r="I857" s="7">
        <v>744.47</v>
      </c>
    </row>
    <row r="858" spans="1:9" x14ac:dyDescent="0.2">
      <c r="A858" s="7">
        <v>118320</v>
      </c>
      <c r="B858" s="7">
        <v>3.5061853962447202E-2</v>
      </c>
      <c r="C858" s="7">
        <v>8.1509172207196695E-2</v>
      </c>
      <c r="D858" s="7">
        <v>15000</v>
      </c>
      <c r="E858" s="7" t="s">
        <v>8</v>
      </c>
      <c r="F858" s="7">
        <v>12.12</v>
      </c>
      <c r="G858" s="7">
        <v>0</v>
      </c>
      <c r="H858" s="7">
        <v>17966.655614818501</v>
      </c>
      <c r="I858" s="7">
        <v>0</v>
      </c>
    </row>
    <row r="859" spans="1:9" x14ac:dyDescent="0.2">
      <c r="A859" s="7">
        <v>137771</v>
      </c>
      <c r="B859" s="7">
        <v>2.8446575589001401E-2</v>
      </c>
      <c r="C859" s="7">
        <v>7.4974238972806501E-2</v>
      </c>
      <c r="D859" s="7">
        <v>15000</v>
      </c>
      <c r="E859" s="7" t="s">
        <v>8</v>
      </c>
      <c r="F859" s="7">
        <v>12.12</v>
      </c>
      <c r="G859" s="7">
        <v>0</v>
      </c>
      <c r="H859" s="7">
        <v>17966.660008007799</v>
      </c>
      <c r="I859" s="7">
        <v>0</v>
      </c>
    </row>
    <row r="860" spans="1:9" x14ac:dyDescent="0.2">
      <c r="A860" s="7">
        <v>95079</v>
      </c>
      <c r="B860" s="7">
        <v>2.5521173532414499E-2</v>
      </c>
      <c r="C860" s="7">
        <v>5.3944556304700297E-2</v>
      </c>
      <c r="D860" s="7">
        <v>20000</v>
      </c>
      <c r="E860" s="7" t="s">
        <v>4</v>
      </c>
      <c r="F860" s="7">
        <v>6.03</v>
      </c>
      <c r="G860" s="7">
        <v>0</v>
      </c>
      <c r="H860" s="7">
        <v>21654.880000000001</v>
      </c>
      <c r="I860" s="7">
        <v>0</v>
      </c>
    </row>
    <row r="861" spans="1:9" x14ac:dyDescent="0.2">
      <c r="A861" s="7">
        <v>62838</v>
      </c>
      <c r="B861" s="7">
        <v>4.4194505754817801E-2</v>
      </c>
      <c r="C861" s="7">
        <v>5.3944556304700297E-2</v>
      </c>
      <c r="D861" s="7">
        <v>20000</v>
      </c>
      <c r="E861" s="7" t="s">
        <v>5</v>
      </c>
      <c r="F861" s="7">
        <v>16.29</v>
      </c>
      <c r="G861" s="7">
        <v>1</v>
      </c>
      <c r="H861" s="7">
        <v>19767.080000000002</v>
      </c>
      <c r="I861" s="7">
        <v>0</v>
      </c>
    </row>
    <row r="862" spans="1:9" x14ac:dyDescent="0.2">
      <c r="A862" s="7">
        <v>130422</v>
      </c>
      <c r="B862" s="7">
        <v>2.3554405175731902E-2</v>
      </c>
      <c r="C862" s="7">
        <v>8.1509172207196695E-2</v>
      </c>
      <c r="D862" s="7">
        <v>10000</v>
      </c>
      <c r="E862" s="7" t="s">
        <v>8</v>
      </c>
      <c r="F862" s="7">
        <v>12.12</v>
      </c>
      <c r="G862" s="7">
        <v>1</v>
      </c>
      <c r="H862" s="7">
        <v>5563.56</v>
      </c>
      <c r="I862" s="7">
        <v>909.96</v>
      </c>
    </row>
    <row r="863" spans="1:9" x14ac:dyDescent="0.2">
      <c r="A863" s="7">
        <v>72042</v>
      </c>
      <c r="B863" s="7">
        <v>3.3586624762377698E-2</v>
      </c>
      <c r="C863" s="7">
        <v>8.1509172207196695E-2</v>
      </c>
      <c r="D863" s="7">
        <v>8800</v>
      </c>
      <c r="E863" s="7" t="s">
        <v>8</v>
      </c>
      <c r="F863" s="7">
        <v>12.12</v>
      </c>
      <c r="G863" s="7">
        <v>0</v>
      </c>
      <c r="H863" s="7">
        <v>9070.4268950700007</v>
      </c>
      <c r="I863" s="7">
        <v>0</v>
      </c>
    </row>
    <row r="864" spans="1:9" x14ac:dyDescent="0.2">
      <c r="A864" s="7">
        <v>91504</v>
      </c>
      <c r="B864" s="7">
        <v>4.0888052521671499E-2</v>
      </c>
      <c r="C864" s="7">
        <v>7.4974238972806501E-2</v>
      </c>
      <c r="D864" s="7">
        <v>15000</v>
      </c>
      <c r="E864" s="7" t="s">
        <v>8</v>
      </c>
      <c r="F864" s="7">
        <v>10.16</v>
      </c>
      <c r="G864" s="7">
        <v>0</v>
      </c>
      <c r="H864" s="7">
        <v>16868.743376883402</v>
      </c>
      <c r="I864" s="7">
        <v>0</v>
      </c>
    </row>
    <row r="865" spans="1:9" x14ac:dyDescent="0.2">
      <c r="A865" s="7">
        <v>103462</v>
      </c>
      <c r="B865" s="7">
        <v>3.1559227917787099E-2</v>
      </c>
      <c r="C865" s="7">
        <v>7.4974238972806501E-2</v>
      </c>
      <c r="D865" s="7">
        <v>8325</v>
      </c>
      <c r="E865" s="7" t="s">
        <v>5</v>
      </c>
      <c r="F865" s="7">
        <v>15.31</v>
      </c>
      <c r="G865" s="7">
        <v>1</v>
      </c>
      <c r="H865" s="7">
        <v>4836.28</v>
      </c>
      <c r="I865" s="7">
        <v>779.92</v>
      </c>
    </row>
    <row r="866" spans="1:9" x14ac:dyDescent="0.2">
      <c r="A866" s="7">
        <v>121835</v>
      </c>
      <c r="B866" s="7">
        <v>-1.5128559895799499E-3</v>
      </c>
      <c r="C866" s="7">
        <v>8.4798680815203503E-2</v>
      </c>
      <c r="D866" s="7">
        <v>18000</v>
      </c>
      <c r="E866" s="7" t="s">
        <v>6</v>
      </c>
      <c r="F866" s="7">
        <v>18.75</v>
      </c>
      <c r="G866" s="7">
        <v>0</v>
      </c>
      <c r="H866" s="7">
        <v>21176.292740146298</v>
      </c>
      <c r="I866" s="7">
        <v>0</v>
      </c>
    </row>
    <row r="867" spans="1:9" x14ac:dyDescent="0.2">
      <c r="A867" s="7">
        <v>37757</v>
      </c>
      <c r="B867" s="7">
        <v>5.0076799376362301E-3</v>
      </c>
      <c r="C867" s="7">
        <v>8.1509172207196695E-2</v>
      </c>
      <c r="D867" s="7">
        <v>20000</v>
      </c>
      <c r="E867" s="7" t="s">
        <v>5</v>
      </c>
      <c r="F867" s="7">
        <v>16.78</v>
      </c>
      <c r="G867" s="7">
        <v>0</v>
      </c>
      <c r="H867" s="7">
        <v>23388.6849075149</v>
      </c>
      <c r="I867" s="7">
        <v>0</v>
      </c>
    </row>
    <row r="868" spans="1:9" x14ac:dyDescent="0.2">
      <c r="A868" s="7">
        <v>120541</v>
      </c>
      <c r="B868" s="7">
        <v>2.6560715840154601E-2</v>
      </c>
      <c r="C868" s="7">
        <v>8.4798680815203503E-2</v>
      </c>
      <c r="D868" s="7">
        <v>20000</v>
      </c>
      <c r="E868" s="7" t="s">
        <v>8</v>
      </c>
      <c r="F868" s="7">
        <v>12.12</v>
      </c>
      <c r="G868" s="7">
        <v>0</v>
      </c>
      <c r="H868" s="7">
        <v>22989.874655998101</v>
      </c>
      <c r="I868" s="7">
        <v>0</v>
      </c>
    </row>
    <row r="869" spans="1:9" x14ac:dyDescent="0.2">
      <c r="A869" s="7">
        <v>20635</v>
      </c>
      <c r="B869" s="7">
        <v>2.0172125508990502E-2</v>
      </c>
      <c r="C869" s="7">
        <v>7.7054178620260594E-2</v>
      </c>
      <c r="D869" s="7">
        <v>10975</v>
      </c>
      <c r="E869" s="7" t="s">
        <v>8</v>
      </c>
      <c r="F869" s="7">
        <v>10.99</v>
      </c>
      <c r="G869" s="7">
        <v>0</v>
      </c>
      <c r="H869" s="7">
        <v>12437.77</v>
      </c>
      <c r="I869" s="7">
        <v>0</v>
      </c>
    </row>
    <row r="870" spans="1:9" x14ac:dyDescent="0.2">
      <c r="A870" s="7">
        <v>92128</v>
      </c>
      <c r="B870" s="7">
        <v>2.7658793225416499E-2</v>
      </c>
      <c r="C870" s="7">
        <v>7.4974238972806501E-2</v>
      </c>
      <c r="D870" s="7">
        <v>6000</v>
      </c>
      <c r="E870" s="7" t="s">
        <v>5</v>
      </c>
      <c r="F870" s="7">
        <v>15.31</v>
      </c>
      <c r="G870" s="7">
        <v>0</v>
      </c>
      <c r="H870" s="7">
        <v>6626.4998808844002</v>
      </c>
      <c r="I870" s="7">
        <v>0</v>
      </c>
    </row>
    <row r="871" spans="1:9" x14ac:dyDescent="0.2">
      <c r="A871" s="7">
        <v>74985</v>
      </c>
      <c r="B871" s="7">
        <v>3.61033841560916E-2</v>
      </c>
      <c r="C871" s="7">
        <v>8.4798680815203503E-2</v>
      </c>
      <c r="D871" s="7">
        <v>27725</v>
      </c>
      <c r="E871" s="7" t="s">
        <v>8</v>
      </c>
      <c r="F871" s="7">
        <v>14.09</v>
      </c>
      <c r="G871" s="7">
        <v>0</v>
      </c>
      <c r="H871" s="7">
        <v>34172.757151841703</v>
      </c>
      <c r="I871" s="7">
        <v>0</v>
      </c>
    </row>
    <row r="872" spans="1:9" x14ac:dyDescent="0.2">
      <c r="A872" s="7">
        <v>124390</v>
      </c>
      <c r="B872" s="7">
        <v>3.7905054636469197E-2</v>
      </c>
      <c r="C872" s="7">
        <v>8.1509172207196695E-2</v>
      </c>
      <c r="D872" s="7">
        <v>1800</v>
      </c>
      <c r="E872" s="7" t="s">
        <v>5</v>
      </c>
      <c r="F872" s="7">
        <v>16.29</v>
      </c>
      <c r="G872" s="7">
        <v>0</v>
      </c>
      <c r="H872" s="7">
        <v>2276.8552796443</v>
      </c>
      <c r="I872" s="7">
        <v>0</v>
      </c>
    </row>
    <row r="873" spans="1:9" x14ac:dyDescent="0.2">
      <c r="A873" s="7">
        <v>59036</v>
      </c>
      <c r="B873" s="7">
        <v>3.15299934720535E-2</v>
      </c>
      <c r="C873" s="7">
        <v>7.7054178620260594E-2</v>
      </c>
      <c r="D873" s="7">
        <v>3000</v>
      </c>
      <c r="E873" s="7" t="s">
        <v>8</v>
      </c>
      <c r="F873" s="7">
        <v>13.11</v>
      </c>
      <c r="G873" s="7">
        <v>0</v>
      </c>
      <c r="H873" s="7">
        <v>3537.84</v>
      </c>
      <c r="I873" s="7">
        <v>0</v>
      </c>
    </row>
    <row r="874" spans="1:9" x14ac:dyDescent="0.2">
      <c r="A874" s="7">
        <v>19683</v>
      </c>
      <c r="B874" s="7">
        <v>1.49122079655116E-2</v>
      </c>
      <c r="C874" s="7">
        <v>8.1509172207196695E-2</v>
      </c>
      <c r="D874" s="7">
        <v>6600</v>
      </c>
      <c r="E874" s="7" t="s">
        <v>4</v>
      </c>
      <c r="F874" s="7">
        <v>6.03</v>
      </c>
      <c r="G874" s="7">
        <v>0</v>
      </c>
      <c r="H874" s="7">
        <v>6814.31</v>
      </c>
      <c r="I874" s="7">
        <v>0</v>
      </c>
    </row>
    <row r="875" spans="1:9" x14ac:dyDescent="0.2">
      <c r="A875" s="7">
        <v>1116</v>
      </c>
      <c r="B875" s="7">
        <v>8.3401414218666897E-3</v>
      </c>
      <c r="C875" s="7">
        <v>7.4974238972806501E-2</v>
      </c>
      <c r="D875" s="7">
        <v>10000</v>
      </c>
      <c r="E875" s="7" t="s">
        <v>5</v>
      </c>
      <c r="F875" s="7">
        <v>16.239999999999998</v>
      </c>
      <c r="G875" s="7">
        <v>0</v>
      </c>
      <c r="H875" s="7">
        <v>10401.5494706634</v>
      </c>
      <c r="I875" s="7">
        <v>0</v>
      </c>
    </row>
    <row r="876" spans="1:9" x14ac:dyDescent="0.2">
      <c r="A876" s="7">
        <v>68971</v>
      </c>
      <c r="B876" s="7">
        <v>-3.3986875526942099E-3</v>
      </c>
      <c r="C876" s="7">
        <v>7.4974238972806501E-2</v>
      </c>
      <c r="D876" s="7">
        <v>12000</v>
      </c>
      <c r="E876" s="7" t="s">
        <v>10</v>
      </c>
      <c r="F876" s="7">
        <v>22.95</v>
      </c>
      <c r="G876" s="7">
        <v>1</v>
      </c>
      <c r="H876" s="7">
        <v>10336.049999999999</v>
      </c>
      <c r="I876" s="7">
        <v>1556.95</v>
      </c>
    </row>
    <row r="877" spans="1:9" x14ac:dyDescent="0.2">
      <c r="A877" s="7">
        <v>2442</v>
      </c>
      <c r="B877" s="7">
        <v>2.53290805123455E-2</v>
      </c>
      <c r="C877" s="7">
        <v>5.3944556304700297E-2</v>
      </c>
      <c r="D877" s="7">
        <v>25000</v>
      </c>
      <c r="E877" s="7" t="s">
        <v>4</v>
      </c>
      <c r="F877" s="7">
        <v>8.9</v>
      </c>
      <c r="G877" s="7">
        <v>0</v>
      </c>
      <c r="H877" s="7">
        <v>27546.2300000043</v>
      </c>
      <c r="I877" s="7">
        <v>0</v>
      </c>
    </row>
    <row r="878" spans="1:9" x14ac:dyDescent="0.2">
      <c r="A878" s="7">
        <v>28823</v>
      </c>
      <c r="B878" s="7">
        <v>4.0185495366187804E-3</v>
      </c>
      <c r="C878" s="7">
        <v>8.1509172207196695E-2</v>
      </c>
      <c r="D878" s="7">
        <v>14400</v>
      </c>
      <c r="E878" s="7" t="s">
        <v>6</v>
      </c>
      <c r="F878" s="7">
        <v>19.52</v>
      </c>
      <c r="G878" s="7">
        <v>0</v>
      </c>
      <c r="H878" s="7">
        <v>17251.813586938799</v>
      </c>
      <c r="I878" s="7">
        <v>0</v>
      </c>
    </row>
    <row r="879" spans="1:9" x14ac:dyDescent="0.2">
      <c r="A879" s="7">
        <v>19861</v>
      </c>
      <c r="B879" s="7">
        <v>2.9108064689797701E-2</v>
      </c>
      <c r="C879" s="7">
        <v>7.4974238972806501E-2</v>
      </c>
      <c r="D879" s="7">
        <v>6000</v>
      </c>
      <c r="E879" s="7" t="s">
        <v>6</v>
      </c>
      <c r="F879" s="7">
        <v>19.2</v>
      </c>
      <c r="G879" s="7">
        <v>0</v>
      </c>
      <c r="H879" s="7">
        <v>6629.02</v>
      </c>
      <c r="I879" s="7">
        <v>0</v>
      </c>
    </row>
    <row r="880" spans="1:9" x14ac:dyDescent="0.2">
      <c r="A880" s="7">
        <v>145182</v>
      </c>
      <c r="B880" s="7">
        <v>2.11820419312133E-2</v>
      </c>
      <c r="C880" s="7">
        <v>5.3944556304700297E-2</v>
      </c>
      <c r="D880" s="7">
        <v>16000</v>
      </c>
      <c r="E880" s="7" t="s">
        <v>4</v>
      </c>
      <c r="F880" s="7">
        <v>7.51</v>
      </c>
      <c r="G880" s="7">
        <v>0</v>
      </c>
      <c r="H880" s="7">
        <v>17919.799999999799</v>
      </c>
      <c r="I880" s="7">
        <v>0</v>
      </c>
    </row>
    <row r="881" spans="1:9" x14ac:dyDescent="0.2">
      <c r="A881" s="7">
        <v>58827</v>
      </c>
      <c r="B881" s="7">
        <v>2.5414783709780401E-2</v>
      </c>
      <c r="C881" s="7">
        <v>7.4974238972806501E-2</v>
      </c>
      <c r="D881" s="7">
        <v>4325</v>
      </c>
      <c r="E881" s="7" t="s">
        <v>5</v>
      </c>
      <c r="F881" s="7">
        <v>15.31</v>
      </c>
      <c r="G881" s="7">
        <v>0</v>
      </c>
      <c r="H881" s="7">
        <v>5370.5099995817</v>
      </c>
      <c r="I881" s="7">
        <v>0</v>
      </c>
    </row>
    <row r="882" spans="1:9" x14ac:dyDescent="0.2">
      <c r="A882" s="7">
        <v>14468</v>
      </c>
      <c r="B882" s="7">
        <v>-9.8132973110020404E-3</v>
      </c>
      <c r="C882" s="7">
        <v>7.4974238972806501E-2</v>
      </c>
      <c r="D882" s="7">
        <v>16500</v>
      </c>
      <c r="E882" s="7" t="s">
        <v>8</v>
      </c>
      <c r="F882" s="7">
        <v>11.99</v>
      </c>
      <c r="G882" s="7">
        <v>0</v>
      </c>
      <c r="H882" s="7">
        <v>16829.874983419901</v>
      </c>
      <c r="I882" s="7">
        <v>0</v>
      </c>
    </row>
    <row r="883" spans="1:9" x14ac:dyDescent="0.2">
      <c r="A883" s="7">
        <v>76483</v>
      </c>
      <c r="B883" s="7">
        <v>3.5412168446454201E-2</v>
      </c>
      <c r="C883" s="7">
        <v>8.4798680815203503E-2</v>
      </c>
      <c r="D883" s="7">
        <v>21000</v>
      </c>
      <c r="E883" s="7" t="s">
        <v>8</v>
      </c>
      <c r="F883" s="7">
        <v>13.11</v>
      </c>
      <c r="G883" s="7">
        <v>1</v>
      </c>
      <c r="H883" s="7">
        <v>11845.01</v>
      </c>
      <c r="I883" s="7">
        <v>1931.6</v>
      </c>
    </row>
    <row r="884" spans="1:9" x14ac:dyDescent="0.2">
      <c r="A884" s="7">
        <v>104433</v>
      </c>
      <c r="B884" s="7">
        <v>3.0448025488714298E-2</v>
      </c>
      <c r="C884" s="7">
        <v>8.1509172207196695E-2</v>
      </c>
      <c r="D884" s="7">
        <v>12000</v>
      </c>
      <c r="E884" s="7" t="s">
        <v>8</v>
      </c>
      <c r="F884" s="7">
        <v>13.11</v>
      </c>
      <c r="G884" s="7">
        <v>0</v>
      </c>
      <c r="H884" s="7">
        <v>14578.635675486599</v>
      </c>
      <c r="I884" s="7">
        <v>0</v>
      </c>
    </row>
    <row r="885" spans="1:9" x14ac:dyDescent="0.2">
      <c r="A885" s="7">
        <v>125282</v>
      </c>
      <c r="B885" s="7">
        <v>2.7731973625678401E-2</v>
      </c>
      <c r="C885" s="7">
        <v>7.4974238972806501E-2</v>
      </c>
      <c r="D885" s="7">
        <v>14300</v>
      </c>
      <c r="E885" s="7" t="s">
        <v>5</v>
      </c>
      <c r="F885" s="7">
        <v>15.31</v>
      </c>
      <c r="G885" s="7">
        <v>0</v>
      </c>
      <c r="H885" s="7">
        <v>17656.1699929522</v>
      </c>
      <c r="I885" s="7">
        <v>0</v>
      </c>
    </row>
    <row r="886" spans="1:9" x14ac:dyDescent="0.2">
      <c r="A886" s="7">
        <v>26883</v>
      </c>
      <c r="B886" s="7">
        <v>2.8526929731410602E-2</v>
      </c>
      <c r="C886" s="7">
        <v>8.1509172207196695E-2</v>
      </c>
      <c r="D886" s="7">
        <v>7200</v>
      </c>
      <c r="E886" s="7" t="s">
        <v>8</v>
      </c>
      <c r="F886" s="7">
        <v>12.99</v>
      </c>
      <c r="G886" s="7">
        <v>0</v>
      </c>
      <c r="H886" s="7">
        <v>8696.8699955073007</v>
      </c>
      <c r="I886" s="7">
        <v>0</v>
      </c>
    </row>
    <row r="887" spans="1:9" x14ac:dyDescent="0.2">
      <c r="A887" s="7">
        <v>27482</v>
      </c>
      <c r="B887" s="7">
        <v>3.1714120981088501E-2</v>
      </c>
      <c r="C887" s="7">
        <v>8.1509172207196695E-2</v>
      </c>
      <c r="D887" s="7">
        <v>15875</v>
      </c>
      <c r="E887" s="7" t="s">
        <v>6</v>
      </c>
      <c r="F887" s="7">
        <v>18.25</v>
      </c>
      <c r="G887" s="7">
        <v>1</v>
      </c>
      <c r="H887" s="7">
        <v>6911.04</v>
      </c>
      <c r="I887" s="7">
        <v>0</v>
      </c>
    </row>
    <row r="888" spans="1:9" x14ac:dyDescent="0.2">
      <c r="A888" s="7">
        <v>121237</v>
      </c>
      <c r="B888" s="7">
        <v>3.3474925649389399E-2</v>
      </c>
      <c r="C888" s="7">
        <v>7.4974238972806501E-2</v>
      </c>
      <c r="D888" s="7">
        <v>18000</v>
      </c>
      <c r="E888" s="7" t="s">
        <v>8</v>
      </c>
      <c r="F888" s="7">
        <v>12.12</v>
      </c>
      <c r="G888" s="7">
        <v>0</v>
      </c>
      <c r="H888" s="7">
        <v>21240.358636120302</v>
      </c>
      <c r="I888" s="7">
        <v>0</v>
      </c>
    </row>
    <row r="889" spans="1:9" x14ac:dyDescent="0.2">
      <c r="A889" s="7">
        <v>118214</v>
      </c>
      <c r="B889" s="7">
        <v>2.5787955095064301E-2</v>
      </c>
      <c r="C889" s="7">
        <v>7.7054178620260594E-2</v>
      </c>
      <c r="D889" s="7">
        <v>4000</v>
      </c>
      <c r="E889" s="7" t="s">
        <v>4</v>
      </c>
      <c r="F889" s="7">
        <v>8.9</v>
      </c>
      <c r="G889" s="7">
        <v>0</v>
      </c>
      <c r="H889" s="7">
        <v>4058.8730068543</v>
      </c>
      <c r="I889" s="7">
        <v>0</v>
      </c>
    </row>
    <row r="890" spans="1:9" x14ac:dyDescent="0.2">
      <c r="A890" s="7">
        <v>28311</v>
      </c>
      <c r="B890" s="7">
        <v>3.4559462278984501E-2</v>
      </c>
      <c r="C890" s="7">
        <v>8.1509172207196695E-2</v>
      </c>
      <c r="D890" s="7">
        <v>7000</v>
      </c>
      <c r="E890" s="7" t="s">
        <v>6</v>
      </c>
      <c r="F890" s="7">
        <v>18.25</v>
      </c>
      <c r="G890" s="7">
        <v>0</v>
      </c>
      <c r="H890" s="7">
        <v>7509.52</v>
      </c>
      <c r="I890" s="7">
        <v>0</v>
      </c>
    </row>
    <row r="891" spans="1:9" x14ac:dyDescent="0.2">
      <c r="A891" s="7">
        <v>2891</v>
      </c>
      <c r="B891" s="7">
        <v>3.2760055590909103E-2</v>
      </c>
      <c r="C891" s="7">
        <v>8.4798680815203503E-2</v>
      </c>
      <c r="D891" s="7">
        <v>22000</v>
      </c>
      <c r="E891" s="7" t="s">
        <v>8</v>
      </c>
      <c r="F891" s="7">
        <v>13.53</v>
      </c>
      <c r="G891" s="7">
        <v>1</v>
      </c>
      <c r="H891" s="7">
        <v>746.9</v>
      </c>
      <c r="I891" s="7">
        <v>0</v>
      </c>
    </row>
    <row r="892" spans="1:9" x14ac:dyDescent="0.2">
      <c r="A892" s="7">
        <v>101534</v>
      </c>
      <c r="B892" s="7">
        <v>1.6892047033554101E-2</v>
      </c>
      <c r="C892" s="7">
        <v>5.3944556304700297E-2</v>
      </c>
      <c r="D892" s="7">
        <v>18000</v>
      </c>
      <c r="E892" s="7" t="s">
        <v>5</v>
      </c>
      <c r="F892" s="7">
        <v>15.31</v>
      </c>
      <c r="G892" s="7">
        <v>0</v>
      </c>
      <c r="H892" s="7">
        <v>21657.3597771194</v>
      </c>
      <c r="I892" s="7">
        <v>0</v>
      </c>
    </row>
    <row r="893" spans="1:9" x14ac:dyDescent="0.2">
      <c r="A893" s="7">
        <v>24303</v>
      </c>
      <c r="B893" s="7">
        <v>3.0526473677780198E-2</v>
      </c>
      <c r="C893" s="7">
        <v>7.4974238972806501E-2</v>
      </c>
      <c r="D893" s="7">
        <v>16000</v>
      </c>
      <c r="E893" s="7" t="s">
        <v>8</v>
      </c>
      <c r="F893" s="7">
        <v>11.99</v>
      </c>
      <c r="G893" s="7">
        <v>0</v>
      </c>
      <c r="H893" s="7">
        <v>18805.77</v>
      </c>
      <c r="I893" s="7">
        <v>0</v>
      </c>
    </row>
    <row r="894" spans="1:9" x14ac:dyDescent="0.2">
      <c r="A894" s="7">
        <v>111415</v>
      </c>
      <c r="B894" s="7">
        <v>3.7072779076475201E-2</v>
      </c>
      <c r="C894" s="7">
        <v>5.3944556304700297E-2</v>
      </c>
      <c r="D894" s="7">
        <v>23275</v>
      </c>
      <c r="E894" s="7" t="s">
        <v>5</v>
      </c>
      <c r="F894" s="7">
        <v>14.33</v>
      </c>
      <c r="G894" s="7">
        <v>0</v>
      </c>
      <c r="H894" s="7">
        <v>28771.9153442266</v>
      </c>
      <c r="I894" s="7">
        <v>0</v>
      </c>
    </row>
    <row r="895" spans="1:9" x14ac:dyDescent="0.2">
      <c r="A895" s="7">
        <v>93927</v>
      </c>
      <c r="B895" s="7">
        <v>6.2252489067204597E-2</v>
      </c>
      <c r="C895" s="7">
        <v>5.3944556304700297E-2</v>
      </c>
      <c r="D895" s="7">
        <v>35000</v>
      </c>
      <c r="E895" s="7" t="s">
        <v>5</v>
      </c>
      <c r="F895" s="7">
        <v>16.29</v>
      </c>
      <c r="G895" s="7">
        <v>0</v>
      </c>
      <c r="H895" s="7">
        <v>44438.862190104002</v>
      </c>
      <c r="I895" s="7">
        <v>0</v>
      </c>
    </row>
    <row r="896" spans="1:9" x14ac:dyDescent="0.2">
      <c r="A896" s="7">
        <v>118044</v>
      </c>
      <c r="B896" s="7">
        <v>2.6223818972102599E-2</v>
      </c>
      <c r="C896" s="7">
        <v>8.4798680815203503E-2</v>
      </c>
      <c r="D896" s="7">
        <v>19750</v>
      </c>
      <c r="E896" s="7" t="s">
        <v>8</v>
      </c>
      <c r="F896" s="7">
        <v>14.09</v>
      </c>
      <c r="G896" s="7">
        <v>0</v>
      </c>
      <c r="H896" s="7">
        <v>24331.316327746499</v>
      </c>
      <c r="I896" s="7">
        <v>0</v>
      </c>
    </row>
    <row r="897" spans="1:9" x14ac:dyDescent="0.2">
      <c r="A897" s="7">
        <v>79703</v>
      </c>
      <c r="B897" s="7">
        <v>3.5247671141020502E-2</v>
      </c>
      <c r="C897" s="7">
        <v>8.1509172207196695E-2</v>
      </c>
      <c r="D897" s="7">
        <v>11625</v>
      </c>
      <c r="E897" s="7" t="s">
        <v>5</v>
      </c>
      <c r="F897" s="7">
        <v>15.31</v>
      </c>
      <c r="G897" s="7">
        <v>0</v>
      </c>
      <c r="H897" s="7">
        <v>14264.0399997361</v>
      </c>
      <c r="I897" s="7">
        <v>0</v>
      </c>
    </row>
    <row r="898" spans="1:9" x14ac:dyDescent="0.2">
      <c r="A898" s="7">
        <v>73591</v>
      </c>
      <c r="B898" s="7">
        <v>3.2743072139765697E-2</v>
      </c>
      <c r="C898" s="7">
        <v>7.4974238972806501E-2</v>
      </c>
      <c r="D898" s="7">
        <v>14000</v>
      </c>
      <c r="E898" s="7" t="s">
        <v>8</v>
      </c>
      <c r="F898" s="7">
        <v>12.12</v>
      </c>
      <c r="G898" s="7">
        <v>0</v>
      </c>
      <c r="H898" s="7">
        <v>14917.496630273299</v>
      </c>
      <c r="I898" s="7">
        <v>0</v>
      </c>
    </row>
    <row r="899" spans="1:9" x14ac:dyDescent="0.2">
      <c r="A899" s="7">
        <v>29643</v>
      </c>
      <c r="B899" s="7">
        <v>3.0724055059079401E-2</v>
      </c>
      <c r="C899" s="7">
        <v>7.7054178620260594E-2</v>
      </c>
      <c r="D899" s="7">
        <v>12375</v>
      </c>
      <c r="E899" s="7" t="s">
        <v>5</v>
      </c>
      <c r="F899" s="7">
        <v>15.22</v>
      </c>
      <c r="G899" s="7">
        <v>1</v>
      </c>
      <c r="H899" s="7">
        <v>8986.26</v>
      </c>
      <c r="I899" s="7">
        <v>1241.5999999999999</v>
      </c>
    </row>
    <row r="900" spans="1:9" x14ac:dyDescent="0.2">
      <c r="A900" s="7">
        <v>97717</v>
      </c>
      <c r="B900" s="7">
        <v>2.38930257375723E-2</v>
      </c>
      <c r="C900" s="7">
        <v>7.4974238972806501E-2</v>
      </c>
      <c r="D900" s="7">
        <v>10000</v>
      </c>
      <c r="E900" s="7" t="s">
        <v>8</v>
      </c>
      <c r="F900" s="7">
        <v>12.12</v>
      </c>
      <c r="G900" s="7">
        <v>0</v>
      </c>
      <c r="H900" s="7">
        <v>11846.9056257663</v>
      </c>
      <c r="I900" s="7">
        <v>0</v>
      </c>
    </row>
    <row r="901" spans="1:9" x14ac:dyDescent="0.2">
      <c r="A901" s="7">
        <v>45004</v>
      </c>
      <c r="B901" s="7">
        <v>3.6545476929846103E-2</v>
      </c>
      <c r="C901" s="7">
        <v>5.3944556304700297E-2</v>
      </c>
      <c r="D901" s="7">
        <v>21000</v>
      </c>
      <c r="E901" s="7" t="s">
        <v>4</v>
      </c>
      <c r="F901" s="7">
        <v>6.62</v>
      </c>
      <c r="G901" s="7">
        <v>0</v>
      </c>
      <c r="H901" s="7">
        <v>22587.990004436801</v>
      </c>
      <c r="I901" s="7">
        <v>0</v>
      </c>
    </row>
    <row r="902" spans="1:9" x14ac:dyDescent="0.2">
      <c r="A902" s="7">
        <v>90969</v>
      </c>
      <c r="B902" s="7">
        <v>3.6018332986213597E-2</v>
      </c>
      <c r="C902" s="7">
        <v>7.7054178620260594E-2</v>
      </c>
      <c r="D902" s="7">
        <v>15000</v>
      </c>
      <c r="E902" s="7" t="s">
        <v>8</v>
      </c>
      <c r="F902" s="7">
        <v>12.12</v>
      </c>
      <c r="G902" s="7">
        <v>1</v>
      </c>
      <c r="H902" s="7">
        <v>4576.18</v>
      </c>
      <c r="I902" s="7">
        <v>1082.6199999999999</v>
      </c>
    </row>
    <row r="903" spans="1:9" x14ac:dyDescent="0.2">
      <c r="A903" s="7">
        <v>68438</v>
      </c>
      <c r="B903" s="7">
        <v>3.8611513532163903E-2</v>
      </c>
      <c r="C903" s="7">
        <v>5.3944556304700297E-2</v>
      </c>
      <c r="D903" s="7">
        <v>17175</v>
      </c>
      <c r="E903" s="7" t="s">
        <v>8</v>
      </c>
      <c r="F903" s="7">
        <v>13.11</v>
      </c>
      <c r="G903" s="7">
        <v>0</v>
      </c>
      <c r="H903" s="7">
        <v>20322.200011012301</v>
      </c>
      <c r="I903" s="7">
        <v>0</v>
      </c>
    </row>
    <row r="904" spans="1:9" x14ac:dyDescent="0.2">
      <c r="A904" s="7">
        <v>40747</v>
      </c>
      <c r="B904" s="7">
        <v>3.2880639692164002E-3</v>
      </c>
      <c r="C904" s="7">
        <v>7.7054178620260594E-2</v>
      </c>
      <c r="D904" s="7">
        <v>16000</v>
      </c>
      <c r="E904" s="7" t="s">
        <v>6</v>
      </c>
      <c r="F904" s="7">
        <v>17.559999999999999</v>
      </c>
      <c r="G904" s="7">
        <v>0</v>
      </c>
      <c r="H904" s="7">
        <v>17587.289821390099</v>
      </c>
      <c r="I904" s="7">
        <v>0</v>
      </c>
    </row>
    <row r="905" spans="1:9" x14ac:dyDescent="0.2">
      <c r="A905" s="7">
        <v>118125</v>
      </c>
      <c r="B905" s="7">
        <v>4.0077212096272401E-2</v>
      </c>
      <c r="C905" s="7">
        <v>8.4798680815203503E-2</v>
      </c>
      <c r="D905" s="7">
        <v>15000</v>
      </c>
      <c r="E905" s="7" t="s">
        <v>7</v>
      </c>
      <c r="F905" s="7">
        <v>21.49</v>
      </c>
      <c r="G905" s="7">
        <v>1</v>
      </c>
      <c r="H905" s="7">
        <v>17263.93</v>
      </c>
      <c r="I905" s="7">
        <v>674.4</v>
      </c>
    </row>
    <row r="906" spans="1:9" x14ac:dyDescent="0.2">
      <c r="A906" s="7">
        <v>39979</v>
      </c>
      <c r="B906" s="7">
        <v>3.3217589234516003E-2</v>
      </c>
      <c r="C906" s="7">
        <v>8.1509172207196695E-2</v>
      </c>
      <c r="D906" s="7">
        <v>5000</v>
      </c>
      <c r="E906" s="7" t="s">
        <v>6</v>
      </c>
      <c r="F906" s="7">
        <v>20.309999999999999</v>
      </c>
      <c r="G906" s="7">
        <v>0</v>
      </c>
      <c r="H906" s="7">
        <v>5084.63</v>
      </c>
      <c r="I906" s="7">
        <v>0</v>
      </c>
    </row>
    <row r="907" spans="1:9" x14ac:dyDescent="0.2">
      <c r="A907" s="7">
        <v>17968</v>
      </c>
      <c r="B907" s="7">
        <v>7.3937597825702098E-4</v>
      </c>
      <c r="C907" s="7">
        <v>8.4798680815203503E-2</v>
      </c>
      <c r="D907" s="7">
        <v>26375</v>
      </c>
      <c r="E907" s="7" t="s">
        <v>6</v>
      </c>
      <c r="F907" s="7">
        <v>19.52</v>
      </c>
      <c r="G907" s="7">
        <v>1</v>
      </c>
      <c r="H907" s="7">
        <v>6373.46</v>
      </c>
      <c r="I907" s="7">
        <v>3606.62</v>
      </c>
    </row>
    <row r="908" spans="1:9" x14ac:dyDescent="0.2">
      <c r="A908" s="7">
        <v>17726</v>
      </c>
      <c r="B908" s="7">
        <v>3.2458065926119002E-2</v>
      </c>
      <c r="C908" s="7">
        <v>8.4798680815203503E-2</v>
      </c>
      <c r="D908" s="7">
        <v>28000</v>
      </c>
      <c r="E908" s="7" t="s">
        <v>8</v>
      </c>
      <c r="F908" s="7">
        <v>13.67</v>
      </c>
      <c r="G908" s="7">
        <v>0</v>
      </c>
      <c r="H908" s="7">
        <v>33667.050000000003</v>
      </c>
      <c r="I908" s="7">
        <v>0</v>
      </c>
    </row>
    <row r="909" spans="1:9" x14ac:dyDescent="0.2">
      <c r="A909" s="7">
        <v>115376</v>
      </c>
      <c r="B909" s="7">
        <v>2.7132102174553099E-2</v>
      </c>
      <c r="C909" s="7">
        <v>7.4974238972806501E-2</v>
      </c>
      <c r="D909" s="7">
        <v>13025</v>
      </c>
      <c r="E909" s="7" t="s">
        <v>8</v>
      </c>
      <c r="F909" s="7">
        <v>11.14</v>
      </c>
      <c r="G909" s="7">
        <v>0</v>
      </c>
      <c r="H909" s="7">
        <v>14451.163416933299</v>
      </c>
      <c r="I909" s="7">
        <v>0</v>
      </c>
    </row>
    <row r="910" spans="1:9" x14ac:dyDescent="0.2">
      <c r="A910" s="7">
        <v>88890</v>
      </c>
      <c r="B910" s="7">
        <v>2.4439814024060799E-2</v>
      </c>
      <c r="C910" s="7">
        <v>7.4974238972806501E-2</v>
      </c>
      <c r="D910" s="7">
        <v>10000</v>
      </c>
      <c r="E910" s="7" t="s">
        <v>8</v>
      </c>
      <c r="F910" s="7">
        <v>11.14</v>
      </c>
      <c r="G910" s="7">
        <v>0</v>
      </c>
      <c r="H910" s="7">
        <v>11417.7165547242</v>
      </c>
      <c r="I910" s="7">
        <v>0</v>
      </c>
    </row>
    <row r="911" spans="1:9" x14ac:dyDescent="0.2">
      <c r="A911" s="7">
        <v>48817</v>
      </c>
      <c r="B911" s="7">
        <v>3.0792350126613601E-2</v>
      </c>
      <c r="C911" s="7">
        <v>8.1509172207196695E-2</v>
      </c>
      <c r="D911" s="7">
        <v>9125</v>
      </c>
      <c r="E911" s="7" t="s">
        <v>5</v>
      </c>
      <c r="F911" s="7">
        <v>15.31</v>
      </c>
      <c r="G911" s="7">
        <v>0</v>
      </c>
      <c r="H911" s="7">
        <v>11437.4751869067</v>
      </c>
      <c r="I911" s="7">
        <v>0</v>
      </c>
    </row>
    <row r="912" spans="1:9" x14ac:dyDescent="0.2">
      <c r="A912" s="7">
        <v>133947</v>
      </c>
      <c r="B912" s="7">
        <v>2.7295604911617699E-2</v>
      </c>
      <c r="C912" s="7">
        <v>8.1509172207196695E-2</v>
      </c>
      <c r="D912" s="7">
        <v>6000</v>
      </c>
      <c r="E912" s="7" t="s">
        <v>4</v>
      </c>
      <c r="F912" s="7">
        <v>8.9</v>
      </c>
      <c r="G912" s="7">
        <v>0</v>
      </c>
      <c r="H912" s="7">
        <v>6858.6900437677004</v>
      </c>
      <c r="I912" s="7">
        <v>0</v>
      </c>
    </row>
    <row r="913" spans="1:9" x14ac:dyDescent="0.2">
      <c r="A913" s="7">
        <v>122716</v>
      </c>
      <c r="B913" s="7">
        <v>3.9840734648824198E-2</v>
      </c>
      <c r="C913" s="7">
        <v>5.3944556304700297E-2</v>
      </c>
      <c r="D913" s="7">
        <v>21000</v>
      </c>
      <c r="E913" s="7" t="s">
        <v>8</v>
      </c>
      <c r="F913" s="7">
        <v>13.11</v>
      </c>
      <c r="G913" s="7">
        <v>0</v>
      </c>
      <c r="H913" s="7">
        <v>24405.790699221201</v>
      </c>
      <c r="I913" s="7">
        <v>0</v>
      </c>
    </row>
    <row r="914" spans="1:9" x14ac:dyDescent="0.2">
      <c r="A914" s="7">
        <v>92633</v>
      </c>
      <c r="B914" s="7">
        <v>1.6516025889085802E-2</v>
      </c>
      <c r="C914" s="7">
        <v>8.4798680815203503E-2</v>
      </c>
      <c r="D914" s="7">
        <v>35000</v>
      </c>
      <c r="E914" s="7" t="s">
        <v>6</v>
      </c>
      <c r="F914" s="7">
        <v>19.72</v>
      </c>
      <c r="G914" s="7">
        <v>0</v>
      </c>
      <c r="H914" s="7">
        <v>51770.619991613399</v>
      </c>
      <c r="I914" s="7">
        <v>0</v>
      </c>
    </row>
    <row r="915" spans="1:9" x14ac:dyDescent="0.2">
      <c r="A915" s="7">
        <v>42857</v>
      </c>
      <c r="B915" s="7">
        <v>2.3433172263324201E-2</v>
      </c>
      <c r="C915" s="7">
        <v>8.1509172207196695E-2</v>
      </c>
      <c r="D915" s="7">
        <v>8400</v>
      </c>
      <c r="E915" s="7" t="s">
        <v>8</v>
      </c>
      <c r="F915" s="7">
        <v>9.7100000000000009</v>
      </c>
      <c r="G915" s="7">
        <v>0</v>
      </c>
      <c r="H915" s="7">
        <v>9050.7563845599998</v>
      </c>
      <c r="I915" s="7">
        <v>0</v>
      </c>
    </row>
    <row r="916" spans="1:9" x14ac:dyDescent="0.2">
      <c r="A916" s="7">
        <v>58838</v>
      </c>
      <c r="B916" s="7">
        <v>3.43208452328383E-2</v>
      </c>
      <c r="C916" s="7">
        <v>7.4974238972806501E-2</v>
      </c>
      <c r="D916" s="7">
        <v>6000</v>
      </c>
      <c r="E916" s="7" t="s">
        <v>5</v>
      </c>
      <c r="F916" s="7">
        <v>14.33</v>
      </c>
      <c r="G916" s="7">
        <v>1</v>
      </c>
      <c r="H916" s="7">
        <v>3998.67</v>
      </c>
      <c r="I916" s="7">
        <v>496.16</v>
      </c>
    </row>
    <row r="917" spans="1:9" x14ac:dyDescent="0.2">
      <c r="A917" s="7">
        <v>113281</v>
      </c>
      <c r="B917" s="7">
        <v>-6.28593237344598E-3</v>
      </c>
      <c r="C917" s="7">
        <v>8.4798680815203503E-2</v>
      </c>
      <c r="D917" s="7">
        <v>17000</v>
      </c>
      <c r="E917" s="7" t="s">
        <v>7</v>
      </c>
      <c r="F917" s="7">
        <v>21.49</v>
      </c>
      <c r="G917" s="7">
        <v>1</v>
      </c>
      <c r="H917" s="7">
        <v>12615.73</v>
      </c>
      <c r="I917" s="7">
        <v>1812.43</v>
      </c>
    </row>
    <row r="918" spans="1:9" x14ac:dyDescent="0.2">
      <c r="A918" s="7">
        <v>83994</v>
      </c>
      <c r="B918" s="7">
        <v>1.79945442114351E-2</v>
      </c>
      <c r="C918" s="7">
        <v>7.4974238972806501E-2</v>
      </c>
      <c r="D918" s="7">
        <v>10000</v>
      </c>
      <c r="E918" s="7" t="s">
        <v>4</v>
      </c>
      <c r="F918" s="7">
        <v>8.9</v>
      </c>
      <c r="G918" s="7">
        <v>0</v>
      </c>
      <c r="H918" s="7">
        <v>11292.170000002199</v>
      </c>
      <c r="I918" s="7">
        <v>0</v>
      </c>
    </row>
    <row r="919" spans="1:9" x14ac:dyDescent="0.2">
      <c r="A919" s="7">
        <v>55789</v>
      </c>
      <c r="B919" s="7">
        <v>2.68625448910184E-2</v>
      </c>
      <c r="C919" s="7">
        <v>7.4974238972806501E-2</v>
      </c>
      <c r="D919" s="7">
        <v>9000</v>
      </c>
      <c r="E919" s="7" t="s">
        <v>8</v>
      </c>
      <c r="F919" s="7">
        <v>14.09</v>
      </c>
      <c r="G919" s="7">
        <v>0</v>
      </c>
      <c r="H919" s="7">
        <v>10744.5600029662</v>
      </c>
      <c r="I919" s="7">
        <v>0</v>
      </c>
    </row>
    <row r="920" spans="1:9" x14ac:dyDescent="0.2">
      <c r="A920" s="7">
        <v>94589</v>
      </c>
      <c r="B920" s="7">
        <v>4.4611475905524098E-2</v>
      </c>
      <c r="C920" s="7">
        <v>7.7054178620260594E-2</v>
      </c>
      <c r="D920" s="7">
        <v>2650</v>
      </c>
      <c r="E920" s="7" t="s">
        <v>5</v>
      </c>
      <c r="F920" s="7">
        <v>17.27</v>
      </c>
      <c r="G920" s="7">
        <v>0</v>
      </c>
      <c r="H920" s="7">
        <v>3414.0626072262999</v>
      </c>
      <c r="I920" s="7">
        <v>0</v>
      </c>
    </row>
    <row r="921" spans="1:9" x14ac:dyDescent="0.2">
      <c r="A921" s="7">
        <v>58590</v>
      </c>
      <c r="B921" s="7">
        <v>3.3611714157355303E-2</v>
      </c>
      <c r="C921" s="7">
        <v>8.4798680815203503E-2</v>
      </c>
      <c r="D921" s="7">
        <v>28000</v>
      </c>
      <c r="E921" s="7" t="s">
        <v>5</v>
      </c>
      <c r="F921" s="7">
        <v>14.33</v>
      </c>
      <c r="G921" s="7">
        <v>0</v>
      </c>
      <c r="H921" s="7">
        <v>31966.0189284833</v>
      </c>
      <c r="I921" s="7">
        <v>0</v>
      </c>
    </row>
    <row r="922" spans="1:9" x14ac:dyDescent="0.2">
      <c r="A922" s="7">
        <v>44005</v>
      </c>
      <c r="B922" s="7">
        <v>2.8694266414422701E-2</v>
      </c>
      <c r="C922" s="7">
        <v>5.3944556304700297E-2</v>
      </c>
      <c r="D922" s="7">
        <v>19000</v>
      </c>
      <c r="E922" s="7" t="s">
        <v>4</v>
      </c>
      <c r="F922" s="7">
        <v>8.9</v>
      </c>
      <c r="G922" s="7">
        <v>1</v>
      </c>
      <c r="H922" s="7">
        <v>13657.16</v>
      </c>
      <c r="I922" s="7">
        <v>1595.31</v>
      </c>
    </row>
    <row r="923" spans="1:9" x14ac:dyDescent="0.2">
      <c r="A923" s="7">
        <v>11387</v>
      </c>
      <c r="B923" s="7">
        <v>2.4849342270055499E-2</v>
      </c>
      <c r="C923" s="7">
        <v>7.7054178620260594E-2</v>
      </c>
      <c r="D923" s="7">
        <v>1100</v>
      </c>
      <c r="E923" s="7" t="s">
        <v>8</v>
      </c>
      <c r="F923" s="7">
        <v>9.67</v>
      </c>
      <c r="G923" s="7">
        <v>0</v>
      </c>
      <c r="H923" s="7">
        <v>1212.6900000113001</v>
      </c>
      <c r="I923" s="7">
        <v>0</v>
      </c>
    </row>
    <row r="924" spans="1:9" x14ac:dyDescent="0.2">
      <c r="A924" s="7">
        <v>86384</v>
      </c>
      <c r="B924" s="7">
        <v>3.23775431723363E-2</v>
      </c>
      <c r="C924" s="7">
        <v>8.1509172207196695E-2</v>
      </c>
      <c r="D924" s="7">
        <v>11200</v>
      </c>
      <c r="E924" s="7" t="s">
        <v>5</v>
      </c>
      <c r="F924" s="7">
        <v>14.33</v>
      </c>
      <c r="G924" s="7">
        <v>0</v>
      </c>
      <c r="H924" s="7">
        <v>13730.5400010129</v>
      </c>
      <c r="I924" s="7">
        <v>0</v>
      </c>
    </row>
    <row r="925" spans="1:9" x14ac:dyDescent="0.2">
      <c r="A925" s="7">
        <v>114983</v>
      </c>
      <c r="B925" s="7">
        <v>2.4895416637484E-2</v>
      </c>
      <c r="C925" s="7">
        <v>5.3944556304700297E-2</v>
      </c>
      <c r="D925" s="7">
        <v>16000</v>
      </c>
      <c r="E925" s="7" t="s">
        <v>4</v>
      </c>
      <c r="F925" s="7">
        <v>7.9</v>
      </c>
      <c r="G925" s="7">
        <v>0</v>
      </c>
      <c r="H925" s="7">
        <v>16500.499938797999</v>
      </c>
      <c r="I925" s="7">
        <v>0</v>
      </c>
    </row>
    <row r="926" spans="1:9" x14ac:dyDescent="0.2">
      <c r="A926" s="7">
        <v>32661</v>
      </c>
      <c r="B926" s="7">
        <v>4.0694488821227802E-2</v>
      </c>
      <c r="C926" s="7">
        <v>5.3944556304700297E-2</v>
      </c>
      <c r="D926" s="7">
        <v>25000</v>
      </c>
      <c r="E926" s="7" t="s">
        <v>4</v>
      </c>
      <c r="F926" s="7">
        <v>8.9</v>
      </c>
      <c r="G926" s="7">
        <v>0</v>
      </c>
      <c r="H926" s="7">
        <v>28192.740000003902</v>
      </c>
      <c r="I926" s="7">
        <v>0</v>
      </c>
    </row>
    <row r="927" spans="1:9" x14ac:dyDescent="0.2">
      <c r="A927" s="7">
        <v>8223</v>
      </c>
      <c r="B927" s="7">
        <v>1.2482525465962201E-2</v>
      </c>
      <c r="C927" s="7">
        <v>5.3944556304700297E-2</v>
      </c>
      <c r="D927" s="7">
        <v>14000</v>
      </c>
      <c r="E927" s="7" t="s">
        <v>5</v>
      </c>
      <c r="F927" s="7">
        <v>15.1</v>
      </c>
      <c r="G927" s="7">
        <v>0</v>
      </c>
      <c r="H927" s="7">
        <v>15352.38</v>
      </c>
      <c r="I927" s="7">
        <v>0</v>
      </c>
    </row>
    <row r="928" spans="1:9" x14ac:dyDescent="0.2">
      <c r="A928" s="7">
        <v>117171</v>
      </c>
      <c r="B928" s="7">
        <v>2.2453786108944999E-2</v>
      </c>
      <c r="C928" s="7">
        <v>8.1509172207196695E-2</v>
      </c>
      <c r="D928" s="7">
        <v>3250</v>
      </c>
      <c r="E928" s="7" t="s">
        <v>8</v>
      </c>
      <c r="F928" s="7">
        <v>11.14</v>
      </c>
      <c r="G928" s="7">
        <v>0</v>
      </c>
      <c r="H928" s="7">
        <v>3838.1682850787001</v>
      </c>
      <c r="I928" s="7">
        <v>0</v>
      </c>
    </row>
    <row r="929" spans="1:9" x14ac:dyDescent="0.2">
      <c r="A929" s="7">
        <v>82791</v>
      </c>
      <c r="B929" s="7">
        <v>3.0498803550205799E-2</v>
      </c>
      <c r="C929" s="7">
        <v>7.4974238972806501E-2</v>
      </c>
      <c r="D929" s="7">
        <v>14400</v>
      </c>
      <c r="E929" s="7" t="s">
        <v>8</v>
      </c>
      <c r="F929" s="7">
        <v>14.09</v>
      </c>
      <c r="G929" s="7">
        <v>0</v>
      </c>
      <c r="H929" s="7">
        <v>17651.429993498601</v>
      </c>
      <c r="I929" s="7">
        <v>0</v>
      </c>
    </row>
    <row r="930" spans="1:9" x14ac:dyDescent="0.2">
      <c r="A930" s="7">
        <v>13863</v>
      </c>
      <c r="B930" s="7">
        <v>7.5146382134624998E-4</v>
      </c>
      <c r="C930" s="7">
        <v>7.4974238972806501E-2</v>
      </c>
      <c r="D930" s="7">
        <v>13475</v>
      </c>
      <c r="E930" s="7" t="s">
        <v>7</v>
      </c>
      <c r="F930" s="7">
        <v>23.4</v>
      </c>
      <c r="G930" s="7">
        <v>0</v>
      </c>
      <c r="H930" s="7">
        <v>15991.002457471801</v>
      </c>
      <c r="I930" s="7">
        <v>0</v>
      </c>
    </row>
    <row r="931" spans="1:9" x14ac:dyDescent="0.2">
      <c r="A931" s="7">
        <v>42055</v>
      </c>
      <c r="B931" s="7">
        <v>4.85300890288392E-2</v>
      </c>
      <c r="C931" s="7">
        <v>5.3944556304700297E-2</v>
      </c>
      <c r="D931" s="7">
        <v>28000</v>
      </c>
      <c r="E931" s="7" t="s">
        <v>8</v>
      </c>
      <c r="F931" s="7">
        <v>9.7100000000000009</v>
      </c>
      <c r="G931" s="7">
        <v>0</v>
      </c>
      <c r="H931" s="7">
        <v>32375.249964567902</v>
      </c>
      <c r="I931" s="7">
        <v>0</v>
      </c>
    </row>
    <row r="932" spans="1:9" x14ac:dyDescent="0.2">
      <c r="A932" s="7">
        <v>136263</v>
      </c>
      <c r="B932" s="7">
        <v>3.4572111211745603E-2</v>
      </c>
      <c r="C932" s="7">
        <v>8.1509172207196695E-2</v>
      </c>
      <c r="D932" s="7">
        <v>15000</v>
      </c>
      <c r="E932" s="7" t="s">
        <v>5</v>
      </c>
      <c r="F932" s="7">
        <v>16.29</v>
      </c>
      <c r="G932" s="7">
        <v>1</v>
      </c>
      <c r="H932" s="7">
        <v>13063.78</v>
      </c>
      <c r="I932" s="7">
        <v>896.6</v>
      </c>
    </row>
    <row r="933" spans="1:9" x14ac:dyDescent="0.2">
      <c r="A933" s="7">
        <v>119743</v>
      </c>
      <c r="B933" s="7">
        <v>2.7991750456570898E-2</v>
      </c>
      <c r="C933" s="7">
        <v>7.4974238972806501E-2</v>
      </c>
      <c r="D933" s="7">
        <v>8000</v>
      </c>
      <c r="E933" s="7" t="s">
        <v>5</v>
      </c>
      <c r="F933" s="7">
        <v>15.31</v>
      </c>
      <c r="G933" s="7">
        <v>0</v>
      </c>
      <c r="H933" s="7">
        <v>10027.378063301399</v>
      </c>
      <c r="I933" s="7">
        <v>0</v>
      </c>
    </row>
    <row r="934" spans="1:9" x14ac:dyDescent="0.2">
      <c r="A934" s="7">
        <v>101265</v>
      </c>
      <c r="B934" s="7">
        <v>7.5908489404961704E-3</v>
      </c>
      <c r="C934" s="7">
        <v>8.4798680815203503E-2</v>
      </c>
      <c r="D934" s="7">
        <v>35000</v>
      </c>
      <c r="E934" s="7" t="s">
        <v>7</v>
      </c>
      <c r="F934" s="7">
        <v>21</v>
      </c>
      <c r="G934" s="7">
        <v>0</v>
      </c>
      <c r="H934" s="7">
        <v>46486.102842205102</v>
      </c>
      <c r="I934" s="7">
        <v>0</v>
      </c>
    </row>
    <row r="935" spans="1:9" x14ac:dyDescent="0.2">
      <c r="A935" s="7">
        <v>102239</v>
      </c>
      <c r="B935" s="7">
        <v>2.8644601341302998E-2</v>
      </c>
      <c r="C935" s="7">
        <v>7.4974238972806501E-2</v>
      </c>
      <c r="D935" s="7">
        <v>9600</v>
      </c>
      <c r="E935" s="7" t="s">
        <v>8</v>
      </c>
      <c r="F935" s="7">
        <v>13.11</v>
      </c>
      <c r="G935" s="7">
        <v>0</v>
      </c>
      <c r="H935" s="7">
        <v>10769.6740740153</v>
      </c>
      <c r="I935" s="7">
        <v>0</v>
      </c>
    </row>
    <row r="936" spans="1:9" x14ac:dyDescent="0.2">
      <c r="A936" s="7">
        <v>129063</v>
      </c>
      <c r="B936" s="7">
        <v>4.4076460482569801E-2</v>
      </c>
      <c r="C936" s="7">
        <v>5.3944556304700297E-2</v>
      </c>
      <c r="D936" s="7">
        <v>30000</v>
      </c>
      <c r="E936" s="7" t="s">
        <v>5</v>
      </c>
      <c r="F936" s="7">
        <v>14.65</v>
      </c>
      <c r="G936" s="7">
        <v>0</v>
      </c>
      <c r="H936" s="7">
        <v>37253.679986218303</v>
      </c>
      <c r="I936" s="7">
        <v>0</v>
      </c>
    </row>
    <row r="937" spans="1:9" x14ac:dyDescent="0.2">
      <c r="A937" s="7">
        <v>26579</v>
      </c>
      <c r="B937" s="7">
        <v>1.6468532685748401E-3</v>
      </c>
      <c r="C937" s="7">
        <v>7.4974238972806501E-2</v>
      </c>
      <c r="D937" s="7">
        <v>14000</v>
      </c>
      <c r="E937" s="7" t="s">
        <v>5</v>
      </c>
      <c r="F937" s="7">
        <v>15.61</v>
      </c>
      <c r="G937" s="7">
        <v>1</v>
      </c>
      <c r="H937" s="7">
        <v>8986.44</v>
      </c>
      <c r="I937" s="7">
        <v>2235.84</v>
      </c>
    </row>
    <row r="938" spans="1:9" x14ac:dyDescent="0.2">
      <c r="A938" s="7">
        <v>115591</v>
      </c>
      <c r="B938" s="7">
        <v>1.6300678355504201E-2</v>
      </c>
      <c r="C938" s="7">
        <v>5.3944556304700297E-2</v>
      </c>
      <c r="D938" s="7">
        <v>35000</v>
      </c>
      <c r="E938" s="7" t="s">
        <v>8</v>
      </c>
      <c r="F938" s="7">
        <v>10.16</v>
      </c>
      <c r="G938" s="7">
        <v>0</v>
      </c>
      <c r="H938" s="7">
        <v>40751.327757175502</v>
      </c>
      <c r="I938" s="7">
        <v>0</v>
      </c>
    </row>
    <row r="939" spans="1:9" x14ac:dyDescent="0.2">
      <c r="A939" s="7">
        <v>25560</v>
      </c>
      <c r="B939" s="7">
        <v>4.2216152593593799E-2</v>
      </c>
      <c r="C939" s="7">
        <v>5.3944556304700297E-2</v>
      </c>
      <c r="D939" s="7">
        <v>28000</v>
      </c>
      <c r="E939" s="7" t="s">
        <v>8</v>
      </c>
      <c r="F939" s="7">
        <v>12.99</v>
      </c>
      <c r="G939" s="7">
        <v>0</v>
      </c>
      <c r="H939" s="7">
        <v>29174.819084331401</v>
      </c>
      <c r="I939" s="7">
        <v>0</v>
      </c>
    </row>
    <row r="940" spans="1:9" x14ac:dyDescent="0.2">
      <c r="A940" s="7">
        <v>116026</v>
      </c>
      <c r="B940" s="7">
        <v>1.2978335119264901E-2</v>
      </c>
      <c r="C940" s="7">
        <v>7.4974238972806501E-2</v>
      </c>
      <c r="D940" s="7">
        <v>6075</v>
      </c>
      <c r="E940" s="7" t="s">
        <v>4</v>
      </c>
      <c r="F940" s="7">
        <v>7.9</v>
      </c>
      <c r="G940" s="7">
        <v>0</v>
      </c>
      <c r="H940" s="7">
        <v>6811.3799985282003</v>
      </c>
      <c r="I940" s="7">
        <v>0</v>
      </c>
    </row>
    <row r="941" spans="1:9" x14ac:dyDescent="0.2">
      <c r="A941" s="7">
        <v>82464</v>
      </c>
      <c r="B941" s="7">
        <v>3.6217388998782803E-2</v>
      </c>
      <c r="C941" s="7">
        <v>7.4974238972806501E-2</v>
      </c>
      <c r="D941" s="7">
        <v>8400</v>
      </c>
      <c r="E941" s="7" t="s">
        <v>5</v>
      </c>
      <c r="F941" s="7">
        <v>15.31</v>
      </c>
      <c r="G941" s="7">
        <v>0</v>
      </c>
      <c r="H941" s="7">
        <v>8912.2013667107003</v>
      </c>
      <c r="I941" s="7">
        <v>0</v>
      </c>
    </row>
    <row r="942" spans="1:9" x14ac:dyDescent="0.2">
      <c r="A942" s="7">
        <v>97267</v>
      </c>
      <c r="B942" s="7">
        <v>3.9822212557449103E-2</v>
      </c>
      <c r="C942" s="7">
        <v>7.4974238972806501E-2</v>
      </c>
      <c r="D942" s="7">
        <v>7000</v>
      </c>
      <c r="E942" s="7" t="s">
        <v>8</v>
      </c>
      <c r="F942" s="7">
        <v>11.14</v>
      </c>
      <c r="G942" s="7">
        <v>0</v>
      </c>
      <c r="H942" s="7">
        <v>8219.3429715983002</v>
      </c>
      <c r="I942" s="7">
        <v>0</v>
      </c>
    </row>
    <row r="943" spans="1:9" x14ac:dyDescent="0.2">
      <c r="A943" s="7">
        <v>2455</v>
      </c>
      <c r="B943" s="7">
        <v>-4.7561682616937299E-3</v>
      </c>
      <c r="C943" s="7">
        <v>8.4798680815203503E-2</v>
      </c>
      <c r="D943" s="7">
        <v>18000</v>
      </c>
      <c r="E943" s="7" t="s">
        <v>5</v>
      </c>
      <c r="F943" s="7">
        <v>16.239999999999998</v>
      </c>
      <c r="G943" s="7">
        <v>1</v>
      </c>
      <c r="H943" s="7">
        <v>7920.28</v>
      </c>
      <c r="I943" s="7">
        <v>0</v>
      </c>
    </row>
    <row r="944" spans="1:9" x14ac:dyDescent="0.2">
      <c r="A944" s="7">
        <v>62959</v>
      </c>
      <c r="B944" s="7">
        <v>2.6545077875047801E-3</v>
      </c>
      <c r="C944" s="7">
        <v>8.4798680815203503E-2</v>
      </c>
      <c r="D944" s="7">
        <v>20000</v>
      </c>
      <c r="E944" s="7" t="s">
        <v>7</v>
      </c>
      <c r="F944" s="7">
        <v>21</v>
      </c>
      <c r="G944" s="7">
        <v>0</v>
      </c>
      <c r="H944" s="7">
        <v>25164.039935125598</v>
      </c>
      <c r="I944" s="7">
        <v>0</v>
      </c>
    </row>
    <row r="945" spans="1:9" x14ac:dyDescent="0.2">
      <c r="A945" s="7">
        <v>10200</v>
      </c>
      <c r="B945" s="7">
        <v>-4.1692125111609602E-3</v>
      </c>
      <c r="C945" s="7">
        <v>8.1509172207196695E-2</v>
      </c>
      <c r="D945" s="7">
        <v>10500</v>
      </c>
      <c r="E945" s="7" t="s">
        <v>6</v>
      </c>
      <c r="F945" s="7">
        <v>17.760000000000002</v>
      </c>
      <c r="G945" s="7">
        <v>1</v>
      </c>
      <c r="H945" s="7">
        <v>6917.76</v>
      </c>
      <c r="I945" s="7">
        <v>0</v>
      </c>
    </row>
    <row r="946" spans="1:9" x14ac:dyDescent="0.2">
      <c r="A946" s="7">
        <v>30662</v>
      </c>
      <c r="B946" s="7">
        <v>-2.5520683461366799E-3</v>
      </c>
      <c r="C946" s="7">
        <v>7.4974238972806501E-2</v>
      </c>
      <c r="D946" s="7">
        <v>6000</v>
      </c>
      <c r="E946" s="7" t="s">
        <v>10</v>
      </c>
      <c r="F946" s="7">
        <v>24.5</v>
      </c>
      <c r="G946" s="7">
        <v>1</v>
      </c>
      <c r="H946" s="7">
        <v>1534.75</v>
      </c>
      <c r="I946" s="7">
        <v>837.75</v>
      </c>
    </row>
    <row r="947" spans="1:9" x14ac:dyDescent="0.2">
      <c r="A947" s="7">
        <v>4921</v>
      </c>
      <c r="B947" s="7">
        <v>2.8716204087780299E-2</v>
      </c>
      <c r="C947" s="7">
        <v>8.4798680815203503E-2</v>
      </c>
      <c r="D947" s="7">
        <v>25000</v>
      </c>
      <c r="E947" s="7" t="s">
        <v>6</v>
      </c>
      <c r="F947" s="7">
        <v>16.989999999999998</v>
      </c>
      <c r="G947" s="7">
        <v>0</v>
      </c>
      <c r="H947" s="7">
        <v>29559.009984994998</v>
      </c>
      <c r="I947" s="7">
        <v>0</v>
      </c>
    </row>
    <row r="948" spans="1:9" x14ac:dyDescent="0.2">
      <c r="A948" s="7">
        <v>118302</v>
      </c>
      <c r="B948" s="7">
        <v>2.7022833591275601E-2</v>
      </c>
      <c r="C948" s="7">
        <v>8.1509172207196695E-2</v>
      </c>
      <c r="D948" s="7">
        <v>8875</v>
      </c>
      <c r="E948" s="7" t="s">
        <v>5</v>
      </c>
      <c r="F948" s="7">
        <v>14.33</v>
      </c>
      <c r="G948" s="7">
        <v>1</v>
      </c>
      <c r="H948" s="7">
        <v>8322.7900000000009</v>
      </c>
      <c r="I948" s="7">
        <v>405.15</v>
      </c>
    </row>
    <row r="949" spans="1:9" x14ac:dyDescent="0.2">
      <c r="A949" s="7">
        <v>36079</v>
      </c>
      <c r="B949" s="7">
        <v>3.2071537902108399E-2</v>
      </c>
      <c r="C949" s="7">
        <v>7.7054178620260594E-2</v>
      </c>
      <c r="D949" s="7">
        <v>15000</v>
      </c>
      <c r="E949" s="7" t="s">
        <v>5</v>
      </c>
      <c r="F949" s="7">
        <v>15.88</v>
      </c>
      <c r="G949" s="7">
        <v>0</v>
      </c>
      <c r="H949" s="7">
        <v>17863.380000572099</v>
      </c>
      <c r="I949" s="7">
        <v>0</v>
      </c>
    </row>
    <row r="950" spans="1:9" x14ac:dyDescent="0.2">
      <c r="A950" s="7">
        <v>38819</v>
      </c>
      <c r="B950" s="7">
        <v>3.4238025242866302E-2</v>
      </c>
      <c r="C950" s="7">
        <v>8.4798680815203503E-2</v>
      </c>
      <c r="D950" s="7">
        <v>35000</v>
      </c>
      <c r="E950" s="7" t="s">
        <v>6</v>
      </c>
      <c r="F950" s="7">
        <v>19.52</v>
      </c>
      <c r="G950" s="7">
        <v>1</v>
      </c>
      <c r="H950" s="7">
        <v>31374.91</v>
      </c>
      <c r="I950" s="7">
        <v>2947.09</v>
      </c>
    </row>
    <row r="951" spans="1:9" x14ac:dyDescent="0.2">
      <c r="A951" s="7">
        <v>77747</v>
      </c>
      <c r="B951" s="7">
        <v>2.8894491810610001E-2</v>
      </c>
      <c r="C951" s="7">
        <v>8.4798680815203503E-2</v>
      </c>
      <c r="D951" s="7">
        <v>26325</v>
      </c>
      <c r="E951" s="7" t="s">
        <v>8</v>
      </c>
      <c r="F951" s="7">
        <v>13.11</v>
      </c>
      <c r="G951" s="7">
        <v>0</v>
      </c>
      <c r="H951" s="7">
        <v>31907.1699810227</v>
      </c>
      <c r="I951" s="7">
        <v>0</v>
      </c>
    </row>
    <row r="952" spans="1:9" x14ac:dyDescent="0.2">
      <c r="A952" s="7">
        <v>110906</v>
      </c>
      <c r="B952" s="7">
        <v>3.2003001902886498E-2</v>
      </c>
      <c r="C952" s="7">
        <v>8.1509172207196695E-2</v>
      </c>
      <c r="D952" s="7">
        <v>16000</v>
      </c>
      <c r="E952" s="7" t="s">
        <v>6</v>
      </c>
      <c r="F952" s="7">
        <v>19.05</v>
      </c>
      <c r="G952" s="7">
        <v>0</v>
      </c>
      <c r="H952" s="7">
        <v>21128.3215111887</v>
      </c>
      <c r="I952" s="7">
        <v>0</v>
      </c>
    </row>
    <row r="953" spans="1:9" x14ac:dyDescent="0.2">
      <c r="A953" s="7">
        <v>61661</v>
      </c>
      <c r="B953" s="7">
        <v>2.4188347606297799E-2</v>
      </c>
      <c r="C953" s="7">
        <v>8.1509172207196695E-2</v>
      </c>
      <c r="D953" s="7">
        <v>10000</v>
      </c>
      <c r="E953" s="7" t="s">
        <v>8</v>
      </c>
      <c r="F953" s="7">
        <v>12.12</v>
      </c>
      <c r="G953" s="7">
        <v>0</v>
      </c>
      <c r="H953" s="7">
        <v>11977.770390896099</v>
      </c>
      <c r="I953" s="7">
        <v>0</v>
      </c>
    </row>
    <row r="954" spans="1:9" x14ac:dyDescent="0.2">
      <c r="A954" s="7">
        <v>41099</v>
      </c>
      <c r="B954" s="7">
        <v>3.3270379911470603E-2</v>
      </c>
      <c r="C954" s="7">
        <v>7.7054178620260594E-2</v>
      </c>
      <c r="D954" s="7">
        <v>8000</v>
      </c>
      <c r="E954" s="7" t="s">
        <v>5</v>
      </c>
      <c r="F954" s="7">
        <v>16.78</v>
      </c>
      <c r="G954" s="7">
        <v>0</v>
      </c>
      <c r="H954" s="7">
        <v>8111.87</v>
      </c>
      <c r="I954" s="7">
        <v>0</v>
      </c>
    </row>
    <row r="955" spans="1:9" x14ac:dyDescent="0.2">
      <c r="A955" s="7">
        <v>116137</v>
      </c>
      <c r="B955" s="7">
        <v>3.5111597707918503E-2</v>
      </c>
      <c r="C955" s="7">
        <v>8.1509172207196695E-2</v>
      </c>
      <c r="D955" s="7">
        <v>8000</v>
      </c>
      <c r="E955" s="7" t="s">
        <v>6</v>
      </c>
      <c r="F955" s="7">
        <v>18.75</v>
      </c>
      <c r="G955" s="7">
        <v>0</v>
      </c>
      <c r="H955" s="7">
        <v>10471.1900000028</v>
      </c>
      <c r="I955" s="7">
        <v>0</v>
      </c>
    </row>
    <row r="956" spans="1:9" x14ac:dyDescent="0.2">
      <c r="A956" s="7">
        <v>136855</v>
      </c>
      <c r="B956" s="7">
        <v>2.9243944876375501E-2</v>
      </c>
      <c r="C956" s="7">
        <v>7.4974238972806501E-2</v>
      </c>
      <c r="D956" s="7">
        <v>8000</v>
      </c>
      <c r="E956" s="7" t="s">
        <v>4</v>
      </c>
      <c r="F956" s="7">
        <v>7.9</v>
      </c>
      <c r="G956" s="7">
        <v>0</v>
      </c>
      <c r="H956" s="7">
        <v>8939.1711131423999</v>
      </c>
      <c r="I956" s="7">
        <v>0</v>
      </c>
    </row>
    <row r="957" spans="1:9" x14ac:dyDescent="0.2">
      <c r="A957" s="7">
        <v>138118</v>
      </c>
      <c r="B957" s="7">
        <v>4.0413250342462799E-2</v>
      </c>
      <c r="C957" s="7">
        <v>5.3944556304700297E-2</v>
      </c>
      <c r="D957" s="7">
        <v>22050</v>
      </c>
      <c r="E957" s="7" t="s">
        <v>8</v>
      </c>
      <c r="F957" s="7">
        <v>13.67</v>
      </c>
      <c r="G957" s="7">
        <v>0</v>
      </c>
      <c r="H957" s="7">
        <v>25515.126698822001</v>
      </c>
      <c r="I957" s="7">
        <v>0</v>
      </c>
    </row>
    <row r="958" spans="1:9" x14ac:dyDescent="0.2">
      <c r="A958" s="7">
        <v>117498</v>
      </c>
      <c r="B958" s="7">
        <v>1.8321972090709699E-2</v>
      </c>
      <c r="C958" s="7">
        <v>7.4974238972806501E-2</v>
      </c>
      <c r="D958" s="7">
        <v>4000</v>
      </c>
      <c r="E958" s="7" t="s">
        <v>4</v>
      </c>
      <c r="F958" s="7">
        <v>7.62</v>
      </c>
      <c r="G958" s="7">
        <v>1</v>
      </c>
      <c r="H958" s="7">
        <v>2095.33</v>
      </c>
      <c r="I958" s="7">
        <v>361.99</v>
      </c>
    </row>
    <row r="959" spans="1:9" x14ac:dyDescent="0.2">
      <c r="A959" s="7">
        <v>140623</v>
      </c>
      <c r="B959" s="7">
        <v>3.5957018079132E-2</v>
      </c>
      <c r="C959" s="7">
        <v>7.4974238972806501E-2</v>
      </c>
      <c r="D959" s="7">
        <v>7000</v>
      </c>
      <c r="E959" s="7" t="s">
        <v>5</v>
      </c>
      <c r="F959" s="7">
        <v>13.99</v>
      </c>
      <c r="G959" s="7">
        <v>0</v>
      </c>
      <c r="H959" s="7">
        <v>8611.5400043460995</v>
      </c>
      <c r="I959" s="7">
        <v>0</v>
      </c>
    </row>
    <row r="960" spans="1:9" x14ac:dyDescent="0.2">
      <c r="A960" s="7">
        <v>27671</v>
      </c>
      <c r="B960" s="7">
        <v>1.5733989001110299E-3</v>
      </c>
      <c r="C960" s="7">
        <v>7.4974238972806501E-2</v>
      </c>
      <c r="D960" s="7">
        <v>10400</v>
      </c>
      <c r="E960" s="7" t="s">
        <v>5</v>
      </c>
      <c r="F960" s="7">
        <v>14.33</v>
      </c>
      <c r="G960" s="7">
        <v>0</v>
      </c>
      <c r="H960" s="7">
        <v>10888.8611365011</v>
      </c>
      <c r="I960" s="7">
        <v>0</v>
      </c>
    </row>
    <row r="961" spans="1:9" x14ac:dyDescent="0.2">
      <c r="A961" s="7">
        <v>80373</v>
      </c>
      <c r="B961" s="7">
        <v>3.3090386100738702E-2</v>
      </c>
      <c r="C961" s="7">
        <v>8.1509172207196695E-2</v>
      </c>
      <c r="D961" s="7">
        <v>9000</v>
      </c>
      <c r="E961" s="7" t="s">
        <v>8</v>
      </c>
      <c r="F961" s="7">
        <v>12.12</v>
      </c>
      <c r="G961" s="7">
        <v>0</v>
      </c>
      <c r="H961" s="7">
        <v>10779.979039443901</v>
      </c>
      <c r="I961" s="7">
        <v>0</v>
      </c>
    </row>
    <row r="962" spans="1:9" x14ac:dyDescent="0.2">
      <c r="A962" s="7">
        <v>37068</v>
      </c>
      <c r="B962" s="7">
        <v>1.38242089164824E-2</v>
      </c>
      <c r="C962" s="7">
        <v>8.4798680815203503E-2</v>
      </c>
      <c r="D962" s="7">
        <v>25225</v>
      </c>
      <c r="E962" s="7" t="s">
        <v>4</v>
      </c>
      <c r="F962" s="7">
        <v>7.62</v>
      </c>
      <c r="G962" s="7">
        <v>0</v>
      </c>
      <c r="H962" s="7">
        <v>28252.26</v>
      </c>
      <c r="I962" s="7">
        <v>0</v>
      </c>
    </row>
    <row r="963" spans="1:9" x14ac:dyDescent="0.2">
      <c r="A963" s="7">
        <v>95891</v>
      </c>
      <c r="B963" s="7">
        <v>3.31413709054931E-2</v>
      </c>
      <c r="C963" s="7">
        <v>7.4974238972806501E-2</v>
      </c>
      <c r="D963" s="7">
        <v>8000</v>
      </c>
      <c r="E963" s="7" t="s">
        <v>8</v>
      </c>
      <c r="F963" s="7">
        <v>13.11</v>
      </c>
      <c r="G963" s="7">
        <v>0</v>
      </c>
      <c r="H963" s="7">
        <v>9199.1255169318993</v>
      </c>
      <c r="I963" s="7">
        <v>0</v>
      </c>
    </row>
    <row r="964" spans="1:9" x14ac:dyDescent="0.2">
      <c r="A964" s="7">
        <v>115062</v>
      </c>
      <c r="B964" s="7">
        <v>1.38769911964485E-2</v>
      </c>
      <c r="C964" s="7">
        <v>8.4798680815203503E-2</v>
      </c>
      <c r="D964" s="7">
        <v>28000</v>
      </c>
      <c r="E964" s="7" t="s">
        <v>7</v>
      </c>
      <c r="F964" s="7">
        <v>21.49</v>
      </c>
      <c r="G964" s="7">
        <v>0</v>
      </c>
      <c r="H964" s="7">
        <v>38541.920577816498</v>
      </c>
      <c r="I964" s="7">
        <v>0</v>
      </c>
    </row>
    <row r="965" spans="1:9" x14ac:dyDescent="0.2">
      <c r="A965" s="7">
        <v>47166</v>
      </c>
      <c r="B965" s="7">
        <v>1.6638313640071501E-3</v>
      </c>
      <c r="C965" s="7">
        <v>8.4798680815203503E-2</v>
      </c>
      <c r="D965" s="7">
        <v>21000</v>
      </c>
      <c r="E965" s="7" t="s">
        <v>10</v>
      </c>
      <c r="F965" s="7">
        <v>23.83</v>
      </c>
      <c r="G965" s="7">
        <v>0</v>
      </c>
      <c r="H965" s="7">
        <v>29778.190024576899</v>
      </c>
      <c r="I965" s="7">
        <v>0</v>
      </c>
    </row>
    <row r="966" spans="1:9" x14ac:dyDescent="0.2">
      <c r="A966" s="7">
        <v>55271</v>
      </c>
      <c r="B966" s="7">
        <v>2.6705417116365499E-2</v>
      </c>
      <c r="C966" s="7">
        <v>8.1509172207196695E-2</v>
      </c>
      <c r="D966" s="7">
        <v>4650</v>
      </c>
      <c r="E966" s="7" t="s">
        <v>5</v>
      </c>
      <c r="F966" s="7">
        <v>16.29</v>
      </c>
      <c r="G966" s="7">
        <v>0</v>
      </c>
      <c r="H966" s="7">
        <v>5909.2499868096002</v>
      </c>
      <c r="I966" s="7">
        <v>0</v>
      </c>
    </row>
    <row r="967" spans="1:9" x14ac:dyDescent="0.2">
      <c r="A967" s="7">
        <v>7093</v>
      </c>
      <c r="B967" s="7">
        <v>-2.3584204566310201E-4</v>
      </c>
      <c r="C967" s="7">
        <v>7.4974238972806501E-2</v>
      </c>
      <c r="D967" s="7">
        <v>10775</v>
      </c>
      <c r="E967" s="7" t="s">
        <v>6</v>
      </c>
      <c r="F967" s="7">
        <v>19.52</v>
      </c>
      <c r="G967" s="7">
        <v>0</v>
      </c>
      <c r="H967" s="7">
        <v>11633.6211800402</v>
      </c>
      <c r="I967" s="7">
        <v>0</v>
      </c>
    </row>
    <row r="968" spans="1:9" x14ac:dyDescent="0.2">
      <c r="A968" s="7">
        <v>101945</v>
      </c>
      <c r="B968" s="7">
        <v>4.1630405172546903E-2</v>
      </c>
      <c r="C968" s="7">
        <v>8.1509172207196695E-2</v>
      </c>
      <c r="D968" s="7">
        <v>16000</v>
      </c>
      <c r="E968" s="7" t="s">
        <v>5</v>
      </c>
      <c r="F968" s="7">
        <v>15.31</v>
      </c>
      <c r="G968" s="7">
        <v>0</v>
      </c>
      <c r="H968" s="7">
        <v>19829.120000000101</v>
      </c>
      <c r="I968" s="7">
        <v>0</v>
      </c>
    </row>
    <row r="969" spans="1:9" x14ac:dyDescent="0.2">
      <c r="A969" s="7">
        <v>111111</v>
      </c>
      <c r="B969" s="7">
        <v>-5.8134417080073697E-4</v>
      </c>
      <c r="C969" s="7">
        <v>8.4798680815203503E-2</v>
      </c>
      <c r="D969" s="7">
        <v>23850</v>
      </c>
      <c r="E969" s="7" t="s">
        <v>5</v>
      </c>
      <c r="F969" s="7">
        <v>16.29</v>
      </c>
      <c r="G969" s="7">
        <v>0</v>
      </c>
      <c r="H969" s="7">
        <v>33240.829996242901</v>
      </c>
      <c r="I969" s="7">
        <v>0</v>
      </c>
    </row>
    <row r="970" spans="1:9" x14ac:dyDescent="0.2">
      <c r="A970" s="7">
        <v>127274</v>
      </c>
      <c r="B970" s="7">
        <v>2.7087637963787901E-2</v>
      </c>
      <c r="C970" s="7">
        <v>8.1509172207196695E-2</v>
      </c>
      <c r="D970" s="7">
        <v>15000</v>
      </c>
      <c r="E970" s="7" t="s">
        <v>5</v>
      </c>
      <c r="F970" s="7">
        <v>15.31</v>
      </c>
      <c r="G970" s="7">
        <v>0</v>
      </c>
      <c r="H970" s="7">
        <v>18801.357206857199</v>
      </c>
      <c r="I970" s="7">
        <v>0</v>
      </c>
    </row>
    <row r="971" spans="1:9" x14ac:dyDescent="0.2">
      <c r="A971" s="7">
        <v>30861</v>
      </c>
      <c r="B971" s="7">
        <v>2.0827648269231801E-2</v>
      </c>
      <c r="C971" s="7">
        <v>5.3944556304700297E-2</v>
      </c>
      <c r="D971" s="7">
        <v>18825</v>
      </c>
      <c r="E971" s="7" t="s">
        <v>5</v>
      </c>
      <c r="F971" s="7">
        <v>15.22</v>
      </c>
      <c r="G971" s="7">
        <v>0</v>
      </c>
      <c r="H971" s="7">
        <v>22207.389980049</v>
      </c>
      <c r="I971" s="7">
        <v>0</v>
      </c>
    </row>
    <row r="972" spans="1:9" x14ac:dyDescent="0.2">
      <c r="A972" s="7">
        <v>31156</v>
      </c>
      <c r="B972" s="7">
        <v>2.2141208377814602E-2</v>
      </c>
      <c r="C972" s="7">
        <v>7.4974238972806501E-2</v>
      </c>
      <c r="D972" s="7">
        <v>14400</v>
      </c>
      <c r="E972" s="7" t="s">
        <v>8</v>
      </c>
      <c r="F972" s="7">
        <v>12.35</v>
      </c>
      <c r="G972" s="7">
        <v>0</v>
      </c>
      <c r="H972" s="7">
        <v>16758.189992447798</v>
      </c>
      <c r="I972" s="7">
        <v>0</v>
      </c>
    </row>
    <row r="973" spans="1:9" x14ac:dyDescent="0.2">
      <c r="A973" s="7">
        <v>90033</v>
      </c>
      <c r="B973" s="7">
        <v>3.3032380515954703E-2</v>
      </c>
      <c r="C973" s="7">
        <v>7.4974238972806501E-2</v>
      </c>
      <c r="D973" s="7">
        <v>15000</v>
      </c>
      <c r="E973" s="7" t="s">
        <v>8</v>
      </c>
      <c r="F973" s="7">
        <v>12.12</v>
      </c>
      <c r="G973" s="7">
        <v>0</v>
      </c>
      <c r="H973" s="7">
        <v>17966.655595543602</v>
      </c>
      <c r="I973" s="7">
        <v>0</v>
      </c>
    </row>
    <row r="974" spans="1:9" x14ac:dyDescent="0.2">
      <c r="A974" s="7">
        <v>134985</v>
      </c>
      <c r="B974" s="7">
        <v>3.2639263350259497E-2</v>
      </c>
      <c r="C974" s="7">
        <v>7.4974238972806501E-2</v>
      </c>
      <c r="D974" s="7">
        <v>6000</v>
      </c>
      <c r="E974" s="7" t="s">
        <v>5</v>
      </c>
      <c r="F974" s="7">
        <v>15.31</v>
      </c>
      <c r="G974" s="7">
        <v>0</v>
      </c>
      <c r="H974" s="7">
        <v>7520.4868856311004</v>
      </c>
      <c r="I974" s="7">
        <v>0</v>
      </c>
    </row>
    <row r="975" spans="1:9" x14ac:dyDescent="0.2">
      <c r="A975" s="7">
        <v>8694</v>
      </c>
      <c r="B975" s="7">
        <v>3.3144252944530897E-2</v>
      </c>
      <c r="C975" s="7">
        <v>7.7054178620260594E-2</v>
      </c>
      <c r="D975" s="7">
        <v>20000</v>
      </c>
      <c r="E975" s="7" t="s">
        <v>5</v>
      </c>
      <c r="F975" s="7">
        <v>16.2</v>
      </c>
      <c r="G975" s="7">
        <v>0</v>
      </c>
      <c r="H975" s="7">
        <v>24247.099999999798</v>
      </c>
      <c r="I975" s="7">
        <v>0</v>
      </c>
    </row>
    <row r="976" spans="1:9" x14ac:dyDescent="0.2">
      <c r="A976" s="7">
        <v>24280</v>
      </c>
      <c r="B976" s="7">
        <v>3.0609991632839E-2</v>
      </c>
      <c r="C976" s="7">
        <v>7.4974238972806501E-2</v>
      </c>
      <c r="D976" s="7">
        <v>16000</v>
      </c>
      <c r="E976" s="7" t="s">
        <v>8</v>
      </c>
      <c r="F976" s="7">
        <v>13.67</v>
      </c>
      <c r="G976" s="7">
        <v>1</v>
      </c>
      <c r="H976" s="7">
        <v>3265.38</v>
      </c>
      <c r="I976" s="7">
        <v>0</v>
      </c>
    </row>
    <row r="977" spans="1:9" x14ac:dyDescent="0.2">
      <c r="A977" s="7">
        <v>140243</v>
      </c>
      <c r="B977" s="7">
        <v>1.6976075252977299E-2</v>
      </c>
      <c r="C977" s="7">
        <v>8.1509172207196695E-2</v>
      </c>
      <c r="D977" s="7">
        <v>11200</v>
      </c>
      <c r="E977" s="7" t="s">
        <v>4</v>
      </c>
      <c r="F977" s="7">
        <v>7.62</v>
      </c>
      <c r="G977" s="7">
        <v>0</v>
      </c>
      <c r="H977" s="7">
        <v>11775.6187421211</v>
      </c>
      <c r="I977" s="7">
        <v>0</v>
      </c>
    </row>
    <row r="978" spans="1:9" x14ac:dyDescent="0.2">
      <c r="A978" s="7">
        <v>13632</v>
      </c>
      <c r="B978" s="7">
        <v>2.66956018547727E-2</v>
      </c>
      <c r="C978" s="7">
        <v>8.4798680815203503E-2</v>
      </c>
      <c r="D978" s="7">
        <v>19750</v>
      </c>
      <c r="E978" s="7" t="s">
        <v>5</v>
      </c>
      <c r="F978" s="7">
        <v>17.100000000000001</v>
      </c>
      <c r="G978" s="7">
        <v>1</v>
      </c>
      <c r="H978" s="7">
        <v>18333.38</v>
      </c>
      <c r="I978" s="7">
        <v>0</v>
      </c>
    </row>
    <row r="979" spans="1:9" x14ac:dyDescent="0.2">
      <c r="A979" s="7">
        <v>86325</v>
      </c>
      <c r="B979" s="7">
        <v>1.12372546584873E-2</v>
      </c>
      <c r="C979" s="7">
        <v>8.1509172207196695E-2</v>
      </c>
      <c r="D979" s="7">
        <v>5000</v>
      </c>
      <c r="E979" s="7" t="s">
        <v>7</v>
      </c>
      <c r="F979" s="7">
        <v>21.98</v>
      </c>
      <c r="G979" s="7">
        <v>1</v>
      </c>
      <c r="H979" s="7">
        <v>1765.67</v>
      </c>
      <c r="I979" s="7">
        <v>661.5</v>
      </c>
    </row>
    <row r="980" spans="1:9" x14ac:dyDescent="0.2">
      <c r="A980" s="7">
        <v>111427</v>
      </c>
      <c r="B980" s="7">
        <v>2.6517689417798598E-2</v>
      </c>
      <c r="C980" s="7">
        <v>8.1509172207196695E-2</v>
      </c>
      <c r="D980" s="7">
        <v>12000</v>
      </c>
      <c r="E980" s="7" t="s">
        <v>8</v>
      </c>
      <c r="F980" s="7">
        <v>11.14</v>
      </c>
      <c r="G980" s="7">
        <v>0</v>
      </c>
      <c r="H980" s="7">
        <v>14164.9899976179</v>
      </c>
      <c r="I980" s="7">
        <v>0</v>
      </c>
    </row>
    <row r="981" spans="1:9" x14ac:dyDescent="0.2">
      <c r="A981" s="7">
        <v>97895</v>
      </c>
      <c r="B981" s="7">
        <v>3.2375734575472701E-2</v>
      </c>
      <c r="C981" s="7">
        <v>7.4974238972806501E-2</v>
      </c>
      <c r="D981" s="7">
        <v>17000</v>
      </c>
      <c r="E981" s="7" t="s">
        <v>8</v>
      </c>
      <c r="F981" s="7">
        <v>10.16</v>
      </c>
      <c r="G981" s="7">
        <v>0</v>
      </c>
      <c r="H981" s="7">
        <v>19615.109998168999</v>
      </c>
      <c r="I981" s="7">
        <v>0</v>
      </c>
    </row>
    <row r="982" spans="1:9" x14ac:dyDescent="0.2">
      <c r="A982" s="7">
        <v>125941</v>
      </c>
      <c r="B982" s="7">
        <v>3.6763511276727001E-2</v>
      </c>
      <c r="C982" s="7">
        <v>7.4974238972806501E-2</v>
      </c>
      <c r="D982" s="7">
        <v>10000</v>
      </c>
      <c r="E982" s="7" t="s">
        <v>8</v>
      </c>
      <c r="F982" s="7">
        <v>11.14</v>
      </c>
      <c r="G982" s="7">
        <v>0</v>
      </c>
      <c r="H982" s="7">
        <v>11789.4000000004</v>
      </c>
      <c r="I982" s="7">
        <v>0</v>
      </c>
    </row>
    <row r="983" spans="1:9" x14ac:dyDescent="0.2">
      <c r="A983" s="7">
        <v>124226</v>
      </c>
      <c r="B983" s="7">
        <v>3.13972809387685E-2</v>
      </c>
      <c r="C983" s="7">
        <v>7.4974238972806501E-2</v>
      </c>
      <c r="D983" s="7">
        <v>11000</v>
      </c>
      <c r="E983" s="7" t="s">
        <v>6</v>
      </c>
      <c r="F983" s="7">
        <v>18.489999999999998</v>
      </c>
      <c r="G983" s="7">
        <v>0</v>
      </c>
      <c r="H983" s="7">
        <v>11811.328433226699</v>
      </c>
      <c r="I983" s="7">
        <v>0</v>
      </c>
    </row>
    <row r="984" spans="1:9" x14ac:dyDescent="0.2">
      <c r="A984" s="7">
        <v>2484</v>
      </c>
      <c r="B984" s="7">
        <v>3.36102814525766E-2</v>
      </c>
      <c r="C984" s="7">
        <v>7.7054178620260594E-2</v>
      </c>
      <c r="D984" s="7">
        <v>10000</v>
      </c>
      <c r="E984" s="7" t="s">
        <v>8</v>
      </c>
      <c r="F984" s="7">
        <v>11.99</v>
      </c>
      <c r="G984" s="7">
        <v>0</v>
      </c>
      <c r="H984" s="7">
        <v>11196.45</v>
      </c>
      <c r="I984" s="7">
        <v>0</v>
      </c>
    </row>
    <row r="985" spans="1:9" x14ac:dyDescent="0.2">
      <c r="A985" s="7">
        <v>126955</v>
      </c>
      <c r="B985" s="7">
        <v>1.46271274203026E-2</v>
      </c>
      <c r="C985" s="7">
        <v>7.4974238972806501E-2</v>
      </c>
      <c r="D985" s="7">
        <v>4000</v>
      </c>
      <c r="E985" s="7" t="s">
        <v>4</v>
      </c>
      <c r="F985" s="7">
        <v>6.62</v>
      </c>
      <c r="G985" s="7">
        <v>0</v>
      </c>
      <c r="H985" s="7">
        <v>4421.3099999995002</v>
      </c>
      <c r="I985" s="7">
        <v>0</v>
      </c>
    </row>
    <row r="986" spans="1:9" x14ac:dyDescent="0.2">
      <c r="A986" s="7">
        <v>87879</v>
      </c>
      <c r="B986" s="7">
        <v>2.41964926209223E-2</v>
      </c>
      <c r="C986" s="7">
        <v>8.1509172207196695E-2</v>
      </c>
      <c r="D986" s="7">
        <v>11100</v>
      </c>
      <c r="E986" s="7" t="s">
        <v>6</v>
      </c>
      <c r="F986" s="7">
        <v>18.489999999999998</v>
      </c>
      <c r="G986" s="7">
        <v>0</v>
      </c>
      <c r="H986" s="7">
        <v>14544.8574506109</v>
      </c>
      <c r="I986" s="7">
        <v>0</v>
      </c>
    </row>
    <row r="987" spans="1:9" x14ac:dyDescent="0.2">
      <c r="A987" s="7">
        <v>27159</v>
      </c>
      <c r="B987" s="7">
        <v>1.93345187312155E-2</v>
      </c>
      <c r="C987" s="7">
        <v>7.4974238972806501E-2</v>
      </c>
      <c r="D987" s="7">
        <v>7500</v>
      </c>
      <c r="E987" s="7" t="s">
        <v>5</v>
      </c>
      <c r="F987" s="7">
        <v>14.3</v>
      </c>
      <c r="G987" s="7">
        <v>0</v>
      </c>
      <c r="H987" s="7">
        <v>7762.8299248520998</v>
      </c>
      <c r="I987" s="7">
        <v>0</v>
      </c>
    </row>
    <row r="988" spans="1:9" x14ac:dyDescent="0.2">
      <c r="A988" s="7">
        <v>398</v>
      </c>
      <c r="B988" s="7">
        <v>2.0574715659511099E-2</v>
      </c>
      <c r="C988" s="7">
        <v>7.4974238972806501E-2</v>
      </c>
      <c r="D988" s="7">
        <v>16000</v>
      </c>
      <c r="E988" s="7" t="s">
        <v>4</v>
      </c>
      <c r="F988" s="7">
        <v>6.62</v>
      </c>
      <c r="G988" s="7">
        <v>0</v>
      </c>
      <c r="H988" s="7">
        <v>16713.326730156601</v>
      </c>
      <c r="I988" s="7">
        <v>0</v>
      </c>
    </row>
    <row r="989" spans="1:9" x14ac:dyDescent="0.2">
      <c r="A989" s="7">
        <v>99699</v>
      </c>
      <c r="B989" s="7">
        <v>3.9460352649621402E-2</v>
      </c>
      <c r="C989" s="7">
        <v>8.1509172207196695E-2</v>
      </c>
      <c r="D989" s="7">
        <v>9000</v>
      </c>
      <c r="E989" s="7" t="s">
        <v>5</v>
      </c>
      <c r="F989" s="7">
        <v>14.33</v>
      </c>
      <c r="G989" s="7">
        <v>1</v>
      </c>
      <c r="H989" s="7">
        <v>8554.7199999999993</v>
      </c>
      <c r="I989" s="7">
        <v>521.52</v>
      </c>
    </row>
    <row r="990" spans="1:9" x14ac:dyDescent="0.2">
      <c r="A990" s="7">
        <v>142409</v>
      </c>
      <c r="B990" s="7">
        <v>3.9448040709822697E-2</v>
      </c>
      <c r="C990" s="7">
        <v>8.1509172207196695E-2</v>
      </c>
      <c r="D990" s="7">
        <v>4950</v>
      </c>
      <c r="E990" s="7" t="s">
        <v>6</v>
      </c>
      <c r="F990" s="7">
        <v>18.25</v>
      </c>
      <c r="G990" s="7">
        <v>0</v>
      </c>
      <c r="H990" s="7">
        <v>6464.6800069722003</v>
      </c>
      <c r="I990" s="7">
        <v>0</v>
      </c>
    </row>
    <row r="991" spans="1:9" x14ac:dyDescent="0.2">
      <c r="A991" s="7">
        <v>135845</v>
      </c>
      <c r="B991" s="7">
        <v>2.3297399331800101E-2</v>
      </c>
      <c r="C991" s="7">
        <v>8.1509172207196695E-2</v>
      </c>
      <c r="D991" s="7">
        <v>4800</v>
      </c>
      <c r="E991" s="7" t="s">
        <v>4</v>
      </c>
      <c r="F991" s="7">
        <v>6.62</v>
      </c>
      <c r="G991" s="7">
        <v>0</v>
      </c>
      <c r="H991" s="7">
        <v>5109.1346180097999</v>
      </c>
      <c r="I991" s="7">
        <v>0</v>
      </c>
    </row>
    <row r="992" spans="1:9" x14ac:dyDescent="0.2">
      <c r="A992" s="7">
        <v>26324</v>
      </c>
      <c r="B992" s="7">
        <v>3.1564169249110603E-2</v>
      </c>
      <c r="C992" s="7">
        <v>7.4974238972806501E-2</v>
      </c>
      <c r="D992" s="7">
        <v>6500</v>
      </c>
      <c r="E992" s="7" t="s">
        <v>7</v>
      </c>
      <c r="F992" s="7">
        <v>23.4</v>
      </c>
      <c r="G992" s="7">
        <v>0</v>
      </c>
      <c r="H992" s="7">
        <v>7442.3241607345999</v>
      </c>
      <c r="I992" s="7">
        <v>0</v>
      </c>
    </row>
    <row r="993" spans="1:9" x14ac:dyDescent="0.2">
      <c r="A993" s="7">
        <v>114714</v>
      </c>
      <c r="B993" s="7">
        <v>2.4923268205119999E-2</v>
      </c>
      <c r="C993" s="7">
        <v>7.4974238972806501E-2</v>
      </c>
      <c r="D993" s="7">
        <v>12000</v>
      </c>
      <c r="E993" s="7" t="s">
        <v>8</v>
      </c>
      <c r="F993" s="7">
        <v>10.16</v>
      </c>
      <c r="G993" s="7">
        <v>0</v>
      </c>
      <c r="H993" s="7">
        <v>13641.903004437199</v>
      </c>
      <c r="I993" s="7">
        <v>0</v>
      </c>
    </row>
    <row r="994" spans="1:9" x14ac:dyDescent="0.2">
      <c r="A994" s="7">
        <v>8505</v>
      </c>
      <c r="B994" s="7">
        <v>6.9404708736200303E-3</v>
      </c>
      <c r="C994" s="7">
        <v>8.4798680815203503E-2</v>
      </c>
      <c r="D994" s="7">
        <v>30750</v>
      </c>
      <c r="E994" s="7" t="s">
        <v>7</v>
      </c>
      <c r="F994" s="7">
        <v>22.4</v>
      </c>
      <c r="G994" s="7">
        <v>1</v>
      </c>
      <c r="H994" s="7">
        <v>8560.7000000000007</v>
      </c>
      <c r="I994" s="7">
        <v>0</v>
      </c>
    </row>
    <row r="995" spans="1:9" x14ac:dyDescent="0.2">
      <c r="A995" s="7">
        <v>108392</v>
      </c>
      <c r="B995" s="7">
        <v>3.1139615609252699E-2</v>
      </c>
      <c r="C995" s="7">
        <v>8.1509172207196695E-2</v>
      </c>
      <c r="D995" s="7">
        <v>8000</v>
      </c>
      <c r="E995" s="7" t="s">
        <v>8</v>
      </c>
      <c r="F995" s="7">
        <v>10.16</v>
      </c>
      <c r="G995" s="7">
        <v>0</v>
      </c>
      <c r="H995" s="7">
        <v>9314.5925660599005</v>
      </c>
      <c r="I995" s="7">
        <v>0</v>
      </c>
    </row>
    <row r="996" spans="1:9" x14ac:dyDescent="0.2">
      <c r="A996" s="7">
        <v>71385</v>
      </c>
      <c r="B996" s="7">
        <v>3.1624235606692801E-2</v>
      </c>
      <c r="C996" s="7">
        <v>8.1509172207196695E-2</v>
      </c>
      <c r="D996" s="7">
        <v>4375</v>
      </c>
      <c r="E996" s="7" t="s">
        <v>6</v>
      </c>
      <c r="F996" s="7">
        <v>18.489999999999998</v>
      </c>
      <c r="G996" s="7">
        <v>1</v>
      </c>
      <c r="H996" s="7">
        <v>3679.5</v>
      </c>
      <c r="I996" s="7">
        <v>1450</v>
      </c>
    </row>
    <row r="997" spans="1:9" x14ac:dyDescent="0.2">
      <c r="A997" s="7">
        <v>142975</v>
      </c>
      <c r="B997" s="7">
        <v>3.2730239658727601E-2</v>
      </c>
      <c r="C997" s="7">
        <v>8.1509172207196695E-2</v>
      </c>
      <c r="D997" s="7">
        <v>9000</v>
      </c>
      <c r="E997" s="7" t="s">
        <v>8</v>
      </c>
      <c r="F997" s="7">
        <v>12.69</v>
      </c>
      <c r="G997" s="7">
        <v>0</v>
      </c>
      <c r="H997" s="7">
        <v>10507.956287259</v>
      </c>
      <c r="I997" s="7">
        <v>0</v>
      </c>
    </row>
    <row r="998" spans="1:9" x14ac:dyDescent="0.2">
      <c r="A998" s="7">
        <v>44183</v>
      </c>
      <c r="B998" s="7">
        <v>3.3788678913044497E-2</v>
      </c>
      <c r="C998" s="7">
        <v>7.4974238972806501E-2</v>
      </c>
      <c r="D998" s="7">
        <v>12000</v>
      </c>
      <c r="E998" s="7" t="s">
        <v>8</v>
      </c>
      <c r="F998" s="7">
        <v>11.55</v>
      </c>
      <c r="G998" s="7">
        <v>0</v>
      </c>
      <c r="H998" s="7">
        <v>14042.219995641201</v>
      </c>
      <c r="I998" s="7">
        <v>0</v>
      </c>
    </row>
    <row r="999" spans="1:9" x14ac:dyDescent="0.2">
      <c r="A999" s="7">
        <v>98745</v>
      </c>
      <c r="B999" s="7">
        <v>2.9135346967660799E-3</v>
      </c>
      <c r="C999" s="7">
        <v>8.4798680815203503E-2</v>
      </c>
      <c r="D999" s="7">
        <v>18200</v>
      </c>
      <c r="E999" s="7" t="s">
        <v>5</v>
      </c>
      <c r="F999" s="7">
        <v>16.29</v>
      </c>
      <c r="G999" s="7">
        <v>1</v>
      </c>
      <c r="H999" s="7">
        <v>12966.6</v>
      </c>
      <c r="I999" s="7">
        <v>3171.31</v>
      </c>
    </row>
    <row r="1000" spans="1:9" x14ac:dyDescent="0.2">
      <c r="A1000" s="7">
        <v>135655</v>
      </c>
      <c r="B1000" s="7">
        <v>9.6309015260378807E-3</v>
      </c>
      <c r="C1000" s="7">
        <v>5.3944556304700297E-2</v>
      </c>
      <c r="D1000" s="7">
        <v>20000</v>
      </c>
      <c r="E1000" s="7" t="s">
        <v>10</v>
      </c>
      <c r="F1000" s="7">
        <v>22.78</v>
      </c>
      <c r="G1000" s="7">
        <v>1</v>
      </c>
      <c r="H1000" s="7">
        <v>7959.9</v>
      </c>
      <c r="I1000" s="7">
        <v>4594.2</v>
      </c>
    </row>
    <row r="1001" spans="1:9" x14ac:dyDescent="0.2">
      <c r="A1001" s="7">
        <v>77993</v>
      </c>
      <c r="B1001" s="7">
        <v>3.5316075773368399E-2</v>
      </c>
      <c r="C1001" s="7">
        <v>5.3944556304700297E-2</v>
      </c>
      <c r="D1001" s="7">
        <v>9600</v>
      </c>
      <c r="E1001" s="7" t="s">
        <v>4</v>
      </c>
      <c r="F1001" s="7">
        <v>6.62</v>
      </c>
      <c r="G1001" s="7">
        <v>0</v>
      </c>
      <c r="H1001" s="7">
        <v>9986.4426904856991</v>
      </c>
      <c r="I1001" s="7">
        <v>0</v>
      </c>
    </row>
    <row r="1002" spans="1:9" x14ac:dyDescent="0.2">
      <c r="A1002" s="7">
        <v>64160</v>
      </c>
      <c r="B1002" s="7">
        <v>3.7050056864884197E-2</v>
      </c>
      <c r="C1002" s="7">
        <v>7.7054178620260594E-2</v>
      </c>
      <c r="D1002" s="7">
        <v>9200</v>
      </c>
      <c r="E1002" s="7" t="s">
        <v>8</v>
      </c>
      <c r="F1002" s="7">
        <v>12.12</v>
      </c>
      <c r="G1002" s="7">
        <v>0</v>
      </c>
      <c r="H1002" s="7">
        <v>9882.0146008094998</v>
      </c>
      <c r="I1002" s="7">
        <v>0</v>
      </c>
    </row>
    <row r="1003" spans="1:9" x14ac:dyDescent="0.2">
      <c r="A1003" s="7">
        <v>65976</v>
      </c>
      <c r="B1003" s="7">
        <v>2.6004055080180302E-2</v>
      </c>
      <c r="C1003" s="7">
        <v>7.4974238972806501E-2</v>
      </c>
      <c r="D1003" s="7">
        <v>10800</v>
      </c>
      <c r="E1003" s="7" t="s">
        <v>5</v>
      </c>
      <c r="F1003" s="7">
        <v>14.33</v>
      </c>
      <c r="G1003" s="7">
        <v>0</v>
      </c>
      <c r="H1003" s="7">
        <v>13375.2344062191</v>
      </c>
      <c r="I1003" s="7">
        <v>0</v>
      </c>
    </row>
    <row r="1004" spans="1:9" x14ac:dyDescent="0.2">
      <c r="A1004" s="7">
        <v>20059</v>
      </c>
      <c r="B1004" s="7">
        <v>2.8834782007326198E-2</v>
      </c>
      <c r="C1004" s="7">
        <v>7.4974238972806501E-2</v>
      </c>
      <c r="D1004" s="7">
        <v>7350</v>
      </c>
      <c r="E1004" s="7" t="s">
        <v>8</v>
      </c>
      <c r="F1004" s="7">
        <v>13.67</v>
      </c>
      <c r="G1004" s="7">
        <v>0</v>
      </c>
      <c r="H1004" s="7">
        <v>7965.5595445219997</v>
      </c>
      <c r="I1004" s="7">
        <v>0</v>
      </c>
    </row>
    <row r="1005" spans="1:9" x14ac:dyDescent="0.2">
      <c r="A1005" s="7">
        <v>57572</v>
      </c>
      <c r="B1005" s="7">
        <v>1.08523814660082E-2</v>
      </c>
      <c r="C1005" s="7">
        <v>8.4798680815203503E-2</v>
      </c>
      <c r="D1005" s="7">
        <v>30000</v>
      </c>
      <c r="E1005" s="7" t="s">
        <v>6</v>
      </c>
      <c r="F1005" s="7">
        <v>17.77</v>
      </c>
      <c r="G1005" s="7">
        <v>0</v>
      </c>
      <c r="H1005" s="7">
        <v>30661.778177469299</v>
      </c>
      <c r="I1005" s="7">
        <v>0</v>
      </c>
    </row>
    <row r="1006" spans="1:9" x14ac:dyDescent="0.2">
      <c r="A1006" s="7">
        <v>1064</v>
      </c>
      <c r="B1006" s="7">
        <v>2.64187931340093E-2</v>
      </c>
      <c r="C1006" s="7">
        <v>7.4974238972806501E-2</v>
      </c>
      <c r="D1006" s="7">
        <v>10000</v>
      </c>
      <c r="E1006" s="7" t="s">
        <v>8</v>
      </c>
      <c r="F1006" s="7">
        <v>13.53</v>
      </c>
      <c r="G1006" s="7">
        <v>1</v>
      </c>
      <c r="H1006" s="7">
        <v>8148</v>
      </c>
      <c r="I1006" s="7">
        <v>0</v>
      </c>
    </row>
    <row r="1007" spans="1:9" x14ac:dyDescent="0.2">
      <c r="A1007" s="7">
        <v>80333</v>
      </c>
      <c r="B1007" s="7">
        <v>1.7625453904817501E-2</v>
      </c>
      <c r="C1007" s="7">
        <v>8.1509172207196695E-2</v>
      </c>
      <c r="D1007" s="7">
        <v>10000</v>
      </c>
      <c r="E1007" s="7" t="s">
        <v>4</v>
      </c>
      <c r="F1007" s="7">
        <v>7.9</v>
      </c>
      <c r="G1007" s="7">
        <v>0</v>
      </c>
      <c r="H1007" s="7">
        <v>11178.159999997601</v>
      </c>
      <c r="I1007" s="7">
        <v>0</v>
      </c>
    </row>
    <row r="1008" spans="1:9" x14ac:dyDescent="0.2">
      <c r="A1008" s="7">
        <v>102455</v>
      </c>
      <c r="B1008" s="7">
        <v>3.5979523233348E-2</v>
      </c>
      <c r="C1008" s="7">
        <v>8.4798680815203503E-2</v>
      </c>
      <c r="D1008" s="7">
        <v>20000</v>
      </c>
      <c r="E1008" s="7" t="s">
        <v>8</v>
      </c>
      <c r="F1008" s="7">
        <v>14.09</v>
      </c>
      <c r="G1008" s="7">
        <v>1</v>
      </c>
      <c r="H1008" s="7">
        <v>19525.8</v>
      </c>
      <c r="I1008" s="7">
        <v>1058.0899999999999</v>
      </c>
    </row>
    <row r="1009" spans="1:9" x14ac:dyDescent="0.2">
      <c r="A1009" s="7">
        <v>85998</v>
      </c>
      <c r="B1009" s="7">
        <v>2.9373040012771499E-2</v>
      </c>
      <c r="C1009" s="7">
        <v>8.1509172207196695E-2</v>
      </c>
      <c r="D1009" s="7">
        <v>7200</v>
      </c>
      <c r="E1009" s="7" t="s">
        <v>5</v>
      </c>
      <c r="F1009" s="7">
        <v>17.27</v>
      </c>
      <c r="G1009" s="7">
        <v>0</v>
      </c>
      <c r="H1009" s="7">
        <v>9276.0348539734005</v>
      </c>
      <c r="I1009" s="7">
        <v>0</v>
      </c>
    </row>
    <row r="1010" spans="1:9" x14ac:dyDescent="0.2">
      <c r="A1010" s="7">
        <v>80545</v>
      </c>
      <c r="B1010" s="7">
        <v>3.9378609279216902E-2</v>
      </c>
      <c r="C1010" s="7">
        <v>8.1509172207196695E-2</v>
      </c>
      <c r="D1010" s="7">
        <v>18000</v>
      </c>
      <c r="E1010" s="7" t="s">
        <v>8</v>
      </c>
      <c r="F1010" s="7">
        <v>13.11</v>
      </c>
      <c r="G1010" s="7">
        <v>0</v>
      </c>
      <c r="H1010" s="7">
        <v>20579.382685836001</v>
      </c>
      <c r="I1010" s="7">
        <v>0</v>
      </c>
    </row>
    <row r="1011" spans="1:9" x14ac:dyDescent="0.2">
      <c r="A1011" s="7">
        <v>141715</v>
      </c>
      <c r="B1011" s="7">
        <v>4.0805778374778799E-2</v>
      </c>
      <c r="C1011" s="7">
        <v>7.4974238972806501E-2</v>
      </c>
      <c r="D1011" s="7">
        <v>7750</v>
      </c>
      <c r="E1011" s="7" t="s">
        <v>6</v>
      </c>
      <c r="F1011" s="7">
        <v>17.27</v>
      </c>
      <c r="G1011" s="7">
        <v>0</v>
      </c>
      <c r="H1011" s="7">
        <v>7861.58</v>
      </c>
      <c r="I1011" s="7">
        <v>0</v>
      </c>
    </row>
    <row r="1012" spans="1:9" x14ac:dyDescent="0.2">
      <c r="A1012" s="7">
        <v>28113</v>
      </c>
      <c r="B1012" s="7">
        <v>3.1263452942304398E-2</v>
      </c>
      <c r="C1012" s="7">
        <v>7.7054178620260594E-2</v>
      </c>
      <c r="D1012" s="7">
        <v>16000</v>
      </c>
      <c r="E1012" s="7" t="s">
        <v>5</v>
      </c>
      <c r="F1012" s="7">
        <v>13.68</v>
      </c>
      <c r="G1012" s="7">
        <v>0</v>
      </c>
      <c r="H1012" s="7">
        <v>19459.490000000202</v>
      </c>
      <c r="I1012" s="7">
        <v>0</v>
      </c>
    </row>
    <row r="1013" spans="1:9" x14ac:dyDescent="0.2">
      <c r="A1013" s="7">
        <v>28226</v>
      </c>
      <c r="B1013" s="7">
        <v>3.7166266150137899E-2</v>
      </c>
      <c r="C1013" s="7">
        <v>5.3944556304700297E-2</v>
      </c>
      <c r="D1013" s="7">
        <v>21000</v>
      </c>
      <c r="E1013" s="7" t="s">
        <v>4</v>
      </c>
      <c r="F1013" s="7">
        <v>8.9</v>
      </c>
      <c r="G1013" s="7">
        <v>0</v>
      </c>
      <c r="H1013" s="7">
        <v>23112.630005281699</v>
      </c>
      <c r="I1013" s="7">
        <v>0</v>
      </c>
    </row>
    <row r="1014" spans="1:9" x14ac:dyDescent="0.2">
      <c r="A1014" s="7">
        <v>141789</v>
      </c>
      <c r="B1014" s="7">
        <v>2.7197605291111399E-2</v>
      </c>
      <c r="C1014" s="7">
        <v>7.4974238972806501E-2</v>
      </c>
      <c r="D1014" s="7">
        <v>10000</v>
      </c>
      <c r="E1014" s="7" t="s">
        <v>8</v>
      </c>
      <c r="F1014" s="7">
        <v>12.42</v>
      </c>
      <c r="G1014" s="7">
        <v>0</v>
      </c>
      <c r="H1014" s="7">
        <v>12029.4499999992</v>
      </c>
      <c r="I1014" s="7">
        <v>0</v>
      </c>
    </row>
    <row r="1015" spans="1:9" x14ac:dyDescent="0.2">
      <c r="A1015" s="7">
        <v>50172</v>
      </c>
      <c r="B1015" s="7">
        <v>8.8950707547971498E-3</v>
      </c>
      <c r="C1015" s="7">
        <v>8.4798680815203503E-2</v>
      </c>
      <c r="D1015" s="7">
        <v>20000</v>
      </c>
      <c r="E1015" s="7" t="s">
        <v>10</v>
      </c>
      <c r="F1015" s="7">
        <v>23.63</v>
      </c>
      <c r="G1015" s="7">
        <v>1</v>
      </c>
      <c r="H1015" s="7">
        <v>15419.16</v>
      </c>
      <c r="I1015" s="7">
        <v>0</v>
      </c>
    </row>
    <row r="1016" spans="1:9" x14ac:dyDescent="0.2">
      <c r="A1016" s="7">
        <v>86952</v>
      </c>
      <c r="B1016" s="7">
        <v>2.7877013097722701E-2</v>
      </c>
      <c r="C1016" s="7">
        <v>5.3944556304700297E-2</v>
      </c>
      <c r="D1016" s="7">
        <v>16000</v>
      </c>
      <c r="E1016" s="7" t="s">
        <v>4</v>
      </c>
      <c r="F1016" s="7">
        <v>7.62</v>
      </c>
      <c r="G1016" s="7">
        <v>0</v>
      </c>
      <c r="H1016" s="7">
        <v>17049.6044627134</v>
      </c>
      <c r="I1016" s="7">
        <v>0</v>
      </c>
    </row>
    <row r="1017" spans="1:9" x14ac:dyDescent="0.2">
      <c r="A1017" s="7">
        <v>122520</v>
      </c>
      <c r="B1017" s="7">
        <v>1.40996430959257E-2</v>
      </c>
      <c r="C1017" s="7">
        <v>8.1509172207196695E-2</v>
      </c>
      <c r="D1017" s="7">
        <v>2000</v>
      </c>
      <c r="E1017" s="7" t="s">
        <v>4</v>
      </c>
      <c r="F1017" s="7">
        <v>8.9</v>
      </c>
      <c r="G1017" s="7">
        <v>1</v>
      </c>
      <c r="H1017" s="7">
        <v>1022.71</v>
      </c>
      <c r="I1017" s="7">
        <v>184.5</v>
      </c>
    </row>
    <row r="1018" spans="1:9" x14ac:dyDescent="0.2">
      <c r="A1018" s="7">
        <v>27946</v>
      </c>
      <c r="B1018" s="7">
        <v>2.7752193721228498E-2</v>
      </c>
      <c r="C1018" s="7">
        <v>7.4974238972806501E-2</v>
      </c>
      <c r="D1018" s="7">
        <v>17000</v>
      </c>
      <c r="E1018" s="7" t="s">
        <v>8</v>
      </c>
      <c r="F1018" s="7">
        <v>10.64</v>
      </c>
      <c r="G1018" s="7">
        <v>0</v>
      </c>
      <c r="H1018" s="7">
        <v>19672.769986098701</v>
      </c>
      <c r="I1018" s="7">
        <v>0</v>
      </c>
    </row>
    <row r="1019" spans="1:9" x14ac:dyDescent="0.2">
      <c r="A1019" s="7">
        <v>100140</v>
      </c>
      <c r="B1019" s="7">
        <v>-2.4063853367399298E-3</v>
      </c>
      <c r="C1019" s="7">
        <v>8.4798680815203503E-2</v>
      </c>
      <c r="D1019" s="7">
        <v>25000</v>
      </c>
      <c r="E1019" s="7" t="s">
        <v>7</v>
      </c>
      <c r="F1019" s="7">
        <v>21</v>
      </c>
      <c r="G1019" s="7">
        <v>0</v>
      </c>
      <c r="H1019" s="7">
        <v>37222.76</v>
      </c>
      <c r="I1019" s="7">
        <v>0</v>
      </c>
    </row>
    <row r="1020" spans="1:9" x14ac:dyDescent="0.2">
      <c r="A1020" s="7">
        <v>60518</v>
      </c>
      <c r="B1020" s="7">
        <v>3.6323348404486901E-2</v>
      </c>
      <c r="C1020" s="7">
        <v>7.4974238972806501E-2</v>
      </c>
      <c r="D1020" s="7">
        <v>9150</v>
      </c>
      <c r="E1020" s="7" t="s">
        <v>8</v>
      </c>
      <c r="F1020" s="7">
        <v>12.12</v>
      </c>
      <c r="G1020" s="7">
        <v>0</v>
      </c>
      <c r="H1020" s="7">
        <v>10788.679997543901</v>
      </c>
      <c r="I1020" s="7">
        <v>0</v>
      </c>
    </row>
    <row r="1021" spans="1:9" x14ac:dyDescent="0.2">
      <c r="A1021" s="7">
        <v>110194</v>
      </c>
      <c r="B1021" s="7">
        <v>1.7447029263010599E-2</v>
      </c>
      <c r="C1021" s="7">
        <v>7.4974238972806501E-2</v>
      </c>
      <c r="D1021" s="7">
        <v>6000</v>
      </c>
      <c r="E1021" s="7" t="s">
        <v>4</v>
      </c>
      <c r="F1021" s="7">
        <v>6.03</v>
      </c>
      <c r="G1021" s="7">
        <v>0</v>
      </c>
      <c r="H1021" s="7">
        <v>6574.0521629757995</v>
      </c>
      <c r="I1021" s="7">
        <v>0</v>
      </c>
    </row>
    <row r="1022" spans="1:9" x14ac:dyDescent="0.2">
      <c r="A1022" s="7">
        <v>17180</v>
      </c>
      <c r="B1022" s="7">
        <v>2.9366455243799199E-2</v>
      </c>
      <c r="C1022" s="7">
        <v>7.4974238972806501E-2</v>
      </c>
      <c r="D1022" s="7">
        <v>7500</v>
      </c>
      <c r="E1022" s="7" t="s">
        <v>4</v>
      </c>
      <c r="F1022" s="7">
        <v>9.25</v>
      </c>
      <c r="G1022" s="7">
        <v>0</v>
      </c>
      <c r="H1022" s="7">
        <v>8379.5299968248</v>
      </c>
      <c r="I1022" s="7">
        <v>0</v>
      </c>
    </row>
    <row r="1023" spans="1:9" x14ac:dyDescent="0.2">
      <c r="A1023" s="7">
        <v>33363</v>
      </c>
      <c r="B1023" s="7">
        <v>3.54463298900249E-2</v>
      </c>
      <c r="C1023" s="7">
        <v>8.1509172207196695E-2</v>
      </c>
      <c r="D1023" s="7">
        <v>8975</v>
      </c>
      <c r="E1023" s="7" t="s">
        <v>6</v>
      </c>
      <c r="F1023" s="7">
        <v>20.309999999999999</v>
      </c>
      <c r="G1023" s="7">
        <v>0</v>
      </c>
      <c r="H1023" s="7">
        <v>9928.5533180017992</v>
      </c>
      <c r="I1023" s="7">
        <v>0</v>
      </c>
    </row>
    <row r="1024" spans="1:9" x14ac:dyDescent="0.2">
      <c r="A1024" s="7">
        <v>362</v>
      </c>
      <c r="B1024" s="7">
        <v>3.2310123403130699E-2</v>
      </c>
      <c r="C1024" s="7">
        <v>7.7054178620260594E-2</v>
      </c>
      <c r="D1024" s="7">
        <v>1075</v>
      </c>
      <c r="E1024" s="7" t="s">
        <v>5</v>
      </c>
      <c r="F1024" s="7">
        <v>16.239999999999998</v>
      </c>
      <c r="G1024" s="7">
        <v>0</v>
      </c>
      <c r="H1024" s="7">
        <v>1157.457000119</v>
      </c>
      <c r="I1024" s="7">
        <v>0</v>
      </c>
    </row>
    <row r="1025" spans="1:9" x14ac:dyDescent="0.2">
      <c r="A1025" s="7">
        <v>17615</v>
      </c>
      <c r="B1025" s="7">
        <v>1.46950376550241E-3</v>
      </c>
      <c r="C1025" s="7">
        <v>7.4974238972806501E-2</v>
      </c>
      <c r="D1025" s="7">
        <v>16800</v>
      </c>
      <c r="E1025" s="7" t="s">
        <v>6</v>
      </c>
      <c r="F1025" s="7">
        <v>17.760000000000002</v>
      </c>
      <c r="G1025" s="7">
        <v>1</v>
      </c>
      <c r="H1025" s="7">
        <v>10799.79</v>
      </c>
      <c r="I1025" s="7">
        <v>2313.67</v>
      </c>
    </row>
    <row r="1026" spans="1:9" x14ac:dyDescent="0.2">
      <c r="A1026" s="7">
        <v>90809</v>
      </c>
      <c r="B1026" s="7">
        <v>3.8354247831111903E-2</v>
      </c>
      <c r="C1026" s="7">
        <v>8.4798680815203503E-2</v>
      </c>
      <c r="D1026" s="7">
        <v>20000</v>
      </c>
      <c r="E1026" s="7" t="s">
        <v>5</v>
      </c>
      <c r="F1026" s="7">
        <v>14.33</v>
      </c>
      <c r="G1026" s="7">
        <v>0</v>
      </c>
      <c r="H1026" s="7">
        <v>23142.239832750402</v>
      </c>
      <c r="I1026" s="7">
        <v>0</v>
      </c>
    </row>
    <row r="1027" spans="1:9" x14ac:dyDescent="0.2">
      <c r="A1027" s="7">
        <v>124340</v>
      </c>
      <c r="B1027" s="7">
        <v>1.34789698652946E-2</v>
      </c>
      <c r="C1027" s="7">
        <v>5.3944556304700297E-2</v>
      </c>
      <c r="D1027" s="7">
        <v>21725</v>
      </c>
      <c r="E1027" s="7" t="s">
        <v>4</v>
      </c>
      <c r="F1027" s="7">
        <v>7.62</v>
      </c>
      <c r="G1027" s="7">
        <v>0</v>
      </c>
      <c r="H1027" s="7">
        <v>24371.260002647199</v>
      </c>
      <c r="I1027" s="7">
        <v>0</v>
      </c>
    </row>
    <row r="1028" spans="1:9" x14ac:dyDescent="0.2">
      <c r="A1028" s="7">
        <v>46449</v>
      </c>
      <c r="B1028" s="7">
        <v>3.8171917694957598E-2</v>
      </c>
      <c r="C1028" s="7">
        <v>7.7054178620260594E-2</v>
      </c>
      <c r="D1028" s="7">
        <v>33000</v>
      </c>
      <c r="E1028" s="7" t="s">
        <v>5</v>
      </c>
      <c r="F1028" s="7">
        <v>15.88</v>
      </c>
      <c r="G1028" s="7">
        <v>0</v>
      </c>
      <c r="H1028" s="7">
        <v>41400.000052919997</v>
      </c>
      <c r="I1028" s="7">
        <v>0</v>
      </c>
    </row>
    <row r="1029" spans="1:9" x14ac:dyDescent="0.2">
      <c r="A1029" s="7">
        <v>117876</v>
      </c>
      <c r="B1029" s="7">
        <v>-6.4478945882755602E-3</v>
      </c>
      <c r="C1029" s="7">
        <v>7.7054178620260594E-2</v>
      </c>
      <c r="D1029" s="7">
        <v>9000</v>
      </c>
      <c r="E1029" s="7" t="s">
        <v>6</v>
      </c>
      <c r="F1029" s="7">
        <v>18.489999999999998</v>
      </c>
      <c r="G1029" s="7">
        <v>0</v>
      </c>
      <c r="H1029" s="7">
        <v>12364.3200057184</v>
      </c>
      <c r="I1029" s="7">
        <v>0</v>
      </c>
    </row>
    <row r="1030" spans="1:9" x14ac:dyDescent="0.2">
      <c r="A1030" s="7">
        <v>62752</v>
      </c>
      <c r="B1030" s="7">
        <v>3.3990609916479703E-2</v>
      </c>
      <c r="C1030" s="7">
        <v>8.4798680815203503E-2</v>
      </c>
      <c r="D1030" s="7">
        <v>35000</v>
      </c>
      <c r="E1030" s="7" t="s">
        <v>5</v>
      </c>
      <c r="F1030" s="7">
        <v>15.8</v>
      </c>
      <c r="G1030" s="7">
        <v>0</v>
      </c>
      <c r="H1030" s="7">
        <v>44220.901939069903</v>
      </c>
      <c r="I1030" s="7">
        <v>0</v>
      </c>
    </row>
    <row r="1031" spans="1:9" x14ac:dyDescent="0.2">
      <c r="A1031" s="7">
        <v>55094</v>
      </c>
      <c r="B1031" s="7">
        <v>3.93450616355513E-2</v>
      </c>
      <c r="C1031" s="7">
        <v>8.4798680815203503E-2</v>
      </c>
      <c r="D1031" s="7">
        <v>20000</v>
      </c>
      <c r="E1031" s="7" t="s">
        <v>6</v>
      </c>
      <c r="F1031" s="7">
        <v>19.05</v>
      </c>
      <c r="G1031" s="7">
        <v>0</v>
      </c>
      <c r="H1031" s="7">
        <v>26410.4923566416</v>
      </c>
      <c r="I1031" s="7">
        <v>0</v>
      </c>
    </row>
    <row r="1032" spans="1:9" x14ac:dyDescent="0.2">
      <c r="A1032" s="7">
        <v>138427</v>
      </c>
      <c r="B1032" s="7">
        <v>-3.58779421893274E-3</v>
      </c>
      <c r="C1032" s="7">
        <v>8.4798680815203503E-2</v>
      </c>
      <c r="D1032" s="7">
        <v>33000</v>
      </c>
      <c r="E1032" s="7" t="s">
        <v>7</v>
      </c>
      <c r="F1032" s="7">
        <v>19.989999999999998</v>
      </c>
      <c r="G1032" s="7">
        <v>1</v>
      </c>
      <c r="H1032" s="7">
        <v>25186.560000000001</v>
      </c>
      <c r="I1032" s="7">
        <v>3307.23</v>
      </c>
    </row>
    <row r="1033" spans="1:9" x14ac:dyDescent="0.2">
      <c r="A1033" s="7">
        <v>102499</v>
      </c>
      <c r="B1033" s="7">
        <v>3.9234315521504297E-2</v>
      </c>
      <c r="C1033" s="7">
        <v>8.1509172207196695E-2</v>
      </c>
      <c r="D1033" s="7">
        <v>3500</v>
      </c>
      <c r="E1033" s="7" t="s">
        <v>8</v>
      </c>
      <c r="F1033" s="7">
        <v>13.11</v>
      </c>
      <c r="G1033" s="7">
        <v>0</v>
      </c>
      <c r="H1033" s="7">
        <v>4209.9099984402001</v>
      </c>
      <c r="I1033" s="7">
        <v>0</v>
      </c>
    </row>
    <row r="1034" spans="1:9" x14ac:dyDescent="0.2">
      <c r="A1034" s="7">
        <v>50572</v>
      </c>
      <c r="B1034" s="7">
        <v>3.3679413903699502E-2</v>
      </c>
      <c r="C1034" s="7">
        <v>7.4974238972806501E-2</v>
      </c>
      <c r="D1034" s="7">
        <v>15000</v>
      </c>
      <c r="E1034" s="7" t="s">
        <v>8</v>
      </c>
      <c r="F1034" s="7">
        <v>13.11</v>
      </c>
      <c r="G1034" s="7">
        <v>0</v>
      </c>
      <c r="H1034" s="7">
        <v>18188.800001594998</v>
      </c>
      <c r="I1034" s="7">
        <v>0</v>
      </c>
    </row>
    <row r="1035" spans="1:9" x14ac:dyDescent="0.2">
      <c r="A1035" s="7">
        <v>72254</v>
      </c>
      <c r="B1035" s="7">
        <v>5.7256019902120897E-3</v>
      </c>
      <c r="C1035" s="7">
        <v>8.4798680815203503E-2</v>
      </c>
      <c r="D1035" s="7">
        <v>21200</v>
      </c>
      <c r="E1035" s="7" t="s">
        <v>6</v>
      </c>
      <c r="F1035" s="7">
        <v>19.72</v>
      </c>
      <c r="G1035" s="7">
        <v>0</v>
      </c>
      <c r="H1035" s="7">
        <v>27170.495501189798</v>
      </c>
      <c r="I1035" s="7">
        <v>0</v>
      </c>
    </row>
    <row r="1036" spans="1:9" x14ac:dyDescent="0.2">
      <c r="A1036" s="7">
        <v>108668</v>
      </c>
      <c r="B1036" s="7">
        <v>3.2630328691001097E-2</v>
      </c>
      <c r="C1036" s="7">
        <v>8.1509172207196695E-2</v>
      </c>
      <c r="D1036" s="7">
        <v>6400</v>
      </c>
      <c r="E1036" s="7" t="s">
        <v>8</v>
      </c>
      <c r="F1036" s="7">
        <v>14.09</v>
      </c>
      <c r="G1036" s="7">
        <v>0</v>
      </c>
      <c r="H1036" s="7">
        <v>7799.1600000001999</v>
      </c>
      <c r="I1036" s="7">
        <v>0</v>
      </c>
    </row>
    <row r="1037" spans="1:9" x14ac:dyDescent="0.2">
      <c r="A1037" s="7">
        <v>53514</v>
      </c>
      <c r="B1037" s="7">
        <v>3.1196343221463699E-2</v>
      </c>
      <c r="C1037" s="7">
        <v>7.4974238972806501E-2</v>
      </c>
      <c r="D1037" s="7">
        <v>9950</v>
      </c>
      <c r="E1037" s="7" t="s">
        <v>8</v>
      </c>
      <c r="F1037" s="7">
        <v>13.11</v>
      </c>
      <c r="G1037" s="7">
        <v>0</v>
      </c>
      <c r="H1037" s="7">
        <v>11962.5999963789</v>
      </c>
      <c r="I1037" s="7">
        <v>0</v>
      </c>
    </row>
    <row r="1038" spans="1:9" x14ac:dyDescent="0.2">
      <c r="A1038" s="7">
        <v>112080</v>
      </c>
      <c r="B1038" s="7">
        <v>2.14676282752959E-2</v>
      </c>
      <c r="C1038" s="7">
        <v>8.1509172207196695E-2</v>
      </c>
      <c r="D1038" s="7">
        <v>11500</v>
      </c>
      <c r="E1038" s="7" t="s">
        <v>5</v>
      </c>
      <c r="F1038" s="7">
        <v>15.31</v>
      </c>
      <c r="G1038" s="7">
        <v>0</v>
      </c>
      <c r="H1038" s="7">
        <v>14414.3676284414</v>
      </c>
      <c r="I1038" s="7">
        <v>0</v>
      </c>
    </row>
    <row r="1039" spans="1:9" x14ac:dyDescent="0.2">
      <c r="A1039" s="7">
        <v>135520</v>
      </c>
      <c r="B1039" s="7">
        <v>2.9217710974591998E-2</v>
      </c>
      <c r="C1039" s="7">
        <v>8.1509172207196695E-2</v>
      </c>
      <c r="D1039" s="7">
        <v>12800</v>
      </c>
      <c r="E1039" s="7" t="s">
        <v>8</v>
      </c>
      <c r="F1039" s="7">
        <v>13.11</v>
      </c>
      <c r="G1039" s="7">
        <v>0</v>
      </c>
      <c r="H1039" s="7">
        <v>15569.2645686346</v>
      </c>
      <c r="I1039" s="7">
        <v>0</v>
      </c>
    </row>
    <row r="1040" spans="1:9" x14ac:dyDescent="0.2">
      <c r="A1040" s="7">
        <v>56403</v>
      </c>
      <c r="B1040" s="7">
        <v>2.7880667516879801E-2</v>
      </c>
      <c r="C1040" s="7">
        <v>8.1509172207196695E-2</v>
      </c>
      <c r="D1040" s="7">
        <v>10000</v>
      </c>
      <c r="E1040" s="7" t="s">
        <v>5</v>
      </c>
      <c r="F1040" s="7">
        <v>16.29</v>
      </c>
      <c r="G1040" s="7">
        <v>0</v>
      </c>
      <c r="H1040" s="7">
        <v>11904.5600000009</v>
      </c>
      <c r="I1040" s="7">
        <v>0</v>
      </c>
    </row>
    <row r="1041" spans="1:9" x14ac:dyDescent="0.2">
      <c r="A1041" s="7">
        <v>121339</v>
      </c>
      <c r="B1041" s="7">
        <v>2.2263014179831099E-2</v>
      </c>
      <c r="C1041" s="7">
        <v>7.4974238972806501E-2</v>
      </c>
      <c r="D1041" s="7">
        <v>8000</v>
      </c>
      <c r="E1041" s="7" t="s">
        <v>4</v>
      </c>
      <c r="F1041" s="7">
        <v>7.62</v>
      </c>
      <c r="G1041" s="7">
        <v>0</v>
      </c>
      <c r="H1041" s="7">
        <v>8974.4399999990001</v>
      </c>
      <c r="I1041" s="7">
        <v>0</v>
      </c>
    </row>
    <row r="1042" spans="1:9" x14ac:dyDescent="0.2">
      <c r="A1042" s="7">
        <v>54101</v>
      </c>
      <c r="B1042" s="7">
        <v>4.4492905458353299E-2</v>
      </c>
      <c r="C1042" s="7">
        <v>7.4974238972806501E-2</v>
      </c>
      <c r="D1042" s="7">
        <v>3000</v>
      </c>
      <c r="E1042" s="7" t="s">
        <v>5</v>
      </c>
      <c r="F1042" s="7">
        <v>15.8</v>
      </c>
      <c r="G1042" s="7">
        <v>0</v>
      </c>
      <c r="H1042" s="7">
        <v>3778.4099991454</v>
      </c>
      <c r="I1042" s="7">
        <v>0</v>
      </c>
    </row>
    <row r="1043" spans="1:9" x14ac:dyDescent="0.2">
      <c r="A1043" s="7">
        <v>85646</v>
      </c>
      <c r="B1043" s="7">
        <v>3.8552929406356497E-2</v>
      </c>
      <c r="C1043" s="7">
        <v>5.3944556304700297E-2</v>
      </c>
      <c r="D1043" s="7">
        <v>16000</v>
      </c>
      <c r="E1043" s="7" t="s">
        <v>8</v>
      </c>
      <c r="F1043" s="7">
        <v>13.11</v>
      </c>
      <c r="G1043" s="7">
        <v>1</v>
      </c>
      <c r="H1043" s="7">
        <v>1618.92</v>
      </c>
      <c r="I1043" s="7">
        <v>0</v>
      </c>
    </row>
    <row r="1044" spans="1:9" x14ac:dyDescent="0.2">
      <c r="A1044" s="7">
        <v>50659</v>
      </c>
      <c r="B1044" s="7">
        <v>2.2485658520469898E-2</v>
      </c>
      <c r="C1044" s="7">
        <v>8.1509172207196695E-2</v>
      </c>
      <c r="D1044" s="7">
        <v>8000</v>
      </c>
      <c r="E1044" s="7" t="s">
        <v>8</v>
      </c>
      <c r="F1044" s="7">
        <v>11.14</v>
      </c>
      <c r="G1044" s="7">
        <v>0</v>
      </c>
      <c r="H1044" s="7">
        <v>9447.7938434342996</v>
      </c>
      <c r="I1044" s="7">
        <v>0</v>
      </c>
    </row>
    <row r="1045" spans="1:9" x14ac:dyDescent="0.2">
      <c r="A1045" s="7">
        <v>12</v>
      </c>
      <c r="B1045" s="7">
        <v>3.1758322427442497E-2</v>
      </c>
      <c r="C1045" s="7">
        <v>8.1509172207196695E-2</v>
      </c>
      <c r="D1045" s="7">
        <v>6000</v>
      </c>
      <c r="E1045" s="7" t="s">
        <v>8</v>
      </c>
      <c r="F1045" s="7">
        <v>9.67</v>
      </c>
      <c r="G1045" s="7">
        <v>0</v>
      </c>
      <c r="H1045" s="7">
        <v>6048.35</v>
      </c>
      <c r="I1045" s="7">
        <v>0</v>
      </c>
    </row>
    <row r="1046" spans="1:9" x14ac:dyDescent="0.2">
      <c r="A1046" s="7">
        <v>73663</v>
      </c>
      <c r="B1046" s="7">
        <v>2.2644041533296501E-2</v>
      </c>
      <c r="C1046" s="7">
        <v>7.4974238972806501E-2</v>
      </c>
      <c r="D1046" s="7">
        <v>4900</v>
      </c>
      <c r="E1046" s="7" t="s">
        <v>7</v>
      </c>
      <c r="F1046" s="7">
        <v>21.49</v>
      </c>
      <c r="G1046" s="7">
        <v>0</v>
      </c>
      <c r="H1046" s="7">
        <v>6693.5082012406001</v>
      </c>
      <c r="I1046" s="7">
        <v>0</v>
      </c>
    </row>
    <row r="1047" spans="1:9" x14ac:dyDescent="0.2">
      <c r="A1047" s="7">
        <v>39104</v>
      </c>
      <c r="B1047" s="7">
        <v>2.7961386001920201E-2</v>
      </c>
      <c r="C1047" s="7">
        <v>7.4974238972806501E-2</v>
      </c>
      <c r="D1047" s="7">
        <v>18000</v>
      </c>
      <c r="E1047" s="7" t="s">
        <v>8</v>
      </c>
      <c r="F1047" s="7">
        <v>13.05</v>
      </c>
      <c r="G1047" s="7">
        <v>0</v>
      </c>
      <c r="H1047" s="7">
        <v>21787.24</v>
      </c>
      <c r="I1047" s="7">
        <v>0</v>
      </c>
    </row>
    <row r="1048" spans="1:9" x14ac:dyDescent="0.2">
      <c r="A1048" s="7">
        <v>134929</v>
      </c>
      <c r="B1048" s="7">
        <v>3.4957011629682497E-2</v>
      </c>
      <c r="C1048" s="7">
        <v>8.1509172207196695E-2</v>
      </c>
      <c r="D1048" s="7">
        <v>12000</v>
      </c>
      <c r="E1048" s="7" t="s">
        <v>5</v>
      </c>
      <c r="F1048" s="7">
        <v>14.65</v>
      </c>
      <c r="G1048" s="7">
        <v>1</v>
      </c>
      <c r="H1048" s="7">
        <v>2068.85</v>
      </c>
      <c r="I1048" s="7">
        <v>0</v>
      </c>
    </row>
    <row r="1049" spans="1:9" x14ac:dyDescent="0.2">
      <c r="A1049" s="7">
        <v>32068</v>
      </c>
      <c r="B1049" s="7">
        <v>2.2568177852876899E-2</v>
      </c>
      <c r="C1049" s="7">
        <v>8.1509172207196695E-2</v>
      </c>
      <c r="D1049" s="7">
        <v>9000</v>
      </c>
      <c r="E1049" s="7" t="s">
        <v>10</v>
      </c>
      <c r="F1049" s="7">
        <v>23.5</v>
      </c>
      <c r="G1049" s="7">
        <v>1</v>
      </c>
      <c r="H1049" s="7">
        <v>5175</v>
      </c>
      <c r="I1049" s="7">
        <v>967.12</v>
      </c>
    </row>
    <row r="1050" spans="1:9" x14ac:dyDescent="0.2">
      <c r="A1050" s="7">
        <v>47899</v>
      </c>
      <c r="B1050" s="7">
        <v>3.0124852301431901E-2</v>
      </c>
      <c r="C1050" s="7">
        <v>7.7054178620260594E-2</v>
      </c>
      <c r="D1050" s="7">
        <v>10000</v>
      </c>
      <c r="E1050" s="7" t="s">
        <v>5</v>
      </c>
      <c r="F1050" s="7">
        <v>15.31</v>
      </c>
      <c r="G1050" s="7">
        <v>0</v>
      </c>
      <c r="H1050" s="7">
        <v>11601.251947680201</v>
      </c>
      <c r="I1050" s="7">
        <v>0</v>
      </c>
    </row>
    <row r="1051" spans="1:9" x14ac:dyDescent="0.2">
      <c r="A1051" s="7">
        <v>139695</v>
      </c>
      <c r="B1051" s="7">
        <v>-1.15576231961447E-4</v>
      </c>
      <c r="C1051" s="7">
        <v>8.4798680815203503E-2</v>
      </c>
      <c r="D1051" s="7">
        <v>21000</v>
      </c>
      <c r="E1051" s="7" t="s">
        <v>7</v>
      </c>
      <c r="F1051" s="7">
        <v>19.989999999999998</v>
      </c>
      <c r="G1051" s="7">
        <v>1</v>
      </c>
      <c r="H1051" s="7">
        <v>6632.67</v>
      </c>
      <c r="I1051" s="7">
        <v>1078.47</v>
      </c>
    </row>
    <row r="1052" spans="1:9" x14ac:dyDescent="0.2">
      <c r="A1052" s="7">
        <v>49092</v>
      </c>
      <c r="B1052" s="7">
        <v>4.5866036551433002E-2</v>
      </c>
      <c r="C1052" s="7">
        <v>7.4974238972806501E-2</v>
      </c>
      <c r="D1052" s="7">
        <v>9000</v>
      </c>
      <c r="E1052" s="7" t="s">
        <v>6</v>
      </c>
      <c r="F1052" s="7">
        <v>19.72</v>
      </c>
      <c r="G1052" s="7">
        <v>0</v>
      </c>
      <c r="H1052" s="7">
        <v>11860.35</v>
      </c>
      <c r="I1052" s="7">
        <v>0</v>
      </c>
    </row>
    <row r="1053" spans="1:9" x14ac:dyDescent="0.2">
      <c r="A1053" s="7">
        <v>44459</v>
      </c>
      <c r="B1053" s="7">
        <v>3.19420213865306E-2</v>
      </c>
      <c r="C1053" s="7">
        <v>5.3944556304700297E-2</v>
      </c>
      <c r="D1053" s="7">
        <v>17000</v>
      </c>
      <c r="E1053" s="7" t="s">
        <v>8</v>
      </c>
      <c r="F1053" s="7">
        <v>10.64</v>
      </c>
      <c r="G1053" s="7">
        <v>0</v>
      </c>
      <c r="H1053" s="7">
        <v>19929.4099836026</v>
      </c>
      <c r="I1053" s="7">
        <v>0</v>
      </c>
    </row>
    <row r="1054" spans="1:9" x14ac:dyDescent="0.2">
      <c r="A1054" s="7">
        <v>84433</v>
      </c>
      <c r="B1054" s="7">
        <v>3.5681017550016202E-2</v>
      </c>
      <c r="C1054" s="7">
        <v>8.4798680815203503E-2</v>
      </c>
      <c r="D1054" s="7">
        <v>24000</v>
      </c>
      <c r="E1054" s="7" t="s">
        <v>8</v>
      </c>
      <c r="F1054" s="7">
        <v>13.11</v>
      </c>
      <c r="G1054" s="7">
        <v>0</v>
      </c>
      <c r="H1054" s="7">
        <v>28879.300011220701</v>
      </c>
      <c r="I1054" s="7">
        <v>0</v>
      </c>
    </row>
    <row r="1055" spans="1:9" x14ac:dyDescent="0.2">
      <c r="A1055" s="7">
        <v>139723</v>
      </c>
      <c r="B1055" s="7">
        <v>4.1941110017367597E-2</v>
      </c>
      <c r="C1055" s="7">
        <v>7.4974238972806501E-2</v>
      </c>
      <c r="D1055" s="7">
        <v>12000</v>
      </c>
      <c r="E1055" s="7" t="s">
        <v>5</v>
      </c>
      <c r="F1055" s="7">
        <v>15.31</v>
      </c>
      <c r="G1055" s="7">
        <v>0</v>
      </c>
      <c r="H1055" s="7">
        <v>14989.1476357064</v>
      </c>
      <c r="I1055" s="7">
        <v>0</v>
      </c>
    </row>
    <row r="1056" spans="1:9" x14ac:dyDescent="0.2">
      <c r="A1056" s="7">
        <v>90119</v>
      </c>
      <c r="B1056" s="7">
        <v>2.4286048785702698E-2</v>
      </c>
      <c r="C1056" s="7">
        <v>8.1509172207196695E-2</v>
      </c>
      <c r="D1056" s="7">
        <v>5500</v>
      </c>
      <c r="E1056" s="7" t="s">
        <v>5</v>
      </c>
      <c r="F1056" s="7">
        <v>15.31</v>
      </c>
      <c r="G1056" s="7">
        <v>0</v>
      </c>
      <c r="H1056" s="7">
        <v>6697.5899978458001</v>
      </c>
      <c r="I1056" s="7">
        <v>0</v>
      </c>
    </row>
    <row r="1057" spans="1:9" x14ac:dyDescent="0.2">
      <c r="A1057" s="7">
        <v>67296</v>
      </c>
      <c r="B1057" s="7">
        <v>4.1767181133191599E-3</v>
      </c>
      <c r="C1057" s="7">
        <v>8.1509172207196695E-2</v>
      </c>
      <c r="D1057" s="7">
        <v>16275</v>
      </c>
      <c r="E1057" s="7" t="s">
        <v>8</v>
      </c>
      <c r="F1057" s="7">
        <v>12.12</v>
      </c>
      <c r="G1057" s="7">
        <v>0</v>
      </c>
      <c r="H1057" s="7">
        <v>17077.534855097299</v>
      </c>
      <c r="I1057" s="7">
        <v>0</v>
      </c>
    </row>
    <row r="1058" spans="1:9" x14ac:dyDescent="0.2">
      <c r="A1058" s="7">
        <v>31760</v>
      </c>
      <c r="B1058" s="7">
        <v>3.5230215782846797E-2</v>
      </c>
      <c r="C1058" s="7">
        <v>7.7054178620260594E-2</v>
      </c>
      <c r="D1058" s="7">
        <v>6000</v>
      </c>
      <c r="E1058" s="7" t="s">
        <v>8</v>
      </c>
      <c r="F1058" s="7">
        <v>11.55</v>
      </c>
      <c r="G1058" s="7">
        <v>0</v>
      </c>
      <c r="H1058" s="7">
        <v>6057.75</v>
      </c>
      <c r="I1058" s="7">
        <v>0</v>
      </c>
    </row>
    <row r="1059" spans="1:9" x14ac:dyDescent="0.2">
      <c r="A1059" s="7">
        <v>99720</v>
      </c>
      <c r="B1059" s="7">
        <v>2.86899547249948E-2</v>
      </c>
      <c r="C1059" s="7">
        <v>7.4974238972806501E-2</v>
      </c>
      <c r="D1059" s="7">
        <v>12000</v>
      </c>
      <c r="E1059" s="7" t="s">
        <v>6</v>
      </c>
      <c r="F1059" s="7">
        <v>17.77</v>
      </c>
      <c r="G1059" s="7">
        <v>1</v>
      </c>
      <c r="H1059" s="7">
        <v>13416.47</v>
      </c>
      <c r="I1059" s="7">
        <v>447.59</v>
      </c>
    </row>
    <row r="1060" spans="1:9" x14ac:dyDescent="0.2">
      <c r="A1060" s="7">
        <v>89022</v>
      </c>
      <c r="B1060" s="7">
        <v>-6.2879121858115299E-3</v>
      </c>
      <c r="C1060" s="7">
        <v>8.4798680815203503E-2</v>
      </c>
      <c r="D1060" s="7">
        <v>25200</v>
      </c>
      <c r="E1060" s="7" t="s">
        <v>8</v>
      </c>
      <c r="F1060" s="7">
        <v>12.12</v>
      </c>
      <c r="G1060" s="7">
        <v>1</v>
      </c>
      <c r="H1060" s="7">
        <v>8993.44</v>
      </c>
      <c r="I1060" s="7">
        <v>12.96</v>
      </c>
    </row>
    <row r="1061" spans="1:9" x14ac:dyDescent="0.2">
      <c r="A1061" s="7">
        <v>36802</v>
      </c>
      <c r="B1061" s="7">
        <v>2.5730166483900301E-2</v>
      </c>
      <c r="C1061" s="7">
        <v>7.4974238972806501E-2</v>
      </c>
      <c r="D1061" s="7">
        <v>10000</v>
      </c>
      <c r="E1061" s="7" t="s">
        <v>4</v>
      </c>
      <c r="F1061" s="7">
        <v>8.9</v>
      </c>
      <c r="G1061" s="7">
        <v>0</v>
      </c>
      <c r="H1061" s="7">
        <v>11199.589999999</v>
      </c>
      <c r="I1061" s="7">
        <v>0</v>
      </c>
    </row>
    <row r="1062" spans="1:9" x14ac:dyDescent="0.2">
      <c r="A1062" s="7">
        <v>3383</v>
      </c>
      <c r="B1062" s="7">
        <v>2.7036280355362301E-2</v>
      </c>
      <c r="C1062" s="7">
        <v>8.4798680815203503E-2</v>
      </c>
      <c r="D1062" s="7">
        <v>29175</v>
      </c>
      <c r="E1062" s="7" t="s">
        <v>8</v>
      </c>
      <c r="F1062" s="7">
        <v>11.99</v>
      </c>
      <c r="G1062" s="7">
        <v>0</v>
      </c>
      <c r="H1062" s="7">
        <v>32097.449998539199</v>
      </c>
      <c r="I1062" s="7">
        <v>0</v>
      </c>
    </row>
    <row r="1063" spans="1:9" x14ac:dyDescent="0.2">
      <c r="A1063" s="7">
        <v>1811</v>
      </c>
      <c r="B1063" s="7">
        <v>2.76381822922716E-2</v>
      </c>
      <c r="C1063" s="7">
        <v>8.1509172207196695E-2</v>
      </c>
      <c r="D1063" s="7">
        <v>5000</v>
      </c>
      <c r="E1063" s="7" t="s">
        <v>5</v>
      </c>
      <c r="F1063" s="7">
        <v>13.98</v>
      </c>
      <c r="G1063" s="7">
        <v>0</v>
      </c>
      <c r="H1063" s="7">
        <v>5724.9800000005998</v>
      </c>
      <c r="I1063" s="7">
        <v>0</v>
      </c>
    </row>
    <row r="1064" spans="1:9" x14ac:dyDescent="0.2">
      <c r="A1064" s="7">
        <v>136194</v>
      </c>
      <c r="B1064" s="7">
        <v>3.3392293990104002E-2</v>
      </c>
      <c r="C1064" s="7">
        <v>7.4974238972806501E-2</v>
      </c>
      <c r="D1064" s="7">
        <v>10000</v>
      </c>
      <c r="E1064" s="7" t="s">
        <v>8</v>
      </c>
      <c r="F1064" s="7">
        <v>12.12</v>
      </c>
      <c r="G1064" s="7">
        <v>0</v>
      </c>
      <c r="H1064" s="7">
        <v>11977.779999999901</v>
      </c>
      <c r="I1064" s="7">
        <v>0</v>
      </c>
    </row>
    <row r="1065" spans="1:9" x14ac:dyDescent="0.2">
      <c r="A1065" s="7">
        <v>106937</v>
      </c>
      <c r="B1065" s="7">
        <v>3.4157530573677E-2</v>
      </c>
      <c r="C1065" s="7">
        <v>8.1509172207196695E-2</v>
      </c>
      <c r="D1065" s="7">
        <v>5250</v>
      </c>
      <c r="E1065" s="7" t="s">
        <v>8</v>
      </c>
      <c r="F1065" s="7">
        <v>13.11</v>
      </c>
      <c r="G1065" s="7">
        <v>0</v>
      </c>
      <c r="H1065" s="7">
        <v>5523.9447518604002</v>
      </c>
      <c r="I1065" s="7">
        <v>0</v>
      </c>
    </row>
    <row r="1066" spans="1:9" x14ac:dyDescent="0.2">
      <c r="A1066" s="7">
        <v>97652</v>
      </c>
      <c r="B1066" s="7">
        <v>2.43183058055432E-2</v>
      </c>
      <c r="C1066" s="7">
        <v>8.1509172207196695E-2</v>
      </c>
      <c r="D1066" s="7">
        <v>12000</v>
      </c>
      <c r="E1066" s="7" t="s">
        <v>8</v>
      </c>
      <c r="F1066" s="7">
        <v>11.14</v>
      </c>
      <c r="G1066" s="7">
        <v>0</v>
      </c>
      <c r="H1066" s="7">
        <v>13876.369999437</v>
      </c>
      <c r="I1066" s="7">
        <v>0</v>
      </c>
    </row>
    <row r="1067" spans="1:9" x14ac:dyDescent="0.2">
      <c r="A1067" s="7">
        <v>18457</v>
      </c>
      <c r="B1067" s="7">
        <v>2.8521187546651301E-2</v>
      </c>
      <c r="C1067" s="7">
        <v>7.7054178620260594E-2</v>
      </c>
      <c r="D1067" s="7">
        <v>9000</v>
      </c>
      <c r="E1067" s="7" t="s">
        <v>5</v>
      </c>
      <c r="F1067" s="7">
        <v>15.1</v>
      </c>
      <c r="G1067" s="7">
        <v>0</v>
      </c>
      <c r="H1067" s="7">
        <v>10603.81</v>
      </c>
      <c r="I1067" s="7">
        <v>0</v>
      </c>
    </row>
    <row r="1068" spans="1:9" x14ac:dyDescent="0.2">
      <c r="A1068" s="7">
        <v>33867</v>
      </c>
      <c r="B1068" s="7">
        <v>2.50349583416162E-2</v>
      </c>
      <c r="C1068" s="7">
        <v>5.3944556304700297E-2</v>
      </c>
      <c r="D1068" s="7">
        <v>20000</v>
      </c>
      <c r="E1068" s="7" t="s">
        <v>4</v>
      </c>
      <c r="F1068" s="7">
        <v>6.62</v>
      </c>
      <c r="G1068" s="7">
        <v>0</v>
      </c>
      <c r="H1068" s="7">
        <v>21058.263818720501</v>
      </c>
      <c r="I1068" s="7">
        <v>0</v>
      </c>
    </row>
    <row r="1069" spans="1:9" x14ac:dyDescent="0.2">
      <c r="A1069" s="7">
        <v>88920</v>
      </c>
      <c r="B1069" s="7">
        <v>3.3102215645916498E-2</v>
      </c>
      <c r="C1069" s="7">
        <v>8.1509172207196695E-2</v>
      </c>
      <c r="D1069" s="7">
        <v>9750</v>
      </c>
      <c r="E1069" s="7" t="s">
        <v>5</v>
      </c>
      <c r="F1069" s="7">
        <v>15.8</v>
      </c>
      <c r="G1069" s="7">
        <v>1</v>
      </c>
      <c r="H1069" s="7">
        <v>7858.86</v>
      </c>
      <c r="I1069" s="7">
        <v>0</v>
      </c>
    </row>
    <row r="1070" spans="1:9" x14ac:dyDescent="0.2">
      <c r="A1070" s="7">
        <v>21725</v>
      </c>
      <c r="B1070" s="7">
        <v>2.23821279902429E-2</v>
      </c>
      <c r="C1070" s="7">
        <v>8.4798680815203503E-2</v>
      </c>
      <c r="D1070" s="7">
        <v>17050</v>
      </c>
      <c r="E1070" s="7" t="s">
        <v>6</v>
      </c>
      <c r="F1070" s="7">
        <v>19.52</v>
      </c>
      <c r="G1070" s="7">
        <v>1</v>
      </c>
      <c r="H1070" s="7">
        <v>629.48</v>
      </c>
      <c r="I1070" s="7">
        <v>0</v>
      </c>
    </row>
    <row r="1071" spans="1:9" x14ac:dyDescent="0.2">
      <c r="A1071" s="7">
        <v>131874</v>
      </c>
      <c r="B1071" s="7">
        <v>3.3253230269471697E-2</v>
      </c>
      <c r="C1071" s="7">
        <v>7.4974238972806501E-2</v>
      </c>
      <c r="D1071" s="7">
        <v>7500</v>
      </c>
      <c r="E1071" s="7" t="s">
        <v>5</v>
      </c>
      <c r="F1071" s="7">
        <v>14.65</v>
      </c>
      <c r="G1071" s="7">
        <v>0</v>
      </c>
      <c r="H1071" s="7">
        <v>8706.0026379439005</v>
      </c>
      <c r="I1071" s="7">
        <v>0</v>
      </c>
    </row>
    <row r="1072" spans="1:9" x14ac:dyDescent="0.2">
      <c r="A1072" s="7">
        <v>114625</v>
      </c>
      <c r="B1072" s="7">
        <v>2.15339981492506E-2</v>
      </c>
      <c r="C1072" s="7">
        <v>7.4974238972806501E-2</v>
      </c>
      <c r="D1072" s="7">
        <v>9800</v>
      </c>
      <c r="E1072" s="7" t="s">
        <v>8</v>
      </c>
      <c r="F1072" s="7">
        <v>12.12</v>
      </c>
      <c r="G1072" s="7">
        <v>0</v>
      </c>
      <c r="H1072" s="7">
        <v>11738.1834941502</v>
      </c>
      <c r="I1072" s="7">
        <v>0</v>
      </c>
    </row>
    <row r="1073" spans="1:9" x14ac:dyDescent="0.2">
      <c r="A1073" s="7">
        <v>137431</v>
      </c>
      <c r="B1073" s="7">
        <v>2.5929994185085702E-2</v>
      </c>
      <c r="C1073" s="7">
        <v>7.4974238972806501E-2</v>
      </c>
      <c r="D1073" s="7">
        <v>16000</v>
      </c>
      <c r="E1073" s="7" t="s">
        <v>4</v>
      </c>
      <c r="F1073" s="7">
        <v>7.9</v>
      </c>
      <c r="G1073" s="7">
        <v>0</v>
      </c>
      <c r="H1073" s="7">
        <v>16208.5374449351</v>
      </c>
      <c r="I1073" s="7">
        <v>0</v>
      </c>
    </row>
    <row r="1074" spans="1:9" x14ac:dyDescent="0.2">
      <c r="A1074" s="7">
        <v>66409</v>
      </c>
      <c r="B1074" s="7">
        <v>3.3679344253976597E-2</v>
      </c>
      <c r="C1074" s="7">
        <v>7.7054178620260594E-2</v>
      </c>
      <c r="D1074" s="7">
        <v>5600</v>
      </c>
      <c r="E1074" s="7" t="s">
        <v>5</v>
      </c>
      <c r="F1074" s="7">
        <v>16.29</v>
      </c>
      <c r="G1074" s="7">
        <v>1</v>
      </c>
      <c r="H1074" s="7">
        <v>5816.54</v>
      </c>
      <c r="I1074" s="7">
        <v>50.86</v>
      </c>
    </row>
    <row r="1075" spans="1:9" x14ac:dyDescent="0.2">
      <c r="A1075" s="7">
        <v>71172</v>
      </c>
      <c r="B1075" s="7">
        <v>2.5957413807698101E-2</v>
      </c>
      <c r="C1075" s="7">
        <v>8.1509172207196695E-2</v>
      </c>
      <c r="D1075" s="7">
        <v>4000</v>
      </c>
      <c r="E1075" s="7" t="s">
        <v>6</v>
      </c>
      <c r="F1075" s="7">
        <v>19.05</v>
      </c>
      <c r="G1075" s="7">
        <v>0</v>
      </c>
      <c r="H1075" s="7">
        <v>4573.0595302173997</v>
      </c>
      <c r="I1075" s="7">
        <v>0</v>
      </c>
    </row>
    <row r="1076" spans="1:9" x14ac:dyDescent="0.2">
      <c r="A1076" s="7">
        <v>20883</v>
      </c>
      <c r="B1076" s="7">
        <v>2.9944023095435701E-2</v>
      </c>
      <c r="C1076" s="7">
        <v>7.7054178620260594E-2</v>
      </c>
      <c r="D1076" s="7">
        <v>8500</v>
      </c>
      <c r="E1076" s="7" t="s">
        <v>5</v>
      </c>
      <c r="F1076" s="7">
        <v>14.3</v>
      </c>
      <c r="G1076" s="7">
        <v>0</v>
      </c>
      <c r="H1076" s="7">
        <v>10283.6200019609</v>
      </c>
      <c r="I1076" s="7">
        <v>0</v>
      </c>
    </row>
    <row r="1077" spans="1:9" x14ac:dyDescent="0.2">
      <c r="A1077" s="7">
        <v>10814</v>
      </c>
      <c r="B1077" s="7">
        <v>3.2386763784345698E-2</v>
      </c>
      <c r="C1077" s="7">
        <v>7.4974238972806501E-2</v>
      </c>
      <c r="D1077" s="7">
        <v>15000</v>
      </c>
      <c r="E1077" s="7" t="s">
        <v>8</v>
      </c>
      <c r="F1077" s="7">
        <v>12.99</v>
      </c>
      <c r="G1077" s="7">
        <v>0</v>
      </c>
      <c r="H1077" s="7">
        <v>16531.855288283601</v>
      </c>
      <c r="I1077" s="7">
        <v>0</v>
      </c>
    </row>
    <row r="1078" spans="1:9" x14ac:dyDescent="0.2">
      <c r="A1078" s="7">
        <v>13180</v>
      </c>
      <c r="B1078" s="7">
        <v>3.9213012539304801E-2</v>
      </c>
      <c r="C1078" s="7">
        <v>7.4974238972806501E-2</v>
      </c>
      <c r="D1078" s="7">
        <v>5000</v>
      </c>
      <c r="E1078" s="7" t="s">
        <v>8</v>
      </c>
      <c r="F1078" s="7">
        <v>12.99</v>
      </c>
      <c r="G1078" s="7">
        <v>1</v>
      </c>
      <c r="H1078" s="7">
        <v>4022.42</v>
      </c>
      <c r="I1078" s="7">
        <v>316.94</v>
      </c>
    </row>
    <row r="1079" spans="1:9" x14ac:dyDescent="0.2">
      <c r="A1079" s="7">
        <v>78040</v>
      </c>
      <c r="B1079" s="7">
        <v>1.9497795754588602E-2</v>
      </c>
      <c r="C1079" s="7">
        <v>7.4974238972806501E-2</v>
      </c>
      <c r="D1079" s="7">
        <v>9900</v>
      </c>
      <c r="E1079" s="7" t="s">
        <v>4</v>
      </c>
      <c r="F1079" s="7">
        <v>8.9</v>
      </c>
      <c r="G1079" s="7">
        <v>0</v>
      </c>
      <c r="H1079" s="7">
        <v>11316.828382784</v>
      </c>
      <c r="I1079" s="7">
        <v>0</v>
      </c>
    </row>
    <row r="1080" spans="1:9" x14ac:dyDescent="0.2">
      <c r="A1080" s="7">
        <v>114081</v>
      </c>
      <c r="B1080" s="7">
        <v>2.5253454410285099E-2</v>
      </c>
      <c r="C1080" s="7">
        <v>8.1509172207196695E-2</v>
      </c>
      <c r="D1080" s="7">
        <v>17625</v>
      </c>
      <c r="E1080" s="7" t="s">
        <v>5</v>
      </c>
      <c r="F1080" s="7">
        <v>15.31</v>
      </c>
      <c r="G1080" s="7">
        <v>1</v>
      </c>
      <c r="H1080" s="7">
        <v>9137.91</v>
      </c>
      <c r="I1080" s="7">
        <v>1775.07</v>
      </c>
    </row>
    <row r="1081" spans="1:9" x14ac:dyDescent="0.2">
      <c r="A1081" s="7">
        <v>51602</v>
      </c>
      <c r="B1081" s="7">
        <v>4.2127056427405302E-2</v>
      </c>
      <c r="C1081" s="7">
        <v>7.4974238972806501E-2</v>
      </c>
      <c r="D1081" s="7">
        <v>5375</v>
      </c>
      <c r="E1081" s="7" t="s">
        <v>5</v>
      </c>
      <c r="F1081" s="7">
        <v>16.29</v>
      </c>
      <c r="G1081" s="7">
        <v>0</v>
      </c>
      <c r="H1081" s="7">
        <v>6830.6175552749</v>
      </c>
      <c r="I1081" s="7">
        <v>0</v>
      </c>
    </row>
    <row r="1082" spans="1:9" x14ac:dyDescent="0.2">
      <c r="A1082" s="7">
        <v>37245</v>
      </c>
      <c r="B1082" s="7">
        <v>3.5595431100892798E-2</v>
      </c>
      <c r="C1082" s="7">
        <v>7.4974238972806501E-2</v>
      </c>
      <c r="D1082" s="7">
        <v>1400</v>
      </c>
      <c r="E1082" s="7" t="s">
        <v>5</v>
      </c>
      <c r="F1082" s="7">
        <v>16.78</v>
      </c>
      <c r="G1082" s="7">
        <v>0</v>
      </c>
      <c r="H1082" s="7">
        <v>1779.62</v>
      </c>
      <c r="I1082" s="7">
        <v>0</v>
      </c>
    </row>
    <row r="1083" spans="1:9" x14ac:dyDescent="0.2">
      <c r="A1083" s="7">
        <v>54510</v>
      </c>
      <c r="B1083" s="7">
        <v>3.5183733115928899E-3</v>
      </c>
      <c r="C1083" s="7">
        <v>8.4798680815203503E-2</v>
      </c>
      <c r="D1083" s="7">
        <v>35000</v>
      </c>
      <c r="E1083" s="7" t="s">
        <v>10</v>
      </c>
      <c r="F1083" s="7">
        <v>23.63</v>
      </c>
      <c r="G1083" s="7">
        <v>0</v>
      </c>
      <c r="H1083" s="7">
        <v>47425.219932920998</v>
      </c>
      <c r="I1083" s="7">
        <v>0</v>
      </c>
    </row>
    <row r="1084" spans="1:9" x14ac:dyDescent="0.2">
      <c r="A1084" s="7">
        <v>132608</v>
      </c>
      <c r="B1084" s="7">
        <v>3.2321467259822503E-2</v>
      </c>
      <c r="C1084" s="7">
        <v>7.4974238972806501E-2</v>
      </c>
      <c r="D1084" s="7">
        <v>12000</v>
      </c>
      <c r="E1084" s="7" t="s">
        <v>8</v>
      </c>
      <c r="F1084" s="7">
        <v>9.76</v>
      </c>
      <c r="G1084" s="7">
        <v>0</v>
      </c>
      <c r="H1084" s="7">
        <v>13890.779991871899</v>
      </c>
      <c r="I1084" s="7">
        <v>0</v>
      </c>
    </row>
    <row r="1085" spans="1:9" x14ac:dyDescent="0.2">
      <c r="A1085" s="7">
        <v>1047</v>
      </c>
      <c r="B1085" s="7">
        <v>-7.5745739440473197E-4</v>
      </c>
      <c r="C1085" s="7">
        <v>7.4974238972806501E-2</v>
      </c>
      <c r="D1085" s="7">
        <v>16000</v>
      </c>
      <c r="E1085" s="7" t="s">
        <v>5</v>
      </c>
      <c r="F1085" s="7">
        <v>14.98</v>
      </c>
      <c r="G1085" s="7">
        <v>0</v>
      </c>
      <c r="H1085" s="7">
        <v>18870.57</v>
      </c>
      <c r="I1085" s="7">
        <v>0</v>
      </c>
    </row>
    <row r="1086" spans="1:9" x14ac:dyDescent="0.2">
      <c r="A1086" s="7">
        <v>81030</v>
      </c>
      <c r="B1086" s="7">
        <v>3.05496175896495E-2</v>
      </c>
      <c r="C1086" s="7">
        <v>5.3944556304700297E-2</v>
      </c>
      <c r="D1086" s="7">
        <v>35000</v>
      </c>
      <c r="E1086" s="7" t="s">
        <v>8</v>
      </c>
      <c r="F1086" s="7">
        <v>11.14</v>
      </c>
      <c r="G1086" s="7">
        <v>0</v>
      </c>
      <c r="H1086" s="7">
        <v>39434.334434512501</v>
      </c>
      <c r="I1086" s="7">
        <v>0</v>
      </c>
    </row>
    <row r="1087" spans="1:9" x14ac:dyDescent="0.2">
      <c r="A1087" s="7">
        <v>22174</v>
      </c>
      <c r="B1087" s="7">
        <v>2.9972072309639799E-2</v>
      </c>
      <c r="C1087" s="7">
        <v>7.4974238972806501E-2</v>
      </c>
      <c r="D1087" s="7">
        <v>8400</v>
      </c>
      <c r="E1087" s="7" t="s">
        <v>8</v>
      </c>
      <c r="F1087" s="7">
        <v>9.99</v>
      </c>
      <c r="G1087" s="7">
        <v>0</v>
      </c>
      <c r="H1087" s="7">
        <v>9174.4488053458008</v>
      </c>
      <c r="I1087" s="7">
        <v>0</v>
      </c>
    </row>
    <row r="1088" spans="1:9" x14ac:dyDescent="0.2">
      <c r="A1088" s="7">
        <v>1234</v>
      </c>
      <c r="B1088" s="7">
        <v>2.7232967715553599E-2</v>
      </c>
      <c r="C1088" s="7">
        <v>8.1509172207196695E-2</v>
      </c>
      <c r="D1088" s="7">
        <v>4500</v>
      </c>
      <c r="E1088" s="7" t="s">
        <v>5</v>
      </c>
      <c r="F1088" s="7">
        <v>13.98</v>
      </c>
      <c r="G1088" s="7">
        <v>0</v>
      </c>
      <c r="H1088" s="7">
        <v>5251.3</v>
      </c>
      <c r="I1088" s="7">
        <v>0</v>
      </c>
    </row>
    <row r="1089" spans="1:9" x14ac:dyDescent="0.2">
      <c r="A1089" s="7">
        <v>71228</v>
      </c>
      <c r="B1089" s="7">
        <v>4.0453600051237798E-2</v>
      </c>
      <c r="C1089" s="7">
        <v>5.3944556304700297E-2</v>
      </c>
      <c r="D1089" s="7">
        <v>15000</v>
      </c>
      <c r="E1089" s="7" t="s">
        <v>6</v>
      </c>
      <c r="F1089" s="7">
        <v>17.77</v>
      </c>
      <c r="G1089" s="7">
        <v>0</v>
      </c>
      <c r="H1089" s="7">
        <v>19174.3600175297</v>
      </c>
      <c r="I1089" s="7">
        <v>0</v>
      </c>
    </row>
    <row r="1090" spans="1:9" x14ac:dyDescent="0.2">
      <c r="A1090" s="7">
        <v>49569</v>
      </c>
      <c r="B1090" s="7">
        <v>7.3396714100125701E-2</v>
      </c>
      <c r="C1090" s="7">
        <v>5.3944556304700297E-2</v>
      </c>
      <c r="D1090" s="7">
        <v>35000</v>
      </c>
      <c r="E1090" s="7" t="s">
        <v>7</v>
      </c>
      <c r="F1090" s="7">
        <v>21</v>
      </c>
      <c r="G1090" s="7">
        <v>0</v>
      </c>
      <c r="H1090" s="7">
        <v>42786.23</v>
      </c>
      <c r="I1090" s="7">
        <v>0</v>
      </c>
    </row>
    <row r="1091" spans="1:9" x14ac:dyDescent="0.2">
      <c r="A1091" s="7">
        <v>103794</v>
      </c>
      <c r="B1091" s="7">
        <v>3.8385891698487898E-2</v>
      </c>
      <c r="C1091" s="7">
        <v>8.1509172207196695E-2</v>
      </c>
      <c r="D1091" s="7">
        <v>14800</v>
      </c>
      <c r="E1091" s="7" t="s">
        <v>6</v>
      </c>
      <c r="F1091" s="7">
        <v>18.75</v>
      </c>
      <c r="G1091" s="7">
        <v>0</v>
      </c>
      <c r="H1091" s="7">
        <v>19472.850006541899</v>
      </c>
      <c r="I1091" s="7">
        <v>0</v>
      </c>
    </row>
    <row r="1092" spans="1:9" x14ac:dyDescent="0.2">
      <c r="A1092" s="7">
        <v>71821</v>
      </c>
      <c r="B1092" s="7">
        <v>1.03353873747704E-2</v>
      </c>
      <c r="C1092" s="7">
        <v>5.3944556304700297E-2</v>
      </c>
      <c r="D1092" s="7">
        <v>16000</v>
      </c>
      <c r="E1092" s="7" t="s">
        <v>6</v>
      </c>
      <c r="F1092" s="7">
        <v>17.77</v>
      </c>
      <c r="G1092" s="7">
        <v>0</v>
      </c>
      <c r="H1092" s="7">
        <v>17384.293940921401</v>
      </c>
      <c r="I1092" s="7">
        <v>0</v>
      </c>
    </row>
    <row r="1093" spans="1:9" x14ac:dyDescent="0.2">
      <c r="A1093" s="7">
        <v>101</v>
      </c>
      <c r="B1093" s="7">
        <v>3.56686919168391E-2</v>
      </c>
      <c r="C1093" s="7">
        <v>8.1509172207196695E-2</v>
      </c>
      <c r="D1093" s="7">
        <v>9250</v>
      </c>
      <c r="E1093" s="7" t="s">
        <v>6</v>
      </c>
      <c r="F1093" s="7">
        <v>17.57</v>
      </c>
      <c r="G1093" s="7">
        <v>0</v>
      </c>
      <c r="H1093" s="7">
        <v>10361.4618610997</v>
      </c>
      <c r="I1093" s="7">
        <v>0</v>
      </c>
    </row>
    <row r="1094" spans="1:9" x14ac:dyDescent="0.2">
      <c r="A1094" s="7">
        <v>94222</v>
      </c>
      <c r="B1094" s="7">
        <v>3.3755552524603001E-2</v>
      </c>
      <c r="C1094" s="7">
        <v>7.4974238972806501E-2</v>
      </c>
      <c r="D1094" s="7">
        <v>7750</v>
      </c>
      <c r="E1094" s="7" t="s">
        <v>5</v>
      </c>
      <c r="F1094" s="7">
        <v>17.27</v>
      </c>
      <c r="G1094" s="7">
        <v>0</v>
      </c>
      <c r="H1094" s="7">
        <v>9296.9624196590994</v>
      </c>
      <c r="I1094" s="7">
        <v>0</v>
      </c>
    </row>
    <row r="1095" spans="1:9" x14ac:dyDescent="0.2">
      <c r="A1095" s="7">
        <v>82928</v>
      </c>
      <c r="B1095" s="7">
        <v>2.7697119263767701E-2</v>
      </c>
      <c r="C1095" s="7">
        <v>8.1509172207196695E-2</v>
      </c>
      <c r="D1095" s="7">
        <v>12250</v>
      </c>
      <c r="E1095" s="7" t="s">
        <v>6</v>
      </c>
      <c r="F1095" s="7">
        <v>18.75</v>
      </c>
      <c r="G1095" s="7">
        <v>1</v>
      </c>
      <c r="H1095" s="7">
        <v>14796.31</v>
      </c>
      <c r="I1095" s="7">
        <v>0</v>
      </c>
    </row>
    <row r="1096" spans="1:9" x14ac:dyDescent="0.2">
      <c r="A1096" s="7">
        <v>68738</v>
      </c>
      <c r="B1096" s="7">
        <v>3.1624619666485297E-2</v>
      </c>
      <c r="C1096" s="7">
        <v>8.1509172207196695E-2</v>
      </c>
      <c r="D1096" s="7">
        <v>12000</v>
      </c>
      <c r="E1096" s="7" t="s">
        <v>5</v>
      </c>
      <c r="F1096" s="7">
        <v>15.8</v>
      </c>
      <c r="G1096" s="7">
        <v>1</v>
      </c>
      <c r="H1096" s="7">
        <v>3219.6</v>
      </c>
      <c r="I1096" s="7">
        <v>1539.84</v>
      </c>
    </row>
    <row r="1097" spans="1:9" x14ac:dyDescent="0.2">
      <c r="A1097" s="7">
        <v>48713</v>
      </c>
      <c r="B1097" s="7">
        <v>3.5607840951684802E-2</v>
      </c>
      <c r="C1097" s="7">
        <v>8.1509172207196695E-2</v>
      </c>
      <c r="D1097" s="7">
        <v>5000</v>
      </c>
      <c r="E1097" s="7" t="s">
        <v>8</v>
      </c>
      <c r="F1097" s="7">
        <v>12.12</v>
      </c>
      <c r="G1097" s="7">
        <v>0</v>
      </c>
      <c r="H1097" s="7">
        <v>5526.1075160034998</v>
      </c>
      <c r="I1097" s="7">
        <v>0</v>
      </c>
    </row>
    <row r="1098" spans="1:9" x14ac:dyDescent="0.2">
      <c r="A1098" s="7">
        <v>98556</v>
      </c>
      <c r="B1098" s="7">
        <v>2.6983048285945999E-2</v>
      </c>
      <c r="C1098" s="7">
        <v>5.3944556304700297E-2</v>
      </c>
      <c r="D1098" s="7">
        <v>21000</v>
      </c>
      <c r="E1098" s="7" t="s">
        <v>4</v>
      </c>
      <c r="F1098" s="7">
        <v>8.9</v>
      </c>
      <c r="G1098" s="7">
        <v>0</v>
      </c>
      <c r="H1098" s="7">
        <v>24005.415148992201</v>
      </c>
      <c r="I1098" s="7">
        <v>0</v>
      </c>
    </row>
    <row r="1099" spans="1:9" x14ac:dyDescent="0.2">
      <c r="A1099" s="7">
        <v>77076</v>
      </c>
      <c r="B1099" s="7">
        <v>3.2395401517835799E-2</v>
      </c>
      <c r="C1099" s="7">
        <v>7.4974238972806501E-2</v>
      </c>
      <c r="D1099" s="7">
        <v>8000</v>
      </c>
      <c r="E1099" s="7" t="s">
        <v>5</v>
      </c>
      <c r="F1099" s="7">
        <v>14.33</v>
      </c>
      <c r="G1099" s="7">
        <v>0</v>
      </c>
      <c r="H1099" s="7">
        <v>9900.67</v>
      </c>
      <c r="I1099" s="7">
        <v>0</v>
      </c>
    </row>
    <row r="1100" spans="1:9" x14ac:dyDescent="0.2">
      <c r="A1100" s="7">
        <v>72942</v>
      </c>
      <c r="B1100" s="7">
        <v>1.02442269738377E-3</v>
      </c>
      <c r="C1100" s="7">
        <v>8.4798680815203503E-2</v>
      </c>
      <c r="D1100" s="7">
        <v>19200</v>
      </c>
      <c r="E1100" s="7" t="s">
        <v>5</v>
      </c>
      <c r="F1100" s="7">
        <v>15.8</v>
      </c>
      <c r="G1100" s="7">
        <v>0</v>
      </c>
      <c r="H1100" s="7">
        <v>23291.6475344399</v>
      </c>
      <c r="I1100" s="7">
        <v>0</v>
      </c>
    </row>
    <row r="1101" spans="1:9" x14ac:dyDescent="0.2">
      <c r="A1101" s="7">
        <v>78994</v>
      </c>
      <c r="B1101" s="7">
        <v>6.4027743412079603E-3</v>
      </c>
      <c r="C1101" s="7">
        <v>5.3944556304700297E-2</v>
      </c>
      <c r="D1101" s="7">
        <v>16000</v>
      </c>
      <c r="E1101" s="7" t="s">
        <v>8</v>
      </c>
      <c r="F1101" s="7">
        <v>13.11</v>
      </c>
      <c r="G1101" s="7">
        <v>0</v>
      </c>
      <c r="H1101" s="7">
        <v>20174.850000001199</v>
      </c>
      <c r="I1101" s="7">
        <v>0</v>
      </c>
    </row>
    <row r="1102" spans="1:9" x14ac:dyDescent="0.2">
      <c r="A1102" s="7">
        <v>118666</v>
      </c>
      <c r="B1102" s="7">
        <v>3.0240638259358299E-2</v>
      </c>
      <c r="C1102" s="7">
        <v>7.4974238972806501E-2</v>
      </c>
      <c r="D1102" s="7">
        <v>12000</v>
      </c>
      <c r="E1102" s="7" t="s">
        <v>5</v>
      </c>
      <c r="F1102" s="7">
        <v>15.31</v>
      </c>
      <c r="G1102" s="7">
        <v>0</v>
      </c>
      <c r="H1102" s="7">
        <v>14903.2699947737</v>
      </c>
      <c r="I1102" s="7">
        <v>0</v>
      </c>
    </row>
    <row r="1103" spans="1:9" x14ac:dyDescent="0.2">
      <c r="A1103" s="7">
        <v>91514</v>
      </c>
      <c r="B1103" s="7">
        <v>2.58170372029305E-2</v>
      </c>
      <c r="C1103" s="7">
        <v>8.1509172207196695E-2</v>
      </c>
      <c r="D1103" s="7">
        <v>6000</v>
      </c>
      <c r="E1103" s="7" t="s">
        <v>5</v>
      </c>
      <c r="F1103" s="7">
        <v>17.27</v>
      </c>
      <c r="G1103" s="7">
        <v>0</v>
      </c>
      <c r="H1103" s="7">
        <v>7630.0809972368997</v>
      </c>
      <c r="I1103" s="7">
        <v>0</v>
      </c>
    </row>
    <row r="1104" spans="1:9" x14ac:dyDescent="0.2">
      <c r="A1104" s="7">
        <v>127388</v>
      </c>
      <c r="B1104" s="7">
        <v>2.98496030097022E-2</v>
      </c>
      <c r="C1104" s="7">
        <v>8.1509172207196695E-2</v>
      </c>
      <c r="D1104" s="7">
        <v>12000</v>
      </c>
      <c r="E1104" s="7" t="s">
        <v>8</v>
      </c>
      <c r="F1104" s="7">
        <v>13.11</v>
      </c>
      <c r="G1104" s="7">
        <v>0</v>
      </c>
      <c r="H1104" s="7">
        <v>13946.723404563199</v>
      </c>
      <c r="I1104" s="7">
        <v>0</v>
      </c>
    </row>
    <row r="1105" spans="1:9" x14ac:dyDescent="0.2">
      <c r="A1105" s="7">
        <v>116165</v>
      </c>
      <c r="B1105" s="7">
        <v>3.9446926537177199E-2</v>
      </c>
      <c r="C1105" s="7">
        <v>8.4798680815203503E-2</v>
      </c>
      <c r="D1105" s="7">
        <v>20000</v>
      </c>
      <c r="E1105" s="7" t="s">
        <v>6</v>
      </c>
      <c r="F1105" s="7">
        <v>18.75</v>
      </c>
      <c r="G1105" s="7">
        <v>0</v>
      </c>
      <c r="H1105" s="7">
        <v>26278.230000001698</v>
      </c>
      <c r="I1105" s="7">
        <v>0</v>
      </c>
    </row>
    <row r="1106" spans="1:9" x14ac:dyDescent="0.2">
      <c r="A1106" s="7">
        <v>70502</v>
      </c>
      <c r="B1106" s="7">
        <v>1.9812098646240499E-2</v>
      </c>
      <c r="C1106" s="7">
        <v>7.4974238972806501E-2</v>
      </c>
      <c r="D1106" s="7">
        <v>10750</v>
      </c>
      <c r="E1106" s="7" t="s">
        <v>6</v>
      </c>
      <c r="F1106" s="7">
        <v>18.489999999999998</v>
      </c>
      <c r="G1106" s="7">
        <v>0</v>
      </c>
      <c r="H1106" s="7">
        <v>14048.67</v>
      </c>
      <c r="I1106" s="7">
        <v>0</v>
      </c>
    </row>
    <row r="1107" spans="1:9" x14ac:dyDescent="0.2">
      <c r="A1107" s="7">
        <v>14636</v>
      </c>
      <c r="B1107" s="7">
        <v>2.7653398120925599E-2</v>
      </c>
      <c r="C1107" s="7">
        <v>8.1509172207196695E-2</v>
      </c>
      <c r="D1107" s="7">
        <v>10000</v>
      </c>
      <c r="E1107" s="7" t="s">
        <v>5</v>
      </c>
      <c r="F1107" s="7">
        <v>15.1</v>
      </c>
      <c r="G1107" s="7">
        <v>1</v>
      </c>
      <c r="H1107" s="7">
        <v>8602.83</v>
      </c>
      <c r="I1107" s="7">
        <v>936.16</v>
      </c>
    </row>
    <row r="1108" spans="1:9" x14ac:dyDescent="0.2">
      <c r="A1108" s="7">
        <v>64025</v>
      </c>
      <c r="B1108" s="7">
        <v>3.2146707321183902E-2</v>
      </c>
      <c r="C1108" s="7">
        <v>7.4974238972806501E-2</v>
      </c>
      <c r="D1108" s="7">
        <v>6400</v>
      </c>
      <c r="E1108" s="7" t="s">
        <v>7</v>
      </c>
      <c r="F1108" s="7">
        <v>22.47</v>
      </c>
      <c r="G1108" s="7">
        <v>0</v>
      </c>
      <c r="H1108" s="7">
        <v>8569.4300000004005</v>
      </c>
      <c r="I1108" s="7">
        <v>0</v>
      </c>
    </row>
    <row r="1109" spans="1:9" x14ac:dyDescent="0.2">
      <c r="A1109" s="7">
        <v>40473</v>
      </c>
      <c r="B1109" s="7">
        <v>2.8821536537129398E-2</v>
      </c>
      <c r="C1109" s="7">
        <v>7.4974238972806501E-2</v>
      </c>
      <c r="D1109" s="7">
        <v>11000</v>
      </c>
      <c r="E1109" s="7" t="s">
        <v>8</v>
      </c>
      <c r="F1109" s="7">
        <v>9.7100000000000009</v>
      </c>
      <c r="G1109" s="7">
        <v>0</v>
      </c>
      <c r="H1109" s="7">
        <v>11501.920600818799</v>
      </c>
      <c r="I1109" s="7">
        <v>0</v>
      </c>
    </row>
    <row r="1110" spans="1:9" x14ac:dyDescent="0.2">
      <c r="A1110" s="7">
        <v>68505</v>
      </c>
      <c r="B1110" s="7">
        <v>3.2572772251925897E-2</v>
      </c>
      <c r="C1110" s="7">
        <v>8.4798680815203503E-2</v>
      </c>
      <c r="D1110" s="7">
        <v>24250</v>
      </c>
      <c r="E1110" s="7" t="s">
        <v>8</v>
      </c>
      <c r="F1110" s="7">
        <v>12.12</v>
      </c>
      <c r="G1110" s="7">
        <v>0</v>
      </c>
      <c r="H1110" s="7">
        <v>28230.9199781063</v>
      </c>
      <c r="I1110" s="7">
        <v>0</v>
      </c>
    </row>
    <row r="1111" spans="1:9" x14ac:dyDescent="0.2">
      <c r="A1111" s="7">
        <v>72240</v>
      </c>
      <c r="B1111" s="7">
        <v>2.62069871208374E-2</v>
      </c>
      <c r="C1111" s="7">
        <v>5.3944556304700297E-2</v>
      </c>
      <c r="D1111" s="7">
        <v>17000</v>
      </c>
      <c r="E1111" s="7" t="s">
        <v>4</v>
      </c>
      <c r="F1111" s="7">
        <v>6.62</v>
      </c>
      <c r="G1111" s="7">
        <v>0</v>
      </c>
      <c r="H1111" s="7">
        <v>18790.6054891653</v>
      </c>
      <c r="I1111" s="7">
        <v>0</v>
      </c>
    </row>
    <row r="1112" spans="1:9" x14ac:dyDescent="0.2">
      <c r="A1112" s="7">
        <v>51403</v>
      </c>
      <c r="B1112" s="7">
        <v>3.7094711007659098E-2</v>
      </c>
      <c r="C1112" s="7">
        <v>7.4974238972806501E-2</v>
      </c>
      <c r="D1112" s="7">
        <v>15000</v>
      </c>
      <c r="E1112" s="7" t="s">
        <v>8</v>
      </c>
      <c r="F1112" s="7">
        <v>14.09</v>
      </c>
      <c r="G1112" s="7">
        <v>0</v>
      </c>
      <c r="H1112" s="7">
        <v>18479.451753440499</v>
      </c>
      <c r="I1112" s="7">
        <v>0</v>
      </c>
    </row>
    <row r="1113" spans="1:9" x14ac:dyDescent="0.2">
      <c r="A1113" s="7">
        <v>124731</v>
      </c>
      <c r="B1113" s="7">
        <v>4.14233986519199E-2</v>
      </c>
      <c r="C1113" s="7">
        <v>7.4974238972806501E-2</v>
      </c>
      <c r="D1113" s="7">
        <v>10000</v>
      </c>
      <c r="E1113" s="7" t="s">
        <v>6</v>
      </c>
      <c r="F1113" s="7">
        <v>17.77</v>
      </c>
      <c r="G1113" s="7">
        <v>0</v>
      </c>
      <c r="H1113" s="7">
        <v>12973.2659016657</v>
      </c>
      <c r="I1113" s="7">
        <v>0</v>
      </c>
    </row>
    <row r="1114" spans="1:9" x14ac:dyDescent="0.2">
      <c r="A1114" s="7">
        <v>45747</v>
      </c>
      <c r="B1114" s="7">
        <v>2.9216988977939701E-2</v>
      </c>
      <c r="C1114" s="7">
        <v>8.1509172207196695E-2</v>
      </c>
      <c r="D1114" s="7">
        <v>12000</v>
      </c>
      <c r="E1114" s="7" t="s">
        <v>8</v>
      </c>
      <c r="F1114" s="7">
        <v>11.55</v>
      </c>
      <c r="G1114" s="7">
        <v>0</v>
      </c>
      <c r="H1114" s="7">
        <v>13901.94</v>
      </c>
      <c r="I1114" s="7">
        <v>0</v>
      </c>
    </row>
    <row r="1115" spans="1:9" x14ac:dyDescent="0.2">
      <c r="A1115" s="7">
        <v>86571</v>
      </c>
      <c r="B1115" s="7">
        <v>3.0152846027698198E-2</v>
      </c>
      <c r="C1115" s="7">
        <v>8.1509172207196695E-2</v>
      </c>
      <c r="D1115" s="7">
        <v>8200</v>
      </c>
      <c r="E1115" s="7" t="s">
        <v>8</v>
      </c>
      <c r="F1115" s="7">
        <v>10.16</v>
      </c>
      <c r="G1115" s="7">
        <v>0</v>
      </c>
      <c r="H1115" s="7">
        <v>9547.4485548127996</v>
      </c>
      <c r="I1115" s="7">
        <v>0</v>
      </c>
    </row>
    <row r="1116" spans="1:9" x14ac:dyDescent="0.2">
      <c r="A1116" s="7">
        <v>9055</v>
      </c>
      <c r="B1116" s="7">
        <v>2.7053282708033401E-2</v>
      </c>
      <c r="C1116" s="7">
        <v>8.1509172207196695E-2</v>
      </c>
      <c r="D1116" s="7">
        <v>11000</v>
      </c>
      <c r="E1116" s="7" t="s">
        <v>5</v>
      </c>
      <c r="F1116" s="7">
        <v>15.1</v>
      </c>
      <c r="G1116" s="7">
        <v>0</v>
      </c>
      <c r="H1116" s="7">
        <v>12705.3534885343</v>
      </c>
      <c r="I1116" s="7">
        <v>0</v>
      </c>
    </row>
    <row r="1117" spans="1:9" x14ac:dyDescent="0.2">
      <c r="A1117" s="7">
        <v>17334</v>
      </c>
      <c r="B1117" s="7">
        <v>3.6168145929518898E-2</v>
      </c>
      <c r="C1117" s="7">
        <v>7.4974238972806501E-2</v>
      </c>
      <c r="D1117" s="7">
        <v>10000</v>
      </c>
      <c r="E1117" s="7" t="s">
        <v>5</v>
      </c>
      <c r="F1117" s="7">
        <v>16.2</v>
      </c>
      <c r="G1117" s="7">
        <v>0</v>
      </c>
      <c r="H1117" s="7">
        <v>12554.49</v>
      </c>
      <c r="I1117" s="7">
        <v>0</v>
      </c>
    </row>
    <row r="1118" spans="1:9" x14ac:dyDescent="0.2">
      <c r="A1118" s="7">
        <v>100495</v>
      </c>
      <c r="B1118" s="7">
        <v>3.6049705045115399E-2</v>
      </c>
      <c r="C1118" s="7">
        <v>8.1509172207196695E-2</v>
      </c>
      <c r="D1118" s="7">
        <v>21000</v>
      </c>
      <c r="E1118" s="7" t="s">
        <v>6</v>
      </c>
      <c r="F1118" s="7">
        <v>18.75</v>
      </c>
      <c r="G1118" s="7">
        <v>1</v>
      </c>
      <c r="H1118" s="7">
        <v>12454.04</v>
      </c>
      <c r="I1118" s="7">
        <v>2081.35</v>
      </c>
    </row>
    <row r="1119" spans="1:9" x14ac:dyDescent="0.2">
      <c r="A1119" s="7">
        <v>124271</v>
      </c>
      <c r="B1119" s="7">
        <v>2.3376116533716799E-2</v>
      </c>
      <c r="C1119" s="7">
        <v>7.4974238972806501E-2</v>
      </c>
      <c r="D1119" s="7">
        <v>4000</v>
      </c>
      <c r="E1119" s="7" t="s">
        <v>5</v>
      </c>
      <c r="F1119" s="7">
        <v>14.33</v>
      </c>
      <c r="G1119" s="7">
        <v>1</v>
      </c>
      <c r="H1119" s="7">
        <v>1017.07</v>
      </c>
      <c r="I1119" s="7">
        <v>197.41</v>
      </c>
    </row>
    <row r="1120" spans="1:9" x14ac:dyDescent="0.2">
      <c r="A1120" s="7">
        <v>12886</v>
      </c>
      <c r="B1120" s="7">
        <v>3.9429235916655099E-2</v>
      </c>
      <c r="C1120" s="7">
        <v>7.4974238972806501E-2</v>
      </c>
      <c r="D1120" s="7">
        <v>6000</v>
      </c>
      <c r="E1120" s="7" t="s">
        <v>8</v>
      </c>
      <c r="F1120" s="7">
        <v>10.99</v>
      </c>
      <c r="G1120" s="7">
        <v>0</v>
      </c>
      <c r="H1120" s="7">
        <v>6735.2600000001003</v>
      </c>
      <c r="I1120" s="7">
        <v>0</v>
      </c>
    </row>
    <row r="1121" spans="1:9" x14ac:dyDescent="0.2">
      <c r="A1121" s="7">
        <v>82621</v>
      </c>
      <c r="B1121" s="7">
        <v>7.1621109968931004E-3</v>
      </c>
      <c r="C1121" s="7">
        <v>5.3944556304700297E-2</v>
      </c>
      <c r="D1121" s="7">
        <v>35000</v>
      </c>
      <c r="E1121" s="7" t="s">
        <v>5</v>
      </c>
      <c r="F1121" s="7">
        <v>15.8</v>
      </c>
      <c r="G1121" s="7">
        <v>1</v>
      </c>
      <c r="H1121" s="7">
        <v>27956.82</v>
      </c>
      <c r="I1121" s="7">
        <v>0</v>
      </c>
    </row>
    <row r="1122" spans="1:9" x14ac:dyDescent="0.2">
      <c r="A1122" s="7">
        <v>107190</v>
      </c>
      <c r="B1122" s="7">
        <v>2.3704480578748199E-2</v>
      </c>
      <c r="C1122" s="7">
        <v>8.1509172207196695E-2</v>
      </c>
      <c r="D1122" s="7">
        <v>13700</v>
      </c>
      <c r="E1122" s="7" t="s">
        <v>4</v>
      </c>
      <c r="F1122" s="7">
        <v>7.62</v>
      </c>
      <c r="G1122" s="7">
        <v>0</v>
      </c>
      <c r="H1122" s="7">
        <v>14999.023220884899</v>
      </c>
      <c r="I1122" s="7">
        <v>0</v>
      </c>
    </row>
    <row r="1123" spans="1:9" x14ac:dyDescent="0.2">
      <c r="A1123" s="7">
        <v>93549</v>
      </c>
      <c r="B1123" s="7">
        <v>3.3356763663092301E-2</v>
      </c>
      <c r="C1123" s="7">
        <v>7.4974238972806501E-2</v>
      </c>
      <c r="D1123" s="7">
        <v>10000</v>
      </c>
      <c r="E1123" s="7" t="s">
        <v>8</v>
      </c>
      <c r="F1123" s="7">
        <v>13.11</v>
      </c>
      <c r="G1123" s="7">
        <v>1</v>
      </c>
      <c r="H1123" s="7">
        <v>2617.29</v>
      </c>
      <c r="I1123" s="7">
        <v>1267.4100000000001</v>
      </c>
    </row>
    <row r="1124" spans="1:9" x14ac:dyDescent="0.2">
      <c r="A1124" s="7">
        <v>86940</v>
      </c>
      <c r="B1124" s="7">
        <v>3.1596543804412597E-2</v>
      </c>
      <c r="C1124" s="7">
        <v>5.3944556304700297E-2</v>
      </c>
      <c r="D1124" s="7">
        <v>21000</v>
      </c>
      <c r="E1124" s="7" t="s">
        <v>4</v>
      </c>
      <c r="F1124" s="7">
        <v>6.03</v>
      </c>
      <c r="G1124" s="7">
        <v>0</v>
      </c>
      <c r="H1124" s="7">
        <v>23009.2496434024</v>
      </c>
      <c r="I1124" s="7">
        <v>0</v>
      </c>
    </row>
    <row r="1125" spans="1:9" x14ac:dyDescent="0.2">
      <c r="A1125" s="7">
        <v>137896</v>
      </c>
      <c r="B1125" s="7">
        <v>3.34094152735811E-2</v>
      </c>
      <c r="C1125" s="7">
        <v>8.1509172207196695E-2</v>
      </c>
      <c r="D1125" s="7">
        <v>12000</v>
      </c>
      <c r="E1125" s="7" t="s">
        <v>6</v>
      </c>
      <c r="F1125" s="7">
        <v>19.22</v>
      </c>
      <c r="G1125" s="7">
        <v>0</v>
      </c>
      <c r="H1125" s="7">
        <v>15288.788204992001</v>
      </c>
      <c r="I1125" s="7">
        <v>0</v>
      </c>
    </row>
    <row r="1126" spans="1:9" x14ac:dyDescent="0.2">
      <c r="A1126" s="7">
        <v>25520</v>
      </c>
      <c r="B1126" s="7">
        <v>4.4827396710564002E-2</v>
      </c>
      <c r="C1126" s="7">
        <v>5.3944556304700297E-2</v>
      </c>
      <c r="D1126" s="7">
        <v>11500</v>
      </c>
      <c r="E1126" s="7" t="s">
        <v>8</v>
      </c>
      <c r="F1126" s="7">
        <v>9.99</v>
      </c>
      <c r="G1126" s="7">
        <v>0</v>
      </c>
      <c r="H1126" s="7">
        <v>12680.35</v>
      </c>
      <c r="I1126" s="7">
        <v>0</v>
      </c>
    </row>
    <row r="1127" spans="1:9" x14ac:dyDescent="0.2">
      <c r="A1127" s="7">
        <v>110496</v>
      </c>
      <c r="B1127" s="7">
        <v>1.2806926975935599E-3</v>
      </c>
      <c r="C1127" s="7">
        <v>7.7054178620260594E-2</v>
      </c>
      <c r="D1127" s="7">
        <v>7375</v>
      </c>
      <c r="E1127" s="7" t="s">
        <v>5</v>
      </c>
      <c r="F1127" s="7">
        <v>17.27</v>
      </c>
      <c r="G1127" s="7">
        <v>0</v>
      </c>
      <c r="H1127" s="7">
        <v>9423.2183913218996</v>
      </c>
      <c r="I1127" s="7">
        <v>0</v>
      </c>
    </row>
    <row r="1128" spans="1:9" x14ac:dyDescent="0.2">
      <c r="A1128" s="7">
        <v>111649</v>
      </c>
      <c r="B1128" s="7">
        <v>2.9627991637948398E-2</v>
      </c>
      <c r="C1128" s="7">
        <v>7.4974238972806501E-2</v>
      </c>
      <c r="D1128" s="7">
        <v>15000</v>
      </c>
      <c r="E1128" s="7" t="s">
        <v>6</v>
      </c>
      <c r="F1128" s="7">
        <v>17.77</v>
      </c>
      <c r="G1128" s="7">
        <v>0</v>
      </c>
      <c r="H1128" s="7">
        <v>19296.070014176501</v>
      </c>
      <c r="I1128" s="7">
        <v>0</v>
      </c>
    </row>
    <row r="1129" spans="1:9" x14ac:dyDescent="0.2">
      <c r="A1129" s="7">
        <v>90420</v>
      </c>
      <c r="B1129" s="7">
        <v>2.7232856119992599E-2</v>
      </c>
      <c r="C1129" s="7">
        <v>8.1509172207196695E-2</v>
      </c>
      <c r="D1129" s="7">
        <v>14000</v>
      </c>
      <c r="E1129" s="7" t="s">
        <v>6</v>
      </c>
      <c r="F1129" s="7">
        <v>18.489999999999998</v>
      </c>
      <c r="G1129" s="7">
        <v>0</v>
      </c>
      <c r="H1129" s="7">
        <v>18279.780009423401</v>
      </c>
      <c r="I1129" s="7">
        <v>0</v>
      </c>
    </row>
    <row r="1130" spans="1:9" x14ac:dyDescent="0.2">
      <c r="A1130" s="7">
        <v>86763</v>
      </c>
      <c r="B1130" s="7">
        <v>2.75213671219619E-2</v>
      </c>
      <c r="C1130" s="7">
        <v>7.7054178620260594E-2</v>
      </c>
      <c r="D1130" s="7">
        <v>10000</v>
      </c>
      <c r="E1130" s="7" t="s">
        <v>4</v>
      </c>
      <c r="F1130" s="7">
        <v>7.9</v>
      </c>
      <c r="G1130" s="7">
        <v>0</v>
      </c>
      <c r="H1130" s="7">
        <v>11185.9399999988</v>
      </c>
      <c r="I1130" s="7">
        <v>0</v>
      </c>
    </row>
    <row r="1131" spans="1:9" x14ac:dyDescent="0.2">
      <c r="A1131" s="7">
        <v>128498</v>
      </c>
      <c r="B1131" s="7">
        <v>3.0418237008018201E-2</v>
      </c>
      <c r="C1131" s="7">
        <v>7.4974238972806501E-2</v>
      </c>
      <c r="D1131" s="7">
        <v>7750</v>
      </c>
      <c r="E1131" s="7" t="s">
        <v>8</v>
      </c>
      <c r="F1131" s="7">
        <v>9.76</v>
      </c>
      <c r="G1131" s="7">
        <v>0</v>
      </c>
      <c r="H1131" s="7">
        <v>8971.1400078166007</v>
      </c>
      <c r="I1131" s="7">
        <v>0</v>
      </c>
    </row>
    <row r="1132" spans="1:9" x14ac:dyDescent="0.2">
      <c r="A1132" s="7">
        <v>118172</v>
      </c>
      <c r="B1132" s="7">
        <v>3.4411536389459298E-2</v>
      </c>
      <c r="C1132" s="7">
        <v>7.4974238972806501E-2</v>
      </c>
      <c r="D1132" s="7">
        <v>20000</v>
      </c>
      <c r="E1132" s="7" t="s">
        <v>8</v>
      </c>
      <c r="F1132" s="7">
        <v>13.11</v>
      </c>
      <c r="G1132" s="7">
        <v>0</v>
      </c>
      <c r="H1132" s="7">
        <v>21954.717992475398</v>
      </c>
      <c r="I1132" s="7">
        <v>0</v>
      </c>
    </row>
    <row r="1133" spans="1:9" x14ac:dyDescent="0.2">
      <c r="A1133" s="7">
        <v>121669</v>
      </c>
      <c r="B1133" s="7">
        <v>3.4263103212997602E-2</v>
      </c>
      <c r="C1133" s="7">
        <v>8.1509172207196695E-2</v>
      </c>
      <c r="D1133" s="7">
        <v>9750</v>
      </c>
      <c r="E1133" s="7" t="s">
        <v>8</v>
      </c>
      <c r="F1133" s="7">
        <v>13.11</v>
      </c>
      <c r="G1133" s="7">
        <v>0</v>
      </c>
      <c r="H1133" s="7">
        <v>11845.1268359487</v>
      </c>
      <c r="I1133" s="7">
        <v>0</v>
      </c>
    </row>
    <row r="1134" spans="1:9" x14ac:dyDescent="0.2">
      <c r="A1134" s="7">
        <v>9511</v>
      </c>
      <c r="B1134" s="7">
        <v>2.4869231665973299E-2</v>
      </c>
      <c r="C1134" s="7">
        <v>8.1509172207196695E-2</v>
      </c>
      <c r="D1134" s="7">
        <v>8000</v>
      </c>
      <c r="E1134" s="7" t="s">
        <v>8</v>
      </c>
      <c r="F1134" s="7">
        <v>12.99</v>
      </c>
      <c r="G1134" s="7">
        <v>1</v>
      </c>
      <c r="H1134" s="7">
        <v>3059.68</v>
      </c>
      <c r="I1134" s="7">
        <v>904.93</v>
      </c>
    </row>
    <row r="1135" spans="1:9" x14ac:dyDescent="0.2">
      <c r="A1135" s="7">
        <v>30523</v>
      </c>
      <c r="B1135" s="7">
        <v>-1.2181893288945799E-3</v>
      </c>
      <c r="C1135" s="7">
        <v>7.7054178620260594E-2</v>
      </c>
      <c r="D1135" s="7">
        <v>12875</v>
      </c>
      <c r="E1135" s="7" t="s">
        <v>10</v>
      </c>
      <c r="F1135" s="7">
        <v>24.5</v>
      </c>
      <c r="G1135" s="7">
        <v>0</v>
      </c>
      <c r="H1135" s="7">
        <v>16101.064960868</v>
      </c>
      <c r="I1135" s="7">
        <v>0</v>
      </c>
    </row>
    <row r="1136" spans="1:9" x14ac:dyDescent="0.2">
      <c r="A1136" s="7">
        <v>106140</v>
      </c>
      <c r="B1136" s="7">
        <v>3.5865514878646997E-2</v>
      </c>
      <c r="C1136" s="7">
        <v>8.1509172207196695E-2</v>
      </c>
      <c r="D1136" s="7">
        <v>12000</v>
      </c>
      <c r="E1136" s="7" t="s">
        <v>5</v>
      </c>
      <c r="F1136" s="7">
        <v>17.27</v>
      </c>
      <c r="G1136" s="7">
        <v>0</v>
      </c>
      <c r="H1136" s="7">
        <v>15439.469986231799</v>
      </c>
      <c r="I1136" s="7">
        <v>0</v>
      </c>
    </row>
    <row r="1137" spans="1:9" x14ac:dyDescent="0.2">
      <c r="A1137" s="7">
        <v>81684</v>
      </c>
      <c r="B1137" s="7">
        <v>2.6906810469473401E-2</v>
      </c>
      <c r="C1137" s="7">
        <v>7.4974238972806501E-2</v>
      </c>
      <c r="D1137" s="7">
        <v>6175</v>
      </c>
      <c r="E1137" s="7" t="s">
        <v>6</v>
      </c>
      <c r="F1137" s="7">
        <v>17.77</v>
      </c>
      <c r="G1137" s="7">
        <v>0</v>
      </c>
      <c r="H1137" s="7">
        <v>7988.5100010864999</v>
      </c>
      <c r="I1137" s="7">
        <v>0</v>
      </c>
    </row>
    <row r="1138" spans="1:9" x14ac:dyDescent="0.2">
      <c r="A1138" s="7">
        <v>48502</v>
      </c>
      <c r="B1138" s="7">
        <v>3.0940368923345798E-2</v>
      </c>
      <c r="C1138" s="7">
        <v>8.1509172207196695E-2</v>
      </c>
      <c r="D1138" s="7">
        <v>6000</v>
      </c>
      <c r="E1138" s="7" t="s">
        <v>5</v>
      </c>
      <c r="F1138" s="7">
        <v>14.33</v>
      </c>
      <c r="G1138" s="7">
        <v>0</v>
      </c>
      <c r="H1138" s="7">
        <v>7222.6000025661997</v>
      </c>
      <c r="I1138" s="7">
        <v>0</v>
      </c>
    </row>
    <row r="1139" spans="1:9" x14ac:dyDescent="0.2">
      <c r="A1139" s="7">
        <v>132933</v>
      </c>
      <c r="B1139" s="7">
        <v>4.4885553056899404E-3</v>
      </c>
      <c r="C1139" s="7">
        <v>8.4798680815203503E-2</v>
      </c>
      <c r="D1139" s="7">
        <v>17375</v>
      </c>
      <c r="E1139" s="7" t="s">
        <v>6</v>
      </c>
      <c r="F1139" s="7">
        <v>19.22</v>
      </c>
      <c r="G1139" s="7">
        <v>0</v>
      </c>
      <c r="H1139" s="7">
        <v>22307.173460235201</v>
      </c>
      <c r="I1139" s="7">
        <v>0</v>
      </c>
    </row>
    <row r="1140" spans="1:9" x14ac:dyDescent="0.2">
      <c r="A1140" s="7">
        <v>24057</v>
      </c>
      <c r="B1140" s="7">
        <v>3.09522105794349E-2</v>
      </c>
      <c r="C1140" s="7">
        <v>7.7054178620260594E-2</v>
      </c>
      <c r="D1140" s="7">
        <v>8400</v>
      </c>
      <c r="E1140" s="7" t="s">
        <v>5</v>
      </c>
      <c r="F1140" s="7">
        <v>14.3</v>
      </c>
      <c r="G1140" s="7">
        <v>0</v>
      </c>
      <c r="H1140" s="7">
        <v>9981.9300004747001</v>
      </c>
      <c r="I1140" s="7">
        <v>0</v>
      </c>
    </row>
    <row r="1141" spans="1:9" x14ac:dyDescent="0.2">
      <c r="A1141" s="7">
        <v>106810</v>
      </c>
      <c r="B1141" s="7">
        <v>4.6613065673085798E-2</v>
      </c>
      <c r="C1141" s="7">
        <v>8.1509172207196695E-2</v>
      </c>
      <c r="D1141" s="7">
        <v>10000</v>
      </c>
      <c r="E1141" s="7" t="s">
        <v>5</v>
      </c>
      <c r="F1141" s="7">
        <v>15.31</v>
      </c>
      <c r="G1141" s="7">
        <v>0</v>
      </c>
      <c r="H1141" s="7">
        <v>12534.1759142397</v>
      </c>
      <c r="I1141" s="7">
        <v>0</v>
      </c>
    </row>
    <row r="1142" spans="1:9" x14ac:dyDescent="0.2">
      <c r="A1142" s="7">
        <v>21495</v>
      </c>
      <c r="B1142" s="7">
        <v>2.9243805610444699E-2</v>
      </c>
      <c r="C1142" s="7">
        <v>8.1509172207196695E-2</v>
      </c>
      <c r="D1142" s="7">
        <v>10475</v>
      </c>
      <c r="E1142" s="7" t="s">
        <v>5</v>
      </c>
      <c r="F1142" s="7">
        <v>15.61</v>
      </c>
      <c r="G1142" s="7">
        <v>1</v>
      </c>
      <c r="H1142" s="7">
        <v>8275.27</v>
      </c>
      <c r="I1142" s="7">
        <v>950.07</v>
      </c>
    </row>
    <row r="1143" spans="1:9" x14ac:dyDescent="0.2">
      <c r="A1143" s="7">
        <v>50036</v>
      </c>
      <c r="B1143" s="7">
        <v>1.7418759235298401E-2</v>
      </c>
      <c r="C1143" s="7">
        <v>8.1509172207196695E-2</v>
      </c>
      <c r="D1143" s="7">
        <v>5000</v>
      </c>
      <c r="E1143" s="7" t="s">
        <v>8</v>
      </c>
      <c r="F1143" s="7">
        <v>13.11</v>
      </c>
      <c r="G1143" s="7">
        <v>0</v>
      </c>
      <c r="H1143" s="7">
        <v>6074.4119902017001</v>
      </c>
      <c r="I1143" s="7">
        <v>0</v>
      </c>
    </row>
    <row r="1144" spans="1:9" x14ac:dyDescent="0.2">
      <c r="A1144" s="7">
        <v>9761</v>
      </c>
      <c r="B1144" s="7">
        <v>2.4794699211415E-2</v>
      </c>
      <c r="C1144" s="7">
        <v>7.4974238972806501E-2</v>
      </c>
      <c r="D1144" s="7">
        <v>14000</v>
      </c>
      <c r="E1144" s="7" t="s">
        <v>5</v>
      </c>
      <c r="F1144" s="7">
        <v>17.100000000000001</v>
      </c>
      <c r="G1144" s="7">
        <v>0</v>
      </c>
      <c r="H1144" s="7">
        <v>16246.390000224899</v>
      </c>
      <c r="I1144" s="7">
        <v>0</v>
      </c>
    </row>
    <row r="1145" spans="1:9" x14ac:dyDescent="0.2">
      <c r="A1145" s="7">
        <v>99241</v>
      </c>
      <c r="B1145" s="7">
        <v>2.28275875490048E-2</v>
      </c>
      <c r="C1145" s="7">
        <v>7.4974238972806501E-2</v>
      </c>
      <c r="D1145" s="7">
        <v>10000</v>
      </c>
      <c r="E1145" s="7" t="s">
        <v>6</v>
      </c>
      <c r="F1145" s="7">
        <v>19.72</v>
      </c>
      <c r="G1145" s="7">
        <v>1</v>
      </c>
      <c r="H1145" s="7">
        <v>369.85000000000099</v>
      </c>
      <c r="I1145" s="7">
        <v>0</v>
      </c>
    </row>
    <row r="1146" spans="1:9" x14ac:dyDescent="0.2">
      <c r="A1146" s="7">
        <v>115496</v>
      </c>
      <c r="B1146" s="7">
        <v>8.9158913821334104E-3</v>
      </c>
      <c r="C1146" s="7">
        <v>7.4974238972806501E-2</v>
      </c>
      <c r="D1146" s="7">
        <v>12000</v>
      </c>
      <c r="E1146" s="7" t="s">
        <v>8</v>
      </c>
      <c r="F1146" s="7">
        <v>14.09</v>
      </c>
      <c r="G1146" s="7">
        <v>0</v>
      </c>
      <c r="H1146" s="7">
        <v>14160.476509834099</v>
      </c>
      <c r="I1146" s="7">
        <v>0</v>
      </c>
    </row>
    <row r="1147" spans="1:9" x14ac:dyDescent="0.2">
      <c r="A1147" s="7">
        <v>119247</v>
      </c>
      <c r="B1147" s="7">
        <v>2.3596260223724502E-2</v>
      </c>
      <c r="C1147" s="7">
        <v>8.1509172207196695E-2</v>
      </c>
      <c r="D1147" s="7">
        <v>10500</v>
      </c>
      <c r="E1147" s="7" t="s">
        <v>5</v>
      </c>
      <c r="F1147" s="7">
        <v>15.31</v>
      </c>
      <c r="G1147" s="7">
        <v>0</v>
      </c>
      <c r="H1147" s="7">
        <v>13161.4600042578</v>
      </c>
      <c r="I1147" s="7">
        <v>0</v>
      </c>
    </row>
    <row r="1148" spans="1:9" x14ac:dyDescent="0.2">
      <c r="A1148" s="7">
        <v>3077</v>
      </c>
      <c r="B1148" s="7">
        <v>2.6687194712769601E-2</v>
      </c>
      <c r="C1148" s="7">
        <v>8.1509172207196695E-2</v>
      </c>
      <c r="D1148" s="7">
        <v>2500</v>
      </c>
      <c r="E1148" s="7" t="s">
        <v>5</v>
      </c>
      <c r="F1148" s="7">
        <v>14.47</v>
      </c>
      <c r="G1148" s="7">
        <v>0</v>
      </c>
      <c r="H1148" s="7">
        <v>2897.98</v>
      </c>
      <c r="I1148" s="7">
        <v>0</v>
      </c>
    </row>
    <row r="1149" spans="1:9" x14ac:dyDescent="0.2">
      <c r="A1149" s="7">
        <v>4283</v>
      </c>
      <c r="B1149" s="7">
        <v>-5.4599229903338304E-4</v>
      </c>
      <c r="C1149" s="7">
        <v>8.4798680815203503E-2</v>
      </c>
      <c r="D1149" s="7">
        <v>25000</v>
      </c>
      <c r="E1149" s="7" t="s">
        <v>7</v>
      </c>
      <c r="F1149" s="7">
        <v>20.5</v>
      </c>
      <c r="G1149" s="7">
        <v>0</v>
      </c>
      <c r="H1149" s="7">
        <v>33051.929999998501</v>
      </c>
      <c r="I1149" s="7">
        <v>0</v>
      </c>
    </row>
    <row r="1150" spans="1:9" x14ac:dyDescent="0.2">
      <c r="A1150" s="7">
        <v>14739</v>
      </c>
      <c r="B1150" s="7">
        <v>2.7799737556990799E-2</v>
      </c>
      <c r="C1150" s="7">
        <v>5.3944556304700297E-2</v>
      </c>
      <c r="D1150" s="7">
        <v>28000</v>
      </c>
      <c r="E1150" s="7" t="s">
        <v>4</v>
      </c>
      <c r="F1150" s="7">
        <v>6.62</v>
      </c>
      <c r="G1150" s="7">
        <v>0</v>
      </c>
      <c r="H1150" s="7">
        <v>29294.6099952109</v>
      </c>
      <c r="I1150" s="7">
        <v>0</v>
      </c>
    </row>
    <row r="1151" spans="1:9" x14ac:dyDescent="0.2">
      <c r="A1151" s="7">
        <v>62954</v>
      </c>
      <c r="B1151" s="7">
        <v>3.2238576688674601E-2</v>
      </c>
      <c r="C1151" s="7">
        <v>8.1509172207196695E-2</v>
      </c>
      <c r="D1151" s="7">
        <v>6600</v>
      </c>
      <c r="E1151" s="7" t="s">
        <v>5</v>
      </c>
      <c r="F1151" s="7">
        <v>17.27</v>
      </c>
      <c r="G1151" s="7">
        <v>0</v>
      </c>
      <c r="H1151" s="7">
        <v>7667.6101259948</v>
      </c>
      <c r="I1151" s="7">
        <v>0</v>
      </c>
    </row>
    <row r="1152" spans="1:9" x14ac:dyDescent="0.2">
      <c r="A1152" s="7">
        <v>43699</v>
      </c>
      <c r="B1152" s="7">
        <v>3.0473996419540399E-2</v>
      </c>
      <c r="C1152" s="7">
        <v>5.3944556304700297E-2</v>
      </c>
      <c r="D1152" s="7">
        <v>26000</v>
      </c>
      <c r="E1152" s="7" t="s">
        <v>4</v>
      </c>
      <c r="F1152" s="7">
        <v>7.62</v>
      </c>
      <c r="G1152" s="7">
        <v>0</v>
      </c>
      <c r="H1152" s="7">
        <v>28997.6700161874</v>
      </c>
      <c r="I1152" s="7">
        <v>0</v>
      </c>
    </row>
    <row r="1153" spans="1:9" x14ac:dyDescent="0.2">
      <c r="A1153" s="7">
        <v>131102</v>
      </c>
      <c r="B1153" s="7">
        <v>3.5370437695051E-2</v>
      </c>
      <c r="C1153" s="7">
        <v>7.4974238972806501E-2</v>
      </c>
      <c r="D1153" s="7">
        <v>1200</v>
      </c>
      <c r="E1153" s="7" t="s">
        <v>8</v>
      </c>
      <c r="F1153" s="7">
        <v>13.11</v>
      </c>
      <c r="G1153" s="7">
        <v>1</v>
      </c>
      <c r="H1153" s="7">
        <v>678.55</v>
      </c>
      <c r="I1153" s="7">
        <v>112.11</v>
      </c>
    </row>
    <row r="1154" spans="1:9" x14ac:dyDescent="0.2">
      <c r="A1154" s="7">
        <v>77533</v>
      </c>
      <c r="B1154" s="7">
        <v>3.5913065340126803E-2</v>
      </c>
      <c r="C1154" s="7">
        <v>7.4974238972806501E-2</v>
      </c>
      <c r="D1154" s="7">
        <v>12000</v>
      </c>
      <c r="E1154" s="7" t="s">
        <v>8</v>
      </c>
      <c r="F1154" s="7">
        <v>10.16</v>
      </c>
      <c r="G1154" s="7">
        <v>0</v>
      </c>
      <c r="H1154" s="7">
        <v>13546.821415895</v>
      </c>
      <c r="I1154" s="7">
        <v>0</v>
      </c>
    </row>
    <row r="1155" spans="1:9" x14ac:dyDescent="0.2">
      <c r="A1155" s="7">
        <v>93476</v>
      </c>
      <c r="B1155" s="7">
        <v>2.1158085819875799E-2</v>
      </c>
      <c r="C1155" s="7">
        <v>7.4974238972806501E-2</v>
      </c>
      <c r="D1155" s="7">
        <v>10000</v>
      </c>
      <c r="E1155" s="7" t="s">
        <v>4</v>
      </c>
      <c r="F1155" s="7">
        <v>7.9</v>
      </c>
      <c r="G1155" s="7">
        <v>0</v>
      </c>
      <c r="H1155" s="7">
        <v>11264.458054127101</v>
      </c>
      <c r="I1155" s="7">
        <v>0</v>
      </c>
    </row>
    <row r="1156" spans="1:9" x14ac:dyDescent="0.2">
      <c r="A1156" s="7">
        <v>3093</v>
      </c>
      <c r="B1156" s="7">
        <v>2.74770776409346E-2</v>
      </c>
      <c r="C1156" s="7">
        <v>7.4974238972806501E-2</v>
      </c>
      <c r="D1156" s="7">
        <v>12000</v>
      </c>
      <c r="E1156" s="7" t="s">
        <v>4</v>
      </c>
      <c r="F1156" s="7">
        <v>6.62</v>
      </c>
      <c r="G1156" s="7">
        <v>0</v>
      </c>
      <c r="H1156" s="7">
        <v>12314.236672773601</v>
      </c>
      <c r="I1156" s="7">
        <v>0</v>
      </c>
    </row>
    <row r="1157" spans="1:9" x14ac:dyDescent="0.2">
      <c r="A1157" s="7">
        <v>51869</v>
      </c>
      <c r="B1157" s="7">
        <v>3.6468970920239097E-2</v>
      </c>
      <c r="C1157" s="7">
        <v>8.4798680815203503E-2</v>
      </c>
      <c r="D1157" s="7">
        <v>16000</v>
      </c>
      <c r="E1157" s="7" t="s">
        <v>6</v>
      </c>
      <c r="F1157" s="7">
        <v>19.72</v>
      </c>
      <c r="G1157" s="7">
        <v>1</v>
      </c>
      <c r="H1157" s="7">
        <v>6515.74</v>
      </c>
      <c r="I1157" s="7">
        <v>0</v>
      </c>
    </row>
    <row r="1158" spans="1:9" x14ac:dyDescent="0.2">
      <c r="A1158" s="7">
        <v>116170</v>
      </c>
      <c r="B1158" s="7">
        <v>3.4433400386627303E-2</v>
      </c>
      <c r="C1158" s="7">
        <v>8.1509172207196695E-2</v>
      </c>
      <c r="D1158" s="7">
        <v>10000</v>
      </c>
      <c r="E1158" s="7" t="s">
        <v>5</v>
      </c>
      <c r="F1158" s="7">
        <v>15.8</v>
      </c>
      <c r="G1158" s="7">
        <v>1</v>
      </c>
      <c r="H1158" s="7">
        <v>8037.53</v>
      </c>
      <c r="I1158" s="7">
        <v>683.81</v>
      </c>
    </row>
    <row r="1159" spans="1:9" x14ac:dyDescent="0.2">
      <c r="A1159" s="7">
        <v>65646</v>
      </c>
      <c r="B1159" s="7">
        <v>3.1774953359216297E-2</v>
      </c>
      <c r="C1159" s="7">
        <v>8.1509172207196695E-2</v>
      </c>
      <c r="D1159" s="7">
        <v>8800</v>
      </c>
      <c r="E1159" s="7" t="s">
        <v>8</v>
      </c>
      <c r="F1159" s="7">
        <v>13.11</v>
      </c>
      <c r="G1159" s="7">
        <v>0</v>
      </c>
      <c r="H1159" s="7">
        <v>9427.5621329368005</v>
      </c>
      <c r="I1159" s="7">
        <v>0</v>
      </c>
    </row>
    <row r="1160" spans="1:9" x14ac:dyDescent="0.2">
      <c r="A1160" s="7">
        <v>10589</v>
      </c>
      <c r="B1160" s="7">
        <v>3.1099598947208599E-2</v>
      </c>
      <c r="C1160" s="7">
        <v>7.7054178620260594E-2</v>
      </c>
      <c r="D1160" s="7">
        <v>9325</v>
      </c>
      <c r="E1160" s="7" t="s">
        <v>5</v>
      </c>
      <c r="F1160" s="7">
        <v>15.1</v>
      </c>
      <c r="G1160" s="7">
        <v>0</v>
      </c>
      <c r="H1160" s="7">
        <v>11330.989995785299</v>
      </c>
      <c r="I1160" s="7">
        <v>0</v>
      </c>
    </row>
    <row r="1161" spans="1:9" x14ac:dyDescent="0.2">
      <c r="A1161" s="7">
        <v>114035</v>
      </c>
      <c r="B1161" s="7">
        <v>3.01798209139078E-2</v>
      </c>
      <c r="C1161" s="7">
        <v>7.4974238972806501E-2</v>
      </c>
      <c r="D1161" s="7">
        <v>9950</v>
      </c>
      <c r="E1161" s="7" t="s">
        <v>8</v>
      </c>
      <c r="F1161" s="7">
        <v>12.12</v>
      </c>
      <c r="G1161" s="7">
        <v>0</v>
      </c>
      <c r="H1161" s="7">
        <v>11538.613207996599</v>
      </c>
      <c r="I1161" s="7">
        <v>0</v>
      </c>
    </row>
    <row r="1162" spans="1:9" x14ac:dyDescent="0.2">
      <c r="A1162" s="7">
        <v>142389</v>
      </c>
      <c r="B1162" s="7">
        <v>2.4921193180027799E-2</v>
      </c>
      <c r="C1162" s="7">
        <v>5.3944556304700297E-2</v>
      </c>
      <c r="D1162" s="7">
        <v>16000</v>
      </c>
      <c r="E1162" s="7" t="s">
        <v>4</v>
      </c>
      <c r="F1162" s="7">
        <v>7.9</v>
      </c>
      <c r="G1162" s="7">
        <v>0</v>
      </c>
      <c r="H1162" s="7">
        <v>18023.159733545399</v>
      </c>
      <c r="I1162" s="7">
        <v>0</v>
      </c>
    </row>
    <row r="1163" spans="1:9" x14ac:dyDescent="0.2">
      <c r="A1163" s="7">
        <v>131161</v>
      </c>
      <c r="B1163" s="7">
        <v>1.9909328385029601E-4</v>
      </c>
      <c r="C1163" s="7">
        <v>8.1509172207196695E-2</v>
      </c>
      <c r="D1163" s="7">
        <v>4800</v>
      </c>
      <c r="E1163" s="7" t="s">
        <v>7</v>
      </c>
      <c r="F1163" s="7">
        <v>20.99</v>
      </c>
      <c r="G1163" s="7">
        <v>0</v>
      </c>
      <c r="H1163" s="7">
        <v>7639.1699914860001</v>
      </c>
      <c r="I1163" s="7">
        <v>0</v>
      </c>
    </row>
    <row r="1164" spans="1:9" x14ac:dyDescent="0.2">
      <c r="A1164" s="7">
        <v>95427</v>
      </c>
      <c r="B1164" s="7">
        <v>1.7025255222242899E-3</v>
      </c>
      <c r="C1164" s="7">
        <v>8.4798680815203503E-2</v>
      </c>
      <c r="D1164" s="7">
        <v>24375</v>
      </c>
      <c r="E1164" s="7" t="s">
        <v>5</v>
      </c>
      <c r="F1164" s="7">
        <v>15.8</v>
      </c>
      <c r="G1164" s="7">
        <v>0</v>
      </c>
      <c r="H1164" s="7">
        <v>27420.971664426699</v>
      </c>
      <c r="I1164" s="7">
        <v>0</v>
      </c>
    </row>
    <row r="1165" spans="1:9" x14ac:dyDescent="0.2">
      <c r="A1165" s="7">
        <v>34844</v>
      </c>
      <c r="B1165" s="7">
        <v>3.6619125413128402E-2</v>
      </c>
      <c r="C1165" s="7">
        <v>8.4798680815203503E-2</v>
      </c>
      <c r="D1165" s="7">
        <v>30000</v>
      </c>
      <c r="E1165" s="7" t="s">
        <v>5</v>
      </c>
      <c r="F1165" s="7">
        <v>14.33</v>
      </c>
      <c r="G1165" s="7">
        <v>1</v>
      </c>
      <c r="H1165" s="7">
        <v>6077.77</v>
      </c>
      <c r="I1165" s="7">
        <v>4017.87</v>
      </c>
    </row>
    <row r="1166" spans="1:9" x14ac:dyDescent="0.2">
      <c r="A1166" s="7">
        <v>131917</v>
      </c>
      <c r="B1166" s="7">
        <v>2.8027660828311599E-2</v>
      </c>
      <c r="C1166" s="7">
        <v>8.1509172207196695E-2</v>
      </c>
      <c r="D1166" s="7">
        <v>15000</v>
      </c>
      <c r="E1166" s="7" t="s">
        <v>8</v>
      </c>
      <c r="F1166" s="7">
        <v>12.12</v>
      </c>
      <c r="G1166" s="7">
        <v>0</v>
      </c>
      <c r="H1166" s="7">
        <v>17962.0100044434</v>
      </c>
      <c r="I1166" s="7">
        <v>0</v>
      </c>
    </row>
    <row r="1167" spans="1:9" x14ac:dyDescent="0.2">
      <c r="A1167" s="7">
        <v>61831</v>
      </c>
      <c r="B1167" s="7">
        <v>2.2006782050229701E-2</v>
      </c>
      <c r="C1167" s="7">
        <v>7.4974238972806501E-2</v>
      </c>
      <c r="D1167" s="7">
        <v>10000</v>
      </c>
      <c r="E1167" s="7" t="s">
        <v>5</v>
      </c>
      <c r="F1167" s="7">
        <v>14.33</v>
      </c>
      <c r="G1167" s="7">
        <v>1</v>
      </c>
      <c r="H1167" s="7">
        <v>4464.07</v>
      </c>
      <c r="I1167" s="7">
        <v>12.87</v>
      </c>
    </row>
    <row r="1168" spans="1:9" x14ac:dyDescent="0.2">
      <c r="A1168" s="7">
        <v>127801</v>
      </c>
      <c r="B1168" s="7">
        <v>2.50439518273088E-2</v>
      </c>
      <c r="C1168" s="7">
        <v>7.4974238972806501E-2</v>
      </c>
      <c r="D1168" s="7">
        <v>10000</v>
      </c>
      <c r="E1168" s="7" t="s">
        <v>8</v>
      </c>
      <c r="F1168" s="7">
        <v>12.12</v>
      </c>
      <c r="G1168" s="7">
        <v>0</v>
      </c>
      <c r="H1168" s="7">
        <v>11977.7703908928</v>
      </c>
      <c r="I1168" s="7">
        <v>0</v>
      </c>
    </row>
    <row r="1169" spans="1:9" x14ac:dyDescent="0.2">
      <c r="A1169" s="7">
        <v>61104</v>
      </c>
      <c r="B1169" s="7">
        <v>-1.4983465569979499E-3</v>
      </c>
      <c r="C1169" s="7">
        <v>8.4798680815203503E-2</v>
      </c>
      <c r="D1169" s="7">
        <v>20000</v>
      </c>
      <c r="E1169" s="7" t="s">
        <v>7</v>
      </c>
      <c r="F1169" s="7">
        <v>21.49</v>
      </c>
      <c r="G1169" s="7">
        <v>0</v>
      </c>
      <c r="H1169" s="7">
        <v>24989.140805302999</v>
      </c>
      <c r="I1169" s="7">
        <v>0</v>
      </c>
    </row>
    <row r="1170" spans="1:9" x14ac:dyDescent="0.2">
      <c r="A1170" s="7">
        <v>111375</v>
      </c>
      <c r="B1170" s="7">
        <v>1.0702443193936701E-2</v>
      </c>
      <c r="C1170" s="7">
        <v>8.1509172207196695E-2</v>
      </c>
      <c r="D1170" s="7">
        <v>5000</v>
      </c>
      <c r="E1170" s="7" t="s">
        <v>4</v>
      </c>
      <c r="F1170" s="7">
        <v>6.62</v>
      </c>
      <c r="G1170" s="7">
        <v>0</v>
      </c>
      <c r="H1170" s="7">
        <v>5523.9700000012999</v>
      </c>
      <c r="I1170" s="7">
        <v>0</v>
      </c>
    </row>
    <row r="1171" spans="1:9" x14ac:dyDescent="0.2">
      <c r="A1171" s="7">
        <v>4901</v>
      </c>
      <c r="B1171" s="7">
        <v>-4.7326211054504897E-3</v>
      </c>
      <c r="C1171" s="7">
        <v>7.7054178620260594E-2</v>
      </c>
      <c r="D1171" s="7">
        <v>10000</v>
      </c>
      <c r="E1171" s="7" t="s">
        <v>6</v>
      </c>
      <c r="F1171" s="7">
        <v>19.22</v>
      </c>
      <c r="G1171" s="7">
        <v>0</v>
      </c>
      <c r="H1171" s="7">
        <v>11668.9510152887</v>
      </c>
      <c r="I1171" s="7">
        <v>0</v>
      </c>
    </row>
    <row r="1172" spans="1:9" x14ac:dyDescent="0.2">
      <c r="A1172" s="7">
        <v>11574</v>
      </c>
      <c r="B1172" s="7">
        <v>3.6595310393354397E-2</v>
      </c>
      <c r="C1172" s="7">
        <v>7.7054178620260594E-2</v>
      </c>
      <c r="D1172" s="7">
        <v>17375</v>
      </c>
      <c r="E1172" s="7" t="s">
        <v>5</v>
      </c>
      <c r="F1172" s="7">
        <v>17.100000000000001</v>
      </c>
      <c r="G1172" s="7">
        <v>0</v>
      </c>
      <c r="H1172" s="7">
        <v>19602.6006482187</v>
      </c>
      <c r="I1172" s="7">
        <v>0</v>
      </c>
    </row>
    <row r="1173" spans="1:9" x14ac:dyDescent="0.2">
      <c r="A1173" s="7">
        <v>43272</v>
      </c>
      <c r="B1173" s="7">
        <v>2.9666351412263599E-2</v>
      </c>
      <c r="C1173" s="7">
        <v>8.1509172207196695E-2</v>
      </c>
      <c r="D1173" s="7">
        <v>5600</v>
      </c>
      <c r="E1173" s="7" t="s">
        <v>6</v>
      </c>
      <c r="F1173" s="7">
        <v>17.559999999999999</v>
      </c>
      <c r="G1173" s="7">
        <v>0</v>
      </c>
      <c r="H1173" s="7">
        <v>7093.7199986535998</v>
      </c>
      <c r="I1173" s="7">
        <v>0</v>
      </c>
    </row>
    <row r="1174" spans="1:9" x14ac:dyDescent="0.2">
      <c r="A1174" s="7">
        <v>97382</v>
      </c>
      <c r="B1174" s="7">
        <v>4.1487586667066798E-2</v>
      </c>
      <c r="C1174" s="7">
        <v>5.3944556304700297E-2</v>
      </c>
      <c r="D1174" s="7">
        <v>16625</v>
      </c>
      <c r="E1174" s="7" t="s">
        <v>8</v>
      </c>
      <c r="F1174" s="7">
        <v>11.14</v>
      </c>
      <c r="G1174" s="7">
        <v>1</v>
      </c>
      <c r="H1174" s="7">
        <v>8180.85</v>
      </c>
      <c r="I1174" s="7">
        <v>0</v>
      </c>
    </row>
    <row r="1175" spans="1:9" x14ac:dyDescent="0.2">
      <c r="A1175" s="7">
        <v>79011</v>
      </c>
      <c r="B1175" s="7">
        <v>3.5902558516061903E-2</v>
      </c>
      <c r="C1175" s="7">
        <v>8.1509172207196695E-2</v>
      </c>
      <c r="D1175" s="7">
        <v>6250</v>
      </c>
      <c r="E1175" s="7" t="s">
        <v>5</v>
      </c>
      <c r="F1175" s="7">
        <v>14.33</v>
      </c>
      <c r="G1175" s="7">
        <v>0</v>
      </c>
      <c r="H1175" s="7">
        <v>6670.2018828798</v>
      </c>
      <c r="I1175" s="7">
        <v>0</v>
      </c>
    </row>
    <row r="1176" spans="1:9" x14ac:dyDescent="0.2">
      <c r="A1176" s="7">
        <v>126856</v>
      </c>
      <c r="B1176" s="7">
        <v>1.3747366975306799E-2</v>
      </c>
      <c r="C1176" s="7">
        <v>8.1509172207196695E-2</v>
      </c>
      <c r="D1176" s="7">
        <v>4000</v>
      </c>
      <c r="E1176" s="7" t="s">
        <v>4</v>
      </c>
      <c r="F1176" s="7">
        <v>6.03</v>
      </c>
      <c r="G1176" s="7">
        <v>1</v>
      </c>
      <c r="H1176" s="7">
        <v>1702.54</v>
      </c>
      <c r="I1176" s="7">
        <v>0</v>
      </c>
    </row>
    <row r="1177" spans="1:9" x14ac:dyDescent="0.2">
      <c r="A1177" s="7">
        <v>135725</v>
      </c>
      <c r="B1177" s="7">
        <v>2.3651765204268101E-2</v>
      </c>
      <c r="C1177" s="7">
        <v>8.1509172207196695E-2</v>
      </c>
      <c r="D1177" s="7">
        <v>6400</v>
      </c>
      <c r="E1177" s="7" t="s">
        <v>8</v>
      </c>
      <c r="F1177" s="7">
        <v>10.74</v>
      </c>
      <c r="G1177" s="7">
        <v>0</v>
      </c>
      <c r="H1177" s="7">
        <v>7497.5799999985002</v>
      </c>
      <c r="I1177" s="7">
        <v>0</v>
      </c>
    </row>
    <row r="1178" spans="1:9" x14ac:dyDescent="0.2">
      <c r="A1178" s="7">
        <v>78495</v>
      </c>
      <c r="B1178" s="7">
        <v>4.3559381246633999E-2</v>
      </c>
      <c r="C1178" s="7">
        <v>5.3944556304700297E-2</v>
      </c>
      <c r="D1178" s="7">
        <v>10000</v>
      </c>
      <c r="E1178" s="7" t="s">
        <v>8</v>
      </c>
      <c r="F1178" s="7">
        <v>12.12</v>
      </c>
      <c r="G1178" s="7">
        <v>0</v>
      </c>
      <c r="H1178" s="7">
        <v>11947.9</v>
      </c>
      <c r="I1178" s="7">
        <v>0</v>
      </c>
    </row>
    <row r="1179" spans="1:9" x14ac:dyDescent="0.2">
      <c r="A1179" s="7">
        <v>141361</v>
      </c>
      <c r="B1179" s="7">
        <v>2.0728383609362501E-2</v>
      </c>
      <c r="C1179" s="7">
        <v>8.1509172207196695E-2</v>
      </c>
      <c r="D1179" s="7">
        <v>6400</v>
      </c>
      <c r="E1179" s="7" t="s">
        <v>4</v>
      </c>
      <c r="F1179" s="7">
        <v>7.9</v>
      </c>
      <c r="G1179" s="7">
        <v>0</v>
      </c>
      <c r="H1179" s="7">
        <v>7209.2700000002997</v>
      </c>
      <c r="I1179" s="7">
        <v>0</v>
      </c>
    </row>
    <row r="1180" spans="1:9" x14ac:dyDescent="0.2">
      <c r="A1180" s="7">
        <v>73694</v>
      </c>
      <c r="B1180" s="7">
        <v>4.5839787986562498E-2</v>
      </c>
      <c r="C1180" s="7">
        <v>5.3944556304700297E-2</v>
      </c>
      <c r="D1180" s="7">
        <v>35000</v>
      </c>
      <c r="E1180" s="7" t="s">
        <v>8</v>
      </c>
      <c r="F1180" s="7">
        <v>14.09</v>
      </c>
      <c r="G1180" s="7">
        <v>0</v>
      </c>
      <c r="H1180" s="7">
        <v>43118.899975640503</v>
      </c>
      <c r="I1180" s="7">
        <v>0</v>
      </c>
    </row>
    <row r="1181" spans="1:9" x14ac:dyDescent="0.2">
      <c r="A1181" s="7">
        <v>15547</v>
      </c>
      <c r="B1181" s="7">
        <v>2.0340197961566199E-2</v>
      </c>
      <c r="C1181" s="7">
        <v>8.1509172207196695E-2</v>
      </c>
      <c r="D1181" s="7">
        <v>15000</v>
      </c>
      <c r="E1181" s="7" t="s">
        <v>4</v>
      </c>
      <c r="F1181" s="7">
        <v>7.9</v>
      </c>
      <c r="G1181" s="7">
        <v>0</v>
      </c>
      <c r="H1181" s="7">
        <v>16520.670006997101</v>
      </c>
      <c r="I1181" s="7">
        <v>0</v>
      </c>
    </row>
    <row r="1182" spans="1:9" x14ac:dyDescent="0.2">
      <c r="A1182" s="7">
        <v>27623</v>
      </c>
      <c r="B1182" s="7">
        <v>-7.7530960189454304E-3</v>
      </c>
      <c r="C1182" s="7">
        <v>8.4798680815203503E-2</v>
      </c>
      <c r="D1182" s="7">
        <v>35000</v>
      </c>
      <c r="E1182" s="7" t="s">
        <v>10</v>
      </c>
      <c r="F1182" s="7">
        <v>24.08</v>
      </c>
      <c r="G1182" s="7">
        <v>0</v>
      </c>
      <c r="H1182" s="7">
        <v>52514.529984234599</v>
      </c>
      <c r="I1182" s="7">
        <v>0</v>
      </c>
    </row>
    <row r="1183" spans="1:9" x14ac:dyDescent="0.2">
      <c r="A1183" s="7">
        <v>87699</v>
      </c>
      <c r="B1183" s="7">
        <v>3.4857827323154601E-2</v>
      </c>
      <c r="C1183" s="7">
        <v>8.1509172207196695E-2</v>
      </c>
      <c r="D1183" s="7">
        <v>12000</v>
      </c>
      <c r="E1183" s="7" t="s">
        <v>5</v>
      </c>
      <c r="F1183" s="7">
        <v>15.31</v>
      </c>
      <c r="G1183" s="7">
        <v>1</v>
      </c>
      <c r="H1183" s="7">
        <v>7101.21</v>
      </c>
      <c r="I1183" s="7">
        <v>0</v>
      </c>
    </row>
    <row r="1184" spans="1:9" x14ac:dyDescent="0.2">
      <c r="A1184" s="7">
        <v>29593</v>
      </c>
      <c r="B1184" s="7">
        <v>3.4430326925360598E-2</v>
      </c>
      <c r="C1184" s="7">
        <v>7.4974238972806501E-2</v>
      </c>
      <c r="D1184" s="7">
        <v>10000</v>
      </c>
      <c r="E1184" s="7" t="s">
        <v>8</v>
      </c>
      <c r="F1184" s="7">
        <v>10.64</v>
      </c>
      <c r="G1184" s="7">
        <v>0</v>
      </c>
      <c r="H1184" s="7">
        <v>11669.33</v>
      </c>
      <c r="I1184" s="7">
        <v>0</v>
      </c>
    </row>
    <row r="1185" spans="1:9" x14ac:dyDescent="0.2">
      <c r="A1185" s="7">
        <v>72336</v>
      </c>
      <c r="B1185" s="7">
        <v>2.8648575820591202E-2</v>
      </c>
      <c r="C1185" s="7">
        <v>7.4974238972806501E-2</v>
      </c>
      <c r="D1185" s="7">
        <v>15000</v>
      </c>
      <c r="E1185" s="7" t="s">
        <v>8</v>
      </c>
      <c r="F1185" s="7">
        <v>11.14</v>
      </c>
      <c r="G1185" s="7">
        <v>0</v>
      </c>
      <c r="H1185" s="7">
        <v>17714.7030279153</v>
      </c>
      <c r="I1185" s="7">
        <v>0</v>
      </c>
    </row>
    <row r="1186" spans="1:9" x14ac:dyDescent="0.2">
      <c r="A1186" s="7">
        <v>138972</v>
      </c>
      <c r="B1186" s="7">
        <v>3.4533525975377899E-2</v>
      </c>
      <c r="C1186" s="7">
        <v>8.1509172207196695E-2</v>
      </c>
      <c r="D1186" s="7">
        <v>8150</v>
      </c>
      <c r="E1186" s="7" t="s">
        <v>5</v>
      </c>
      <c r="F1186" s="7">
        <v>15.81</v>
      </c>
      <c r="G1186" s="7">
        <v>0</v>
      </c>
      <c r="H1186" s="7">
        <v>9499.5616126574005</v>
      </c>
      <c r="I1186" s="7">
        <v>0</v>
      </c>
    </row>
    <row r="1187" spans="1:9" x14ac:dyDescent="0.2">
      <c r="A1187" s="7">
        <v>54749</v>
      </c>
      <c r="B1187" s="7">
        <v>3.33813880427287E-2</v>
      </c>
      <c r="C1187" s="7">
        <v>8.1509172207196695E-2</v>
      </c>
      <c r="D1187" s="7">
        <v>6000</v>
      </c>
      <c r="E1187" s="7" t="s">
        <v>8</v>
      </c>
      <c r="F1187" s="7">
        <v>13.11</v>
      </c>
      <c r="G1187" s="7">
        <v>1</v>
      </c>
      <c r="H1187" s="7">
        <v>3411.2</v>
      </c>
      <c r="I1187" s="7">
        <v>554.94000000000005</v>
      </c>
    </row>
    <row r="1188" spans="1:9" x14ac:dyDescent="0.2">
      <c r="A1188" s="7">
        <v>81712</v>
      </c>
      <c r="B1188" s="7">
        <v>3.3318807283281099E-2</v>
      </c>
      <c r="C1188" s="7">
        <v>8.1509172207196695E-2</v>
      </c>
      <c r="D1188" s="7">
        <v>4000</v>
      </c>
      <c r="E1188" s="7" t="s">
        <v>5</v>
      </c>
      <c r="F1188" s="7">
        <v>15.31</v>
      </c>
      <c r="G1188" s="7">
        <v>0</v>
      </c>
      <c r="H1188" s="7">
        <v>4555.4723170113002</v>
      </c>
      <c r="I1188" s="7">
        <v>0</v>
      </c>
    </row>
    <row r="1189" spans="1:9" x14ac:dyDescent="0.2">
      <c r="A1189" s="7">
        <v>136457</v>
      </c>
      <c r="B1189" s="7">
        <v>3.47543674708512E-2</v>
      </c>
      <c r="C1189" s="7">
        <v>7.4974238972806501E-2</v>
      </c>
      <c r="D1189" s="7">
        <v>10000</v>
      </c>
      <c r="E1189" s="7" t="s">
        <v>8</v>
      </c>
      <c r="F1189" s="7">
        <v>12.12</v>
      </c>
      <c r="G1189" s="7">
        <v>0</v>
      </c>
      <c r="H1189" s="7">
        <v>11904.1283784229</v>
      </c>
      <c r="I1189" s="7">
        <v>0</v>
      </c>
    </row>
    <row r="1190" spans="1:9" x14ac:dyDescent="0.2">
      <c r="A1190" s="7">
        <v>21463</v>
      </c>
      <c r="B1190" s="7">
        <v>3.5297256206056699E-2</v>
      </c>
      <c r="C1190" s="7">
        <v>7.4974238972806501E-2</v>
      </c>
      <c r="D1190" s="7">
        <v>2000</v>
      </c>
      <c r="E1190" s="7" t="s">
        <v>5</v>
      </c>
      <c r="F1190" s="7">
        <v>16.2</v>
      </c>
      <c r="G1190" s="7">
        <v>0</v>
      </c>
      <c r="H1190" s="7">
        <v>2389.81</v>
      </c>
      <c r="I1190" s="7">
        <v>0</v>
      </c>
    </row>
    <row r="1191" spans="1:9" x14ac:dyDescent="0.2">
      <c r="A1191" s="7">
        <v>30276</v>
      </c>
      <c r="B1191" s="7">
        <v>2.6230740823289099E-2</v>
      </c>
      <c r="C1191" s="7">
        <v>8.4798680815203503E-2</v>
      </c>
      <c r="D1191" s="7">
        <v>27575</v>
      </c>
      <c r="E1191" s="7" t="s">
        <v>5</v>
      </c>
      <c r="F1191" s="7">
        <v>15.22</v>
      </c>
      <c r="G1191" s="7">
        <v>1</v>
      </c>
      <c r="H1191" s="7">
        <v>11445.59</v>
      </c>
      <c r="I1191" s="7">
        <v>1856.89</v>
      </c>
    </row>
    <row r="1192" spans="1:9" x14ac:dyDescent="0.2">
      <c r="A1192" s="7">
        <v>12314</v>
      </c>
      <c r="B1192" s="7">
        <v>2.5742655953402999E-2</v>
      </c>
      <c r="C1192" s="7">
        <v>5.3944556304700297E-2</v>
      </c>
      <c r="D1192" s="7">
        <v>19200</v>
      </c>
      <c r="E1192" s="7" t="s">
        <v>4</v>
      </c>
      <c r="F1192" s="7">
        <v>6.03</v>
      </c>
      <c r="G1192" s="7">
        <v>0</v>
      </c>
      <c r="H1192" s="7">
        <v>20970.499984049598</v>
      </c>
      <c r="I1192" s="7">
        <v>0</v>
      </c>
    </row>
    <row r="1193" spans="1:9" x14ac:dyDescent="0.2">
      <c r="A1193" s="7">
        <v>70744</v>
      </c>
      <c r="B1193" s="7">
        <v>3.50760057636232E-2</v>
      </c>
      <c r="C1193" s="7">
        <v>7.4974238972806501E-2</v>
      </c>
      <c r="D1193" s="7">
        <v>12000</v>
      </c>
      <c r="E1193" s="7" t="s">
        <v>5</v>
      </c>
      <c r="F1193" s="7">
        <v>15.8</v>
      </c>
      <c r="G1193" s="7">
        <v>0</v>
      </c>
      <c r="H1193" s="7">
        <v>14658.55</v>
      </c>
      <c r="I1193" s="7">
        <v>0</v>
      </c>
    </row>
    <row r="1194" spans="1:9" x14ac:dyDescent="0.2">
      <c r="A1194" s="7">
        <v>19726</v>
      </c>
      <c r="B1194" s="7">
        <v>4.22295760881959E-2</v>
      </c>
      <c r="C1194" s="7">
        <v>7.4974238972806501E-2</v>
      </c>
      <c r="D1194" s="7">
        <v>7200</v>
      </c>
      <c r="E1194" s="7" t="s">
        <v>8</v>
      </c>
      <c r="F1194" s="7">
        <v>11.99</v>
      </c>
      <c r="G1194" s="7">
        <v>0</v>
      </c>
      <c r="H1194" s="7">
        <v>8285.4699971769005</v>
      </c>
      <c r="I1194" s="7">
        <v>0</v>
      </c>
    </row>
    <row r="1195" spans="1:9" x14ac:dyDescent="0.2">
      <c r="A1195" s="7">
        <v>71486</v>
      </c>
      <c r="B1195" s="7">
        <v>3.1998443109601198E-2</v>
      </c>
      <c r="C1195" s="7">
        <v>8.1509172207196695E-2</v>
      </c>
      <c r="D1195" s="7">
        <v>8325</v>
      </c>
      <c r="E1195" s="7" t="s">
        <v>5</v>
      </c>
      <c r="F1195" s="7">
        <v>15.8</v>
      </c>
      <c r="G1195" s="7">
        <v>0</v>
      </c>
      <c r="H1195" s="7">
        <v>10506.906618732301</v>
      </c>
      <c r="I1195" s="7">
        <v>0</v>
      </c>
    </row>
    <row r="1196" spans="1:9" x14ac:dyDescent="0.2">
      <c r="A1196" s="7">
        <v>8592</v>
      </c>
      <c r="B1196" s="7">
        <v>1.4257447881715899E-3</v>
      </c>
      <c r="C1196" s="7">
        <v>8.4798680815203503E-2</v>
      </c>
      <c r="D1196" s="7">
        <v>25000</v>
      </c>
      <c r="E1196" s="7" t="s">
        <v>10</v>
      </c>
      <c r="F1196" s="7">
        <v>24.08</v>
      </c>
      <c r="G1196" s="7">
        <v>0</v>
      </c>
      <c r="H1196" s="7">
        <v>26979.982241951198</v>
      </c>
      <c r="I1196" s="7">
        <v>0</v>
      </c>
    </row>
    <row r="1197" spans="1:9" x14ac:dyDescent="0.2">
      <c r="A1197" s="7">
        <v>65056</v>
      </c>
      <c r="B1197" s="7">
        <v>4.0841182464944899E-2</v>
      </c>
      <c r="C1197" s="7">
        <v>7.7054178620260594E-2</v>
      </c>
      <c r="D1197" s="7">
        <v>20000</v>
      </c>
      <c r="E1197" s="7" t="s">
        <v>5</v>
      </c>
      <c r="F1197" s="7">
        <v>14.33</v>
      </c>
      <c r="G1197" s="7">
        <v>0</v>
      </c>
      <c r="H1197" s="7">
        <v>22832.864157433502</v>
      </c>
      <c r="I1197" s="7">
        <v>0</v>
      </c>
    </row>
    <row r="1198" spans="1:9" x14ac:dyDescent="0.2">
      <c r="A1198" s="7">
        <v>131532</v>
      </c>
      <c r="B1198" s="7">
        <v>1.7845572498942201E-2</v>
      </c>
      <c r="C1198" s="7">
        <v>8.1509172207196695E-2</v>
      </c>
      <c r="D1198" s="7">
        <v>12000</v>
      </c>
      <c r="E1198" s="7" t="s">
        <v>4</v>
      </c>
      <c r="F1198" s="7">
        <v>7.62</v>
      </c>
      <c r="G1198" s="7">
        <v>0</v>
      </c>
      <c r="H1198" s="7">
        <v>12150.6161143504</v>
      </c>
      <c r="I1198" s="7">
        <v>0</v>
      </c>
    </row>
    <row r="1199" spans="1:9" x14ac:dyDescent="0.2">
      <c r="A1199" s="7">
        <v>111797</v>
      </c>
      <c r="B1199" s="7">
        <v>-5.2529030079324296E-3</v>
      </c>
      <c r="C1199" s="7">
        <v>8.4798680815203503E-2</v>
      </c>
      <c r="D1199" s="7">
        <v>22525</v>
      </c>
      <c r="E1199" s="7" t="s">
        <v>10</v>
      </c>
      <c r="F1199" s="7">
        <v>23.63</v>
      </c>
      <c r="G1199" s="7">
        <v>1</v>
      </c>
      <c r="H1199" s="7">
        <v>9364.2000000000007</v>
      </c>
      <c r="I1199" s="7">
        <v>2937.4</v>
      </c>
    </row>
    <row r="1200" spans="1:9" x14ac:dyDescent="0.2">
      <c r="A1200" s="7">
        <v>83749</v>
      </c>
      <c r="B1200" s="7">
        <v>3.2243693472726001E-2</v>
      </c>
      <c r="C1200" s="7">
        <v>8.1509172207196695E-2</v>
      </c>
      <c r="D1200" s="7">
        <v>10375</v>
      </c>
      <c r="E1200" s="7" t="s">
        <v>5</v>
      </c>
      <c r="F1200" s="7">
        <v>15.31</v>
      </c>
      <c r="G1200" s="7">
        <v>0</v>
      </c>
      <c r="H1200" s="7">
        <v>12120.75</v>
      </c>
      <c r="I1200" s="7">
        <v>0</v>
      </c>
    </row>
    <row r="1201" spans="1:9" x14ac:dyDescent="0.2">
      <c r="A1201" s="7">
        <v>100392</v>
      </c>
      <c r="B1201" s="7">
        <v>1.26960673637507E-3</v>
      </c>
      <c r="C1201" s="7">
        <v>8.4798680815203503E-2</v>
      </c>
      <c r="D1201" s="7">
        <v>24500</v>
      </c>
      <c r="E1201" s="7" t="s">
        <v>7</v>
      </c>
      <c r="F1201" s="7">
        <v>20.49</v>
      </c>
      <c r="G1201" s="7">
        <v>1</v>
      </c>
      <c r="H1201" s="7">
        <v>5896.89</v>
      </c>
      <c r="I1201" s="7">
        <v>0</v>
      </c>
    </row>
    <row r="1202" spans="1:9" x14ac:dyDescent="0.2">
      <c r="A1202" s="7">
        <v>11437</v>
      </c>
      <c r="B1202" s="7">
        <v>5.6548014821231696E-3</v>
      </c>
      <c r="C1202" s="7">
        <v>8.4798680815203503E-2</v>
      </c>
      <c r="D1202" s="7">
        <v>23000</v>
      </c>
      <c r="E1202" s="7" t="s">
        <v>6</v>
      </c>
      <c r="F1202" s="7">
        <v>20.2</v>
      </c>
      <c r="G1202" s="7">
        <v>0</v>
      </c>
      <c r="H1202" s="7">
        <v>30459.149981352701</v>
      </c>
      <c r="I1202" s="7">
        <v>0</v>
      </c>
    </row>
    <row r="1203" spans="1:9" x14ac:dyDescent="0.2">
      <c r="A1203" s="7">
        <v>137091</v>
      </c>
      <c r="B1203" s="7">
        <v>-2.2132980415569301E-2</v>
      </c>
      <c r="C1203" s="7">
        <v>8.4798680815203503E-2</v>
      </c>
      <c r="D1203" s="7">
        <v>30000</v>
      </c>
      <c r="E1203" s="7" t="s">
        <v>10</v>
      </c>
      <c r="F1203" s="7">
        <v>23.26</v>
      </c>
      <c r="G1203" s="7">
        <v>0</v>
      </c>
      <c r="H1203" s="7">
        <v>40972.293969460603</v>
      </c>
      <c r="I1203" s="7">
        <v>0</v>
      </c>
    </row>
    <row r="1204" spans="1:9" x14ac:dyDescent="0.2">
      <c r="A1204" s="7">
        <v>127243</v>
      </c>
      <c r="B1204" s="7">
        <v>2.2109699819744099E-3</v>
      </c>
      <c r="C1204" s="7">
        <v>8.4798680815203503E-2</v>
      </c>
      <c r="D1204" s="7">
        <v>24000</v>
      </c>
      <c r="E1204" s="7" t="s">
        <v>7</v>
      </c>
      <c r="F1204" s="7">
        <v>21.97</v>
      </c>
      <c r="G1204" s="7">
        <v>1</v>
      </c>
      <c r="H1204" s="7">
        <v>12215.56</v>
      </c>
      <c r="I1204" s="7">
        <v>2941.68</v>
      </c>
    </row>
    <row r="1205" spans="1:9" x14ac:dyDescent="0.2">
      <c r="A1205" s="7">
        <v>113610</v>
      </c>
      <c r="B1205" s="7">
        <v>2.77255588997232E-2</v>
      </c>
      <c r="C1205" s="7">
        <v>7.4974238972806501E-2</v>
      </c>
      <c r="D1205" s="7">
        <v>10050</v>
      </c>
      <c r="E1205" s="7" t="s">
        <v>5</v>
      </c>
      <c r="F1205" s="7">
        <v>15.31</v>
      </c>
      <c r="G1205" s="7">
        <v>0</v>
      </c>
      <c r="H1205" s="7">
        <v>11099.1637971078</v>
      </c>
      <c r="I1205" s="7">
        <v>0</v>
      </c>
    </row>
    <row r="1206" spans="1:9" x14ac:dyDescent="0.2">
      <c r="A1206" s="7">
        <v>124424</v>
      </c>
      <c r="B1206" s="7">
        <v>3.3366499466825197E-2</v>
      </c>
      <c r="C1206" s="7">
        <v>8.1509172207196695E-2</v>
      </c>
      <c r="D1206" s="7">
        <v>10000</v>
      </c>
      <c r="E1206" s="7" t="s">
        <v>5</v>
      </c>
      <c r="F1206" s="7">
        <v>17.27</v>
      </c>
      <c r="G1206" s="7">
        <v>0</v>
      </c>
      <c r="H1206" s="7">
        <v>12162.333493406701</v>
      </c>
      <c r="I1206" s="7">
        <v>0</v>
      </c>
    </row>
    <row r="1207" spans="1:9" x14ac:dyDescent="0.2">
      <c r="A1207" s="7">
        <v>104675</v>
      </c>
      <c r="B1207" s="7">
        <v>3.7167368375656699E-2</v>
      </c>
      <c r="C1207" s="7">
        <v>7.4974238972806501E-2</v>
      </c>
      <c r="D1207" s="7">
        <v>15000</v>
      </c>
      <c r="E1207" s="7" t="s">
        <v>5</v>
      </c>
      <c r="F1207" s="7">
        <v>14.33</v>
      </c>
      <c r="G1207" s="7">
        <v>0</v>
      </c>
      <c r="H1207" s="7">
        <v>17668.624143124202</v>
      </c>
      <c r="I1207" s="7">
        <v>0</v>
      </c>
    </row>
    <row r="1208" spans="1:9" x14ac:dyDescent="0.2">
      <c r="A1208" s="7">
        <v>102533</v>
      </c>
      <c r="B1208" s="7">
        <v>2.12824044305179E-2</v>
      </c>
      <c r="C1208" s="7">
        <v>5.3944556304700297E-2</v>
      </c>
      <c r="D1208" s="7">
        <v>27000</v>
      </c>
      <c r="E1208" s="7" t="s">
        <v>4</v>
      </c>
      <c r="F1208" s="7">
        <v>7.9</v>
      </c>
      <c r="G1208" s="7">
        <v>0</v>
      </c>
      <c r="H1208" s="7">
        <v>30414.1128083779</v>
      </c>
      <c r="I1208" s="7">
        <v>0</v>
      </c>
    </row>
    <row r="1209" spans="1:9" x14ac:dyDescent="0.2">
      <c r="A1209" s="7">
        <v>70042</v>
      </c>
      <c r="B1209" s="7">
        <v>-9.3176627962608602E-3</v>
      </c>
      <c r="C1209" s="7">
        <v>8.4798680815203503E-2</v>
      </c>
      <c r="D1209" s="7">
        <v>20000</v>
      </c>
      <c r="E1209" s="7" t="s">
        <v>10</v>
      </c>
      <c r="F1209" s="7">
        <v>23.76</v>
      </c>
      <c r="G1209" s="7">
        <v>1</v>
      </c>
      <c r="H1209" s="7">
        <v>1144.49</v>
      </c>
      <c r="I1209" s="7">
        <v>0</v>
      </c>
    </row>
    <row r="1210" spans="1:9" x14ac:dyDescent="0.2">
      <c r="A1210" s="7">
        <v>62469</v>
      </c>
      <c r="B1210" s="7">
        <v>1.18381490803779E-2</v>
      </c>
      <c r="C1210" s="7">
        <v>8.1509172207196695E-2</v>
      </c>
      <c r="D1210" s="7">
        <v>17600</v>
      </c>
      <c r="E1210" s="7" t="s">
        <v>4</v>
      </c>
      <c r="F1210" s="7">
        <v>6.62</v>
      </c>
      <c r="G1210" s="7">
        <v>0</v>
      </c>
      <c r="H1210" s="7">
        <v>19390.329998031</v>
      </c>
      <c r="I1210" s="7">
        <v>0</v>
      </c>
    </row>
    <row r="1211" spans="1:9" x14ac:dyDescent="0.2">
      <c r="A1211" s="7">
        <v>100042</v>
      </c>
      <c r="B1211" s="7">
        <v>3.1014344164768299E-2</v>
      </c>
      <c r="C1211" s="7">
        <v>7.4974238972806501E-2</v>
      </c>
      <c r="D1211" s="7">
        <v>8000</v>
      </c>
      <c r="E1211" s="7" t="s">
        <v>5</v>
      </c>
      <c r="F1211" s="7">
        <v>14.33</v>
      </c>
      <c r="G1211" s="7">
        <v>0</v>
      </c>
      <c r="H1211" s="7">
        <v>9133.9385658908996</v>
      </c>
      <c r="I1211" s="7">
        <v>0</v>
      </c>
    </row>
    <row r="1212" spans="1:9" x14ac:dyDescent="0.2">
      <c r="A1212" s="7">
        <v>139455</v>
      </c>
      <c r="B1212" s="7">
        <v>-2.7723403159321302E-3</v>
      </c>
      <c r="C1212" s="7">
        <v>8.4798680815203503E-2</v>
      </c>
      <c r="D1212" s="7">
        <v>35000</v>
      </c>
      <c r="E1212" s="7" t="s">
        <v>10</v>
      </c>
      <c r="F1212" s="7">
        <v>22.45</v>
      </c>
      <c r="G1212" s="7">
        <v>1</v>
      </c>
      <c r="H1212" s="7">
        <v>2921.76</v>
      </c>
      <c r="I1212" s="7">
        <v>6.87</v>
      </c>
    </row>
    <row r="1213" spans="1:9" x14ac:dyDescent="0.2">
      <c r="A1213" s="7">
        <v>68619</v>
      </c>
      <c r="B1213" s="7">
        <v>3.4418518306036198E-2</v>
      </c>
      <c r="C1213" s="7">
        <v>8.1509172207196695E-2</v>
      </c>
      <c r="D1213" s="7">
        <v>2500</v>
      </c>
      <c r="E1213" s="7" t="s">
        <v>7</v>
      </c>
      <c r="F1213" s="7">
        <v>21.98</v>
      </c>
      <c r="G1213" s="7">
        <v>0</v>
      </c>
      <c r="H1213" s="7">
        <v>2545.8000000000002</v>
      </c>
      <c r="I1213" s="7">
        <v>0</v>
      </c>
    </row>
    <row r="1214" spans="1:9" x14ac:dyDescent="0.2">
      <c r="A1214" s="7">
        <v>10837</v>
      </c>
      <c r="B1214" s="7">
        <v>1.8814080549492899E-2</v>
      </c>
      <c r="C1214" s="7">
        <v>8.1509172207196695E-2</v>
      </c>
      <c r="D1214" s="7">
        <v>7200</v>
      </c>
      <c r="E1214" s="7" t="s">
        <v>4</v>
      </c>
      <c r="F1214" s="7">
        <v>7.9</v>
      </c>
      <c r="G1214" s="7">
        <v>0</v>
      </c>
      <c r="H1214" s="7">
        <v>8058.1999981085</v>
      </c>
      <c r="I1214" s="7">
        <v>0</v>
      </c>
    </row>
    <row r="1215" spans="1:9" x14ac:dyDescent="0.2">
      <c r="A1215" s="7">
        <v>42797</v>
      </c>
      <c r="B1215" s="7">
        <v>2.6095072335862401E-2</v>
      </c>
      <c r="C1215" s="7">
        <v>8.1509172207196695E-2</v>
      </c>
      <c r="D1215" s="7">
        <v>12000</v>
      </c>
      <c r="E1215" s="7" t="s">
        <v>4</v>
      </c>
      <c r="F1215" s="7">
        <v>8.9</v>
      </c>
      <c r="G1215" s="7">
        <v>0</v>
      </c>
      <c r="H1215" s="7">
        <v>13497.399997454801</v>
      </c>
      <c r="I1215" s="7">
        <v>0</v>
      </c>
    </row>
    <row r="1216" spans="1:9" x14ac:dyDescent="0.2">
      <c r="A1216" s="7">
        <v>119989</v>
      </c>
      <c r="B1216" s="7">
        <v>3.0766921721261199E-2</v>
      </c>
      <c r="C1216" s="7">
        <v>7.4974238972806501E-2</v>
      </c>
      <c r="D1216" s="7">
        <v>7500</v>
      </c>
      <c r="E1216" s="7" t="s">
        <v>8</v>
      </c>
      <c r="F1216" s="7">
        <v>12.12</v>
      </c>
      <c r="G1216" s="7">
        <v>0</v>
      </c>
      <c r="H1216" s="7">
        <v>8983.3277902064001</v>
      </c>
      <c r="I1216" s="7">
        <v>0</v>
      </c>
    </row>
    <row r="1217" spans="1:9" x14ac:dyDescent="0.2">
      <c r="A1217" s="7">
        <v>115064</v>
      </c>
      <c r="B1217" s="7">
        <v>3.39746057166938E-2</v>
      </c>
      <c r="C1217" s="7">
        <v>8.4798680815203503E-2</v>
      </c>
      <c r="D1217" s="7">
        <v>25000</v>
      </c>
      <c r="E1217" s="7" t="s">
        <v>5</v>
      </c>
      <c r="F1217" s="7">
        <v>15.31</v>
      </c>
      <c r="G1217" s="7">
        <v>0</v>
      </c>
      <c r="H1217" s="7">
        <v>31335.533115394399</v>
      </c>
      <c r="I1217" s="7">
        <v>0</v>
      </c>
    </row>
    <row r="1218" spans="1:9" x14ac:dyDescent="0.2">
      <c r="A1218" s="7">
        <v>9296</v>
      </c>
      <c r="B1218" s="7">
        <v>9.4470678255382905E-3</v>
      </c>
      <c r="C1218" s="7">
        <v>7.4974238972806501E-2</v>
      </c>
      <c r="D1218" s="7">
        <v>12000</v>
      </c>
      <c r="E1218" s="7" t="s">
        <v>6</v>
      </c>
      <c r="F1218" s="7">
        <v>19.2</v>
      </c>
      <c r="G1218" s="7">
        <v>0</v>
      </c>
      <c r="H1218" s="7">
        <v>13480.2026269502</v>
      </c>
      <c r="I1218" s="7">
        <v>0</v>
      </c>
    </row>
    <row r="1219" spans="1:9" x14ac:dyDescent="0.2">
      <c r="A1219" s="7">
        <v>94394</v>
      </c>
      <c r="B1219" s="7">
        <v>2.4246164678809998E-2</v>
      </c>
      <c r="C1219" s="7">
        <v>7.7054178620260594E-2</v>
      </c>
      <c r="D1219" s="7">
        <v>11000</v>
      </c>
      <c r="E1219" s="7" t="s">
        <v>6</v>
      </c>
      <c r="F1219" s="7">
        <v>17.77</v>
      </c>
      <c r="G1219" s="7">
        <v>0</v>
      </c>
      <c r="H1219" s="7">
        <v>14270.681348076199</v>
      </c>
      <c r="I1219" s="7">
        <v>0</v>
      </c>
    </row>
    <row r="1220" spans="1:9" x14ac:dyDescent="0.2">
      <c r="A1220" s="7">
        <v>26784</v>
      </c>
      <c r="B1220" s="7">
        <v>2.6892152431540001E-2</v>
      </c>
      <c r="C1220" s="7">
        <v>8.1509172207196695E-2</v>
      </c>
      <c r="D1220" s="7">
        <v>17475</v>
      </c>
      <c r="E1220" s="7" t="s">
        <v>8</v>
      </c>
      <c r="F1220" s="7">
        <v>10.99</v>
      </c>
      <c r="G1220" s="7">
        <v>0</v>
      </c>
      <c r="H1220" s="7">
        <v>20313.240006809101</v>
      </c>
      <c r="I1220" s="7">
        <v>0</v>
      </c>
    </row>
    <row r="1221" spans="1:9" x14ac:dyDescent="0.2">
      <c r="A1221" s="7">
        <v>57119</v>
      </c>
      <c r="B1221" s="7">
        <v>3.82152294026002E-2</v>
      </c>
      <c r="C1221" s="7">
        <v>7.4974238972806501E-2</v>
      </c>
      <c r="D1221" s="7">
        <v>8500</v>
      </c>
      <c r="E1221" s="7" t="s">
        <v>8</v>
      </c>
      <c r="F1221" s="7">
        <v>14.09</v>
      </c>
      <c r="G1221" s="7">
        <v>0</v>
      </c>
      <c r="H1221" s="7">
        <v>10322.2600018221</v>
      </c>
      <c r="I1221" s="7">
        <v>0</v>
      </c>
    </row>
    <row r="1222" spans="1:9" x14ac:dyDescent="0.2">
      <c r="A1222" s="7">
        <v>44043</v>
      </c>
      <c r="B1222" s="7">
        <v>3.2457394265070903E-2</v>
      </c>
      <c r="C1222" s="7">
        <v>5.3944556304700297E-2</v>
      </c>
      <c r="D1222" s="7">
        <v>18000</v>
      </c>
      <c r="E1222" s="7" t="s">
        <v>8</v>
      </c>
      <c r="F1222" s="7">
        <v>12.35</v>
      </c>
      <c r="G1222" s="7">
        <v>0</v>
      </c>
      <c r="H1222" s="7">
        <v>19359.732033292599</v>
      </c>
      <c r="I1222" s="7">
        <v>0</v>
      </c>
    </row>
    <row r="1223" spans="1:9" x14ac:dyDescent="0.2">
      <c r="A1223" s="7">
        <v>86643</v>
      </c>
      <c r="B1223" s="8">
        <v>-3.0553690363780903E-5</v>
      </c>
      <c r="C1223" s="7">
        <v>8.4798680815203503E-2</v>
      </c>
      <c r="D1223" s="7">
        <v>24575</v>
      </c>
      <c r="E1223" s="7" t="s">
        <v>5</v>
      </c>
      <c r="F1223" s="7">
        <v>15.8</v>
      </c>
      <c r="G1223" s="7">
        <v>0</v>
      </c>
      <c r="H1223" s="7">
        <v>31856.600002914402</v>
      </c>
      <c r="I1223" s="7">
        <v>0</v>
      </c>
    </row>
    <row r="1224" spans="1:9" x14ac:dyDescent="0.2">
      <c r="A1224" s="7">
        <v>27050</v>
      </c>
      <c r="B1224" s="7">
        <v>4.6758905893576001E-2</v>
      </c>
      <c r="C1224" s="7">
        <v>5.3944556304700297E-2</v>
      </c>
      <c r="D1224" s="7">
        <v>21025</v>
      </c>
      <c r="E1224" s="7" t="s">
        <v>5</v>
      </c>
      <c r="F1224" s="7">
        <v>17.100000000000001</v>
      </c>
      <c r="G1224" s="7">
        <v>0</v>
      </c>
      <c r="H1224" s="7">
        <v>26423.659995681301</v>
      </c>
      <c r="I1224" s="7">
        <v>0</v>
      </c>
    </row>
    <row r="1225" spans="1:9" x14ac:dyDescent="0.2">
      <c r="A1225" s="7">
        <v>79237</v>
      </c>
      <c r="B1225" s="7">
        <v>2.9419952963339501E-2</v>
      </c>
      <c r="C1225" s="7">
        <v>7.4974238972806501E-2</v>
      </c>
      <c r="D1225" s="7">
        <v>12000</v>
      </c>
      <c r="E1225" s="7" t="s">
        <v>5</v>
      </c>
      <c r="F1225" s="7">
        <v>15.8</v>
      </c>
      <c r="G1225" s="7">
        <v>0</v>
      </c>
      <c r="H1225" s="7">
        <v>14656.199992829201</v>
      </c>
      <c r="I1225" s="7">
        <v>0</v>
      </c>
    </row>
    <row r="1226" spans="1:9" x14ac:dyDescent="0.2">
      <c r="A1226" s="7">
        <v>71651</v>
      </c>
      <c r="B1226" s="7">
        <v>4.1783345412770699E-2</v>
      </c>
      <c r="C1226" s="7">
        <v>7.4974238972806501E-2</v>
      </c>
      <c r="D1226" s="7">
        <v>5000</v>
      </c>
      <c r="E1226" s="7" t="s">
        <v>8</v>
      </c>
      <c r="F1226" s="7">
        <v>11.14</v>
      </c>
      <c r="G1226" s="7">
        <v>0</v>
      </c>
      <c r="H1226" s="7">
        <v>5856.7999999996</v>
      </c>
      <c r="I1226" s="7">
        <v>0</v>
      </c>
    </row>
    <row r="1227" spans="1:9" x14ac:dyDescent="0.2">
      <c r="A1227" s="7">
        <v>34265</v>
      </c>
      <c r="B1227" s="7">
        <v>2.93250558615296E-2</v>
      </c>
      <c r="C1227" s="7">
        <v>8.1509172207196695E-2</v>
      </c>
      <c r="D1227" s="7">
        <v>12000</v>
      </c>
      <c r="E1227" s="7" t="s">
        <v>5</v>
      </c>
      <c r="F1227" s="7">
        <v>15.88</v>
      </c>
      <c r="G1227" s="7">
        <v>0</v>
      </c>
      <c r="H1227" s="7">
        <v>14806.34</v>
      </c>
      <c r="I1227" s="7">
        <v>0</v>
      </c>
    </row>
    <row r="1228" spans="1:9" x14ac:dyDescent="0.2">
      <c r="A1228" s="7">
        <v>136935</v>
      </c>
      <c r="B1228" s="7">
        <v>1.3338906098626299E-2</v>
      </c>
      <c r="C1228" s="7">
        <v>7.7054178620260594E-2</v>
      </c>
      <c r="D1228" s="7">
        <v>10000</v>
      </c>
      <c r="E1228" s="7" t="s">
        <v>7</v>
      </c>
      <c r="F1228" s="7">
        <v>20.5</v>
      </c>
      <c r="G1228" s="7">
        <v>0</v>
      </c>
      <c r="H1228" s="7">
        <v>10818.9531051056</v>
      </c>
      <c r="I1228" s="7">
        <v>0</v>
      </c>
    </row>
    <row r="1229" spans="1:9" x14ac:dyDescent="0.2">
      <c r="A1229" s="7">
        <v>128536</v>
      </c>
      <c r="B1229" s="7">
        <v>3.52140988111872E-2</v>
      </c>
      <c r="C1229" s="7">
        <v>8.1509172207196695E-2</v>
      </c>
      <c r="D1229" s="7">
        <v>12950</v>
      </c>
      <c r="E1229" s="7" t="s">
        <v>6</v>
      </c>
      <c r="F1229" s="7">
        <v>18.55</v>
      </c>
      <c r="G1229" s="7">
        <v>1</v>
      </c>
      <c r="H1229" s="7">
        <v>4161.04</v>
      </c>
      <c r="I1229" s="7">
        <v>624.77</v>
      </c>
    </row>
    <row r="1230" spans="1:9" x14ac:dyDescent="0.2">
      <c r="A1230" s="7">
        <v>113627</v>
      </c>
      <c r="B1230" s="7">
        <v>3.6741960630935898E-2</v>
      </c>
      <c r="C1230" s="7">
        <v>7.4974238972806501E-2</v>
      </c>
      <c r="D1230" s="7">
        <v>15000</v>
      </c>
      <c r="E1230" s="7" t="s">
        <v>5</v>
      </c>
      <c r="F1230" s="7">
        <v>16.29</v>
      </c>
      <c r="G1230" s="7">
        <v>0</v>
      </c>
      <c r="H1230" s="7">
        <v>16668.778383359899</v>
      </c>
      <c r="I1230" s="7">
        <v>0</v>
      </c>
    </row>
    <row r="1231" spans="1:9" x14ac:dyDescent="0.2">
      <c r="A1231" s="7">
        <v>117760</v>
      </c>
      <c r="B1231" s="7">
        <v>3.3394713569524198E-2</v>
      </c>
      <c r="C1231" s="7">
        <v>8.1509172207196695E-2</v>
      </c>
      <c r="D1231" s="7">
        <v>6500</v>
      </c>
      <c r="E1231" s="7" t="s">
        <v>8</v>
      </c>
      <c r="F1231" s="7">
        <v>13.11</v>
      </c>
      <c r="G1231" s="7">
        <v>0</v>
      </c>
      <c r="H1231" s="7">
        <v>7896.7512140481003</v>
      </c>
      <c r="I1231" s="7">
        <v>0</v>
      </c>
    </row>
    <row r="1232" spans="1:9" x14ac:dyDescent="0.2">
      <c r="A1232" s="7">
        <v>51933</v>
      </c>
      <c r="B1232" s="7">
        <v>2.8965029379338401E-2</v>
      </c>
      <c r="C1232" s="7">
        <v>7.7054178620260594E-2</v>
      </c>
      <c r="D1232" s="7">
        <v>3000</v>
      </c>
      <c r="E1232" s="7" t="s">
        <v>5</v>
      </c>
      <c r="F1232" s="7">
        <v>14.33</v>
      </c>
      <c r="G1232" s="7">
        <v>0</v>
      </c>
      <c r="H1232" s="7">
        <v>3698.5299998598998</v>
      </c>
      <c r="I1232" s="7">
        <v>0</v>
      </c>
    </row>
    <row r="1233" spans="1:9" x14ac:dyDescent="0.2">
      <c r="A1233" s="7">
        <v>84083</v>
      </c>
      <c r="B1233" s="7">
        <v>1.9460249628135199E-2</v>
      </c>
      <c r="C1233" s="7">
        <v>8.1509172207196695E-2</v>
      </c>
      <c r="D1233" s="7">
        <v>8700</v>
      </c>
      <c r="E1233" s="7" t="s">
        <v>8</v>
      </c>
      <c r="F1233" s="7">
        <v>13.11</v>
      </c>
      <c r="G1233" s="7">
        <v>0</v>
      </c>
      <c r="H1233" s="7">
        <v>10555.0399987009</v>
      </c>
      <c r="I1233" s="7">
        <v>0</v>
      </c>
    </row>
    <row r="1234" spans="1:9" x14ac:dyDescent="0.2">
      <c r="A1234" s="7">
        <v>6354</v>
      </c>
      <c r="B1234" s="7">
        <v>-4.7820474702866596E-3</v>
      </c>
      <c r="C1234" s="7">
        <v>8.1509172207196695E-2</v>
      </c>
      <c r="D1234" s="7">
        <v>10000</v>
      </c>
      <c r="E1234" s="7" t="s">
        <v>7</v>
      </c>
      <c r="F1234" s="7">
        <v>22.4</v>
      </c>
      <c r="G1234" s="7">
        <v>1</v>
      </c>
      <c r="H1234" s="7">
        <v>2048.9299999999998</v>
      </c>
      <c r="I1234" s="7">
        <v>0</v>
      </c>
    </row>
    <row r="1235" spans="1:9" x14ac:dyDescent="0.2">
      <c r="A1235" s="7">
        <v>22697</v>
      </c>
      <c r="B1235" s="7">
        <v>4.11981987167125E-2</v>
      </c>
      <c r="C1235" s="7">
        <v>7.4974238972806501E-2</v>
      </c>
      <c r="D1235" s="7">
        <v>12000</v>
      </c>
      <c r="E1235" s="7" t="s">
        <v>8</v>
      </c>
      <c r="F1235" s="7">
        <v>11.99</v>
      </c>
      <c r="G1235" s="7">
        <v>0</v>
      </c>
      <c r="H1235" s="7">
        <v>14177.2699969522</v>
      </c>
      <c r="I1235" s="7">
        <v>0</v>
      </c>
    </row>
    <row r="1236" spans="1:9" x14ac:dyDescent="0.2">
      <c r="A1236" s="7">
        <v>119216</v>
      </c>
      <c r="B1236" s="7">
        <v>3.3411827426122399E-2</v>
      </c>
      <c r="C1236" s="7">
        <v>8.1509172207196695E-2</v>
      </c>
      <c r="D1236" s="7">
        <v>6000</v>
      </c>
      <c r="E1236" s="7" t="s">
        <v>5</v>
      </c>
      <c r="F1236" s="7">
        <v>15.31</v>
      </c>
      <c r="G1236" s="7">
        <v>0</v>
      </c>
      <c r="H1236" s="7">
        <v>6152.72</v>
      </c>
      <c r="I1236" s="7">
        <v>0</v>
      </c>
    </row>
    <row r="1237" spans="1:9" x14ac:dyDescent="0.2">
      <c r="A1237" s="7">
        <v>70442</v>
      </c>
      <c r="B1237" s="7">
        <v>3.0940705598177101E-2</v>
      </c>
      <c r="C1237" s="7">
        <v>8.1509172207196695E-2</v>
      </c>
      <c r="D1237" s="7">
        <v>11525</v>
      </c>
      <c r="E1237" s="7" t="s">
        <v>8</v>
      </c>
      <c r="F1237" s="7">
        <v>12.12</v>
      </c>
      <c r="G1237" s="7">
        <v>1</v>
      </c>
      <c r="H1237" s="7">
        <v>4704.79</v>
      </c>
      <c r="I1237" s="7">
        <v>1256.44</v>
      </c>
    </row>
    <row r="1238" spans="1:9" x14ac:dyDescent="0.2">
      <c r="A1238" s="7">
        <v>53113</v>
      </c>
      <c r="B1238" s="7">
        <v>3.5226418727543202E-2</v>
      </c>
      <c r="C1238" s="7">
        <v>8.1509172207196695E-2</v>
      </c>
      <c r="D1238" s="7">
        <v>9600</v>
      </c>
      <c r="E1238" s="7" t="s">
        <v>5</v>
      </c>
      <c r="F1238" s="7">
        <v>15.8</v>
      </c>
      <c r="G1238" s="7">
        <v>1</v>
      </c>
      <c r="H1238" s="7">
        <v>9578.89</v>
      </c>
      <c r="I1238" s="7">
        <v>0</v>
      </c>
    </row>
    <row r="1239" spans="1:9" x14ac:dyDescent="0.2">
      <c r="A1239" s="7">
        <v>53238</v>
      </c>
      <c r="B1239" s="7">
        <v>3.7175994869095098E-2</v>
      </c>
      <c r="C1239" s="7">
        <v>7.4974238972806501E-2</v>
      </c>
      <c r="D1239" s="7">
        <v>3625</v>
      </c>
      <c r="E1239" s="7" t="s">
        <v>8</v>
      </c>
      <c r="F1239" s="7">
        <v>14.09</v>
      </c>
      <c r="G1239" s="7">
        <v>1</v>
      </c>
      <c r="H1239" s="7">
        <v>3597.74</v>
      </c>
      <c r="I1239" s="7">
        <v>0</v>
      </c>
    </row>
    <row r="1240" spans="1:9" x14ac:dyDescent="0.2">
      <c r="A1240" s="7">
        <v>14309</v>
      </c>
      <c r="B1240" s="7">
        <v>9.38283038397149E-3</v>
      </c>
      <c r="C1240" s="7">
        <v>8.4798680815203503E-2</v>
      </c>
      <c r="D1240" s="7">
        <v>35000</v>
      </c>
      <c r="E1240" s="7" t="s">
        <v>6</v>
      </c>
      <c r="F1240" s="7">
        <v>19.2</v>
      </c>
      <c r="G1240" s="7">
        <v>1</v>
      </c>
      <c r="H1240" s="7">
        <v>9291.11</v>
      </c>
      <c r="I1240" s="7">
        <v>4732.21</v>
      </c>
    </row>
    <row r="1241" spans="1:9" x14ac:dyDescent="0.2">
      <c r="A1241" s="7">
        <v>46058</v>
      </c>
      <c r="B1241" s="7">
        <v>4.0045755870658402E-2</v>
      </c>
      <c r="C1241" s="7">
        <v>8.4798680815203503E-2</v>
      </c>
      <c r="D1241" s="7">
        <v>25000</v>
      </c>
      <c r="E1241" s="7" t="s">
        <v>7</v>
      </c>
      <c r="F1241" s="7">
        <v>22.2</v>
      </c>
      <c r="G1241" s="7">
        <v>0</v>
      </c>
      <c r="H1241" s="7">
        <v>30906.356546922299</v>
      </c>
      <c r="I1241" s="7">
        <v>0</v>
      </c>
    </row>
    <row r="1242" spans="1:9" x14ac:dyDescent="0.2">
      <c r="A1242" s="7">
        <v>12711</v>
      </c>
      <c r="B1242" s="7">
        <v>3.3400040367200602E-2</v>
      </c>
      <c r="C1242" s="7">
        <v>8.4798680815203503E-2</v>
      </c>
      <c r="D1242" s="7">
        <v>32350</v>
      </c>
      <c r="E1242" s="7" t="s">
        <v>6</v>
      </c>
      <c r="F1242" s="7">
        <v>19.52</v>
      </c>
      <c r="G1242" s="7">
        <v>1</v>
      </c>
      <c r="H1242" s="7">
        <v>26022.62</v>
      </c>
      <c r="I1242" s="7">
        <v>3219.86</v>
      </c>
    </row>
    <row r="1243" spans="1:9" x14ac:dyDescent="0.2">
      <c r="A1243" s="7">
        <v>144433</v>
      </c>
      <c r="B1243" s="7">
        <v>5.0431416410004197E-2</v>
      </c>
      <c r="C1243" s="7">
        <v>5.3944556304700297E-2</v>
      </c>
      <c r="D1243" s="7">
        <v>9600</v>
      </c>
      <c r="E1243" s="7" t="s">
        <v>5</v>
      </c>
      <c r="F1243" s="7">
        <v>15.96</v>
      </c>
      <c r="G1243" s="7">
        <v>1</v>
      </c>
      <c r="H1243" s="7">
        <v>7181.7300000000096</v>
      </c>
      <c r="I1243" s="7">
        <v>725.22</v>
      </c>
    </row>
    <row r="1244" spans="1:9" x14ac:dyDescent="0.2">
      <c r="A1244" s="7">
        <v>32851</v>
      </c>
      <c r="B1244" s="7">
        <v>3.7823357560684598E-2</v>
      </c>
      <c r="C1244" s="7">
        <v>5.3944556304700297E-2</v>
      </c>
      <c r="D1244" s="7">
        <v>14975</v>
      </c>
      <c r="E1244" s="7" t="s">
        <v>8</v>
      </c>
      <c r="F1244" s="7">
        <v>9.7100000000000009</v>
      </c>
      <c r="G1244" s="7">
        <v>0</v>
      </c>
      <c r="H1244" s="7">
        <v>17035.280006995701</v>
      </c>
      <c r="I1244" s="7">
        <v>0</v>
      </c>
    </row>
    <row r="1245" spans="1:9" x14ac:dyDescent="0.2">
      <c r="A1245" s="7">
        <v>23259</v>
      </c>
      <c r="B1245" s="7">
        <v>1.0664722276571999E-2</v>
      </c>
      <c r="C1245" s="7">
        <v>8.4798680815203503E-2</v>
      </c>
      <c r="D1245" s="7">
        <v>22000</v>
      </c>
      <c r="E1245" s="7" t="s">
        <v>6</v>
      </c>
      <c r="F1245" s="7">
        <v>19.52</v>
      </c>
      <c r="G1245" s="7">
        <v>0</v>
      </c>
      <c r="H1245" s="7">
        <v>30815.749969146302</v>
      </c>
      <c r="I1245" s="7">
        <v>0</v>
      </c>
    </row>
    <row r="1246" spans="1:9" x14ac:dyDescent="0.2">
      <c r="A1246" s="7">
        <v>28420</v>
      </c>
      <c r="B1246" s="7">
        <v>2.8138184350170899E-2</v>
      </c>
      <c r="C1246" s="7">
        <v>8.1509172207196695E-2</v>
      </c>
      <c r="D1246" s="7">
        <v>6000</v>
      </c>
      <c r="E1246" s="7" t="s">
        <v>8</v>
      </c>
      <c r="F1246" s="7">
        <v>13.05</v>
      </c>
      <c r="G1246" s="7">
        <v>0</v>
      </c>
      <c r="H1246" s="7">
        <v>7151.29</v>
      </c>
      <c r="I1246" s="7">
        <v>0</v>
      </c>
    </row>
    <row r="1247" spans="1:9" x14ac:dyDescent="0.2">
      <c r="A1247" s="7">
        <v>34570</v>
      </c>
      <c r="B1247" s="7">
        <v>-1.5398024417029601E-3</v>
      </c>
      <c r="C1247" s="7">
        <v>8.4798680815203503E-2</v>
      </c>
      <c r="D1247" s="7">
        <v>22000</v>
      </c>
      <c r="E1247" s="7" t="s">
        <v>5</v>
      </c>
      <c r="F1247" s="7">
        <v>14.33</v>
      </c>
      <c r="G1247" s="7">
        <v>0</v>
      </c>
      <c r="H1247" s="7">
        <v>25984.979999311199</v>
      </c>
      <c r="I1247" s="7">
        <v>0</v>
      </c>
    </row>
    <row r="1248" spans="1:9" x14ac:dyDescent="0.2">
      <c r="A1248" s="7">
        <v>48918</v>
      </c>
      <c r="B1248" s="7">
        <v>2.6328267959747E-2</v>
      </c>
      <c r="C1248" s="7">
        <v>7.4974238972806501E-2</v>
      </c>
      <c r="D1248" s="7">
        <v>19000</v>
      </c>
      <c r="E1248" s="7" t="s">
        <v>8</v>
      </c>
      <c r="F1248" s="7">
        <v>10.16</v>
      </c>
      <c r="G1248" s="7">
        <v>0</v>
      </c>
      <c r="H1248" s="7">
        <v>22122.142642249401</v>
      </c>
      <c r="I1248" s="7">
        <v>0</v>
      </c>
    </row>
    <row r="1249" spans="1:9" x14ac:dyDescent="0.2">
      <c r="A1249" s="7">
        <v>120655</v>
      </c>
      <c r="B1249" s="7">
        <v>3.9826276506462997E-2</v>
      </c>
      <c r="C1249" s="7">
        <v>7.4974238972806501E-2</v>
      </c>
      <c r="D1249" s="7">
        <v>12000</v>
      </c>
      <c r="E1249" s="7" t="s">
        <v>5</v>
      </c>
      <c r="F1249" s="7">
        <v>15.31</v>
      </c>
      <c r="G1249" s="7">
        <v>0</v>
      </c>
      <c r="H1249" s="7">
        <v>15041.067085841099</v>
      </c>
      <c r="I1249" s="7">
        <v>0</v>
      </c>
    </row>
    <row r="1250" spans="1:9" x14ac:dyDescent="0.2">
      <c r="A1250" s="7">
        <v>76773</v>
      </c>
      <c r="B1250" s="7">
        <v>3.0874813057856599E-2</v>
      </c>
      <c r="C1250" s="7">
        <v>8.4798680815203503E-2</v>
      </c>
      <c r="D1250" s="7">
        <v>21600</v>
      </c>
      <c r="E1250" s="7" t="s">
        <v>8</v>
      </c>
      <c r="F1250" s="7">
        <v>13.11</v>
      </c>
      <c r="G1250" s="7">
        <v>0</v>
      </c>
      <c r="H1250" s="7">
        <v>24230.367818666698</v>
      </c>
      <c r="I1250" s="7">
        <v>0</v>
      </c>
    </row>
    <row r="1251" spans="1:9" x14ac:dyDescent="0.2">
      <c r="A1251" s="7">
        <v>86611</v>
      </c>
      <c r="B1251" s="7">
        <v>2.5806649073061599E-2</v>
      </c>
      <c r="C1251" s="7">
        <v>5.3944556304700297E-2</v>
      </c>
      <c r="D1251" s="7">
        <v>28000</v>
      </c>
      <c r="E1251" s="7" t="s">
        <v>4</v>
      </c>
      <c r="F1251" s="7">
        <v>8.9</v>
      </c>
      <c r="G1251" s="7">
        <v>0</v>
      </c>
      <c r="H1251" s="7">
        <v>31540.3999822968</v>
      </c>
      <c r="I1251" s="7">
        <v>0</v>
      </c>
    </row>
    <row r="1252" spans="1:9" x14ac:dyDescent="0.2">
      <c r="A1252" s="7">
        <v>142060</v>
      </c>
      <c r="B1252" s="7">
        <v>2.529568360817E-2</v>
      </c>
      <c r="C1252" s="7">
        <v>8.1509172207196695E-2</v>
      </c>
      <c r="D1252" s="7">
        <v>4000</v>
      </c>
      <c r="E1252" s="7" t="s">
        <v>8</v>
      </c>
      <c r="F1252" s="7">
        <v>11.71</v>
      </c>
      <c r="G1252" s="7">
        <v>0</v>
      </c>
      <c r="H1252" s="7">
        <v>4759.0790733920003</v>
      </c>
      <c r="I1252" s="7">
        <v>0</v>
      </c>
    </row>
    <row r="1253" spans="1:9" x14ac:dyDescent="0.2">
      <c r="A1253" s="7">
        <v>108840</v>
      </c>
      <c r="B1253" s="7">
        <v>3.4229758815281001E-2</v>
      </c>
      <c r="C1253" s="7">
        <v>7.4974238972806501E-2</v>
      </c>
      <c r="D1253" s="7">
        <v>20000</v>
      </c>
      <c r="E1253" s="7" t="s">
        <v>8</v>
      </c>
      <c r="F1253" s="7">
        <v>13.11</v>
      </c>
      <c r="G1253" s="7">
        <v>1</v>
      </c>
      <c r="H1253" s="7">
        <v>19815.310000000001</v>
      </c>
      <c r="I1253" s="7">
        <v>935.07</v>
      </c>
    </row>
    <row r="1254" spans="1:9" x14ac:dyDescent="0.2">
      <c r="A1254" s="7">
        <v>105216</v>
      </c>
      <c r="B1254" s="7">
        <v>1.61425144588585E-2</v>
      </c>
      <c r="C1254" s="7">
        <v>8.1509172207196695E-2</v>
      </c>
      <c r="D1254" s="7">
        <v>2650</v>
      </c>
      <c r="E1254" s="7" t="s">
        <v>4</v>
      </c>
      <c r="F1254" s="7">
        <v>7.62</v>
      </c>
      <c r="G1254" s="7">
        <v>0</v>
      </c>
      <c r="H1254" s="7">
        <v>2715.1850817431</v>
      </c>
      <c r="I1254" s="7">
        <v>0</v>
      </c>
    </row>
    <row r="1255" spans="1:9" x14ac:dyDescent="0.2">
      <c r="A1255" s="7">
        <v>22201</v>
      </c>
      <c r="B1255" s="7">
        <v>3.1359774490715898E-2</v>
      </c>
      <c r="C1255" s="7">
        <v>8.1509172207196695E-2</v>
      </c>
      <c r="D1255" s="7">
        <v>9950</v>
      </c>
      <c r="E1255" s="7" t="s">
        <v>6</v>
      </c>
      <c r="F1255" s="7">
        <v>17.760000000000002</v>
      </c>
      <c r="G1255" s="7">
        <v>1</v>
      </c>
      <c r="H1255" s="7">
        <v>2071.87</v>
      </c>
      <c r="I1255" s="7">
        <v>1355.11</v>
      </c>
    </row>
    <row r="1256" spans="1:9" x14ac:dyDescent="0.2">
      <c r="A1256" s="7">
        <v>37374</v>
      </c>
      <c r="B1256" s="7">
        <v>2.8993037886558201E-2</v>
      </c>
      <c r="C1256" s="7">
        <v>8.1509172207196695E-2</v>
      </c>
      <c r="D1256" s="7">
        <v>3600</v>
      </c>
      <c r="E1256" s="7" t="s">
        <v>6</v>
      </c>
      <c r="F1256" s="7">
        <v>20.309999999999999</v>
      </c>
      <c r="G1256" s="7">
        <v>0</v>
      </c>
      <c r="H1256" s="7">
        <v>4198.2848520361003</v>
      </c>
      <c r="I1256" s="7">
        <v>0</v>
      </c>
    </row>
    <row r="1257" spans="1:9" x14ac:dyDescent="0.2">
      <c r="A1257" s="7">
        <v>16047</v>
      </c>
      <c r="B1257" s="7">
        <v>9.6657282942204294E-3</v>
      </c>
      <c r="C1257" s="7">
        <v>7.4974238972806501E-2</v>
      </c>
      <c r="D1257" s="7">
        <v>15350</v>
      </c>
      <c r="E1257" s="7" t="s">
        <v>5</v>
      </c>
      <c r="F1257" s="7">
        <v>15.61</v>
      </c>
      <c r="G1257" s="7">
        <v>0</v>
      </c>
      <c r="H1257" s="7">
        <v>18673.300000332001</v>
      </c>
      <c r="I1257" s="7">
        <v>0</v>
      </c>
    </row>
    <row r="1258" spans="1:9" x14ac:dyDescent="0.2">
      <c r="A1258" s="7">
        <v>10290</v>
      </c>
      <c r="B1258" s="7">
        <v>2.3952292798157901E-2</v>
      </c>
      <c r="C1258" s="7">
        <v>7.7054178620260594E-2</v>
      </c>
      <c r="D1258" s="7">
        <v>9000</v>
      </c>
      <c r="E1258" s="7" t="s">
        <v>4</v>
      </c>
      <c r="F1258" s="7">
        <v>7.62</v>
      </c>
      <c r="G1258" s="7">
        <v>0</v>
      </c>
      <c r="H1258" s="7">
        <v>9907.1879302303005</v>
      </c>
      <c r="I1258" s="7">
        <v>0</v>
      </c>
    </row>
    <row r="1259" spans="1:9" x14ac:dyDescent="0.2">
      <c r="A1259" s="7">
        <v>109309</v>
      </c>
      <c r="B1259" s="7">
        <v>1.9258188059762898E-2</v>
      </c>
      <c r="C1259" s="7">
        <v>8.1509172207196695E-2</v>
      </c>
      <c r="D1259" s="7">
        <v>5000</v>
      </c>
      <c r="E1259" s="7" t="s">
        <v>4</v>
      </c>
      <c r="F1259" s="7">
        <v>6.03</v>
      </c>
      <c r="G1259" s="7">
        <v>0</v>
      </c>
      <c r="H1259" s="7">
        <v>5478.3879809177997</v>
      </c>
      <c r="I1259" s="7">
        <v>0</v>
      </c>
    </row>
    <row r="1260" spans="1:9" x14ac:dyDescent="0.2">
      <c r="A1260" s="7">
        <v>132058</v>
      </c>
      <c r="B1260" s="7">
        <v>2.7912248351322302E-2</v>
      </c>
      <c r="C1260" s="7">
        <v>8.1509172207196695E-2</v>
      </c>
      <c r="D1260" s="7">
        <v>6000</v>
      </c>
      <c r="E1260" s="7" t="s">
        <v>4</v>
      </c>
      <c r="F1260" s="7">
        <v>8.9</v>
      </c>
      <c r="G1260" s="7">
        <v>0</v>
      </c>
      <c r="H1260" s="7">
        <v>6521.8266639341</v>
      </c>
      <c r="I1260" s="7">
        <v>0</v>
      </c>
    </row>
    <row r="1261" spans="1:9" x14ac:dyDescent="0.2">
      <c r="A1261" s="7">
        <v>142339</v>
      </c>
      <c r="B1261" s="7">
        <v>2.3282356400481999E-2</v>
      </c>
      <c r="C1261" s="7">
        <v>7.4974238972806501E-2</v>
      </c>
      <c r="D1261" s="7">
        <v>16100</v>
      </c>
      <c r="E1261" s="7" t="s">
        <v>4</v>
      </c>
      <c r="F1261" s="7">
        <v>7.9</v>
      </c>
      <c r="G1261" s="7">
        <v>1</v>
      </c>
      <c r="H1261" s="7">
        <v>7639.93</v>
      </c>
      <c r="I1261" s="7">
        <v>590.79</v>
      </c>
    </row>
    <row r="1262" spans="1:9" x14ac:dyDescent="0.2">
      <c r="A1262" s="7">
        <v>91658</v>
      </c>
      <c r="B1262" s="7">
        <v>3.3502676618578503E-2</v>
      </c>
      <c r="C1262" s="7">
        <v>5.3944556304700297E-2</v>
      </c>
      <c r="D1262" s="7">
        <v>15075</v>
      </c>
      <c r="E1262" s="7" t="s">
        <v>8</v>
      </c>
      <c r="F1262" s="7">
        <v>11.14</v>
      </c>
      <c r="G1262" s="7">
        <v>0</v>
      </c>
      <c r="H1262" s="7">
        <v>16323.084889558901</v>
      </c>
      <c r="I1262" s="7">
        <v>0</v>
      </c>
    </row>
    <row r="1263" spans="1:9" x14ac:dyDescent="0.2">
      <c r="A1263" s="7">
        <v>23035</v>
      </c>
      <c r="B1263" s="7">
        <v>3.0112046593341098E-2</v>
      </c>
      <c r="C1263" s="7">
        <v>7.7054178620260594E-2</v>
      </c>
      <c r="D1263" s="7">
        <v>9750</v>
      </c>
      <c r="E1263" s="7" t="s">
        <v>8</v>
      </c>
      <c r="F1263" s="7">
        <v>11.99</v>
      </c>
      <c r="G1263" s="7">
        <v>0</v>
      </c>
      <c r="H1263" s="7">
        <v>10543.4122444808</v>
      </c>
      <c r="I1263" s="7">
        <v>0</v>
      </c>
    </row>
    <row r="1264" spans="1:9" x14ac:dyDescent="0.2">
      <c r="A1264" s="7">
        <v>128530</v>
      </c>
      <c r="B1264" s="7">
        <v>3.6454356173636002E-2</v>
      </c>
      <c r="C1264" s="7">
        <v>7.4974238972806501E-2</v>
      </c>
      <c r="D1264" s="7">
        <v>12000</v>
      </c>
      <c r="E1264" s="7" t="s">
        <v>4</v>
      </c>
      <c r="F1264" s="7">
        <v>8.9</v>
      </c>
      <c r="G1264" s="7">
        <v>1</v>
      </c>
      <c r="H1264" s="7">
        <v>11807.64</v>
      </c>
      <c r="I1264" s="7">
        <v>0</v>
      </c>
    </row>
    <row r="1265" spans="1:9" x14ac:dyDescent="0.2">
      <c r="A1265" s="7">
        <v>46489</v>
      </c>
      <c r="B1265" s="7">
        <v>2.8748730224406899E-2</v>
      </c>
      <c r="C1265" s="7">
        <v>8.1509172207196695E-2</v>
      </c>
      <c r="D1265" s="7">
        <v>13000</v>
      </c>
      <c r="E1265" s="7" t="s">
        <v>8</v>
      </c>
      <c r="F1265" s="7">
        <v>12.35</v>
      </c>
      <c r="G1265" s="7">
        <v>0</v>
      </c>
      <c r="H1265" s="7">
        <v>15598.8899906394</v>
      </c>
      <c r="I1265" s="7">
        <v>0</v>
      </c>
    </row>
    <row r="1266" spans="1:9" x14ac:dyDescent="0.2">
      <c r="A1266" s="7">
        <v>97769</v>
      </c>
      <c r="B1266" s="7">
        <v>2.60295906630836E-2</v>
      </c>
      <c r="C1266" s="7">
        <v>7.4974238972806501E-2</v>
      </c>
      <c r="D1266" s="7">
        <v>9800</v>
      </c>
      <c r="E1266" s="7" t="s">
        <v>4</v>
      </c>
      <c r="F1266" s="7">
        <v>6.03</v>
      </c>
      <c r="G1266" s="7">
        <v>0</v>
      </c>
      <c r="H1266" s="7">
        <v>10687.719999466</v>
      </c>
      <c r="I1266" s="7">
        <v>0</v>
      </c>
    </row>
    <row r="1267" spans="1:9" x14ac:dyDescent="0.2">
      <c r="A1267" s="7">
        <v>107942</v>
      </c>
      <c r="B1267" s="7">
        <v>1.6278717005286301E-2</v>
      </c>
      <c r="C1267" s="7">
        <v>8.1509172207196695E-2</v>
      </c>
      <c r="D1267" s="7">
        <v>12250</v>
      </c>
      <c r="E1267" s="7" t="s">
        <v>4</v>
      </c>
      <c r="F1267" s="7">
        <v>7.62</v>
      </c>
      <c r="G1267" s="7">
        <v>0</v>
      </c>
      <c r="H1267" s="7">
        <v>12620.0634385379</v>
      </c>
      <c r="I1267" s="7">
        <v>0</v>
      </c>
    </row>
    <row r="1268" spans="1:9" x14ac:dyDescent="0.2">
      <c r="A1268" s="7">
        <v>141523</v>
      </c>
      <c r="B1268" s="7">
        <v>1.48001220763311E-2</v>
      </c>
      <c r="C1268" s="7">
        <v>8.1509172207196695E-2</v>
      </c>
      <c r="D1268" s="7">
        <v>10000</v>
      </c>
      <c r="E1268" s="7" t="s">
        <v>4</v>
      </c>
      <c r="F1268" s="7">
        <v>6.62</v>
      </c>
      <c r="G1268" s="7">
        <v>0</v>
      </c>
      <c r="H1268" s="7">
        <v>10856.4352215525</v>
      </c>
      <c r="I1268" s="7">
        <v>0</v>
      </c>
    </row>
    <row r="1269" spans="1:9" x14ac:dyDescent="0.2">
      <c r="A1269" s="7">
        <v>41043</v>
      </c>
      <c r="B1269" s="7">
        <v>4.1197522751685797E-2</v>
      </c>
      <c r="C1269" s="7">
        <v>7.4974238972806501E-2</v>
      </c>
      <c r="D1269" s="7">
        <v>8000</v>
      </c>
      <c r="E1269" s="7" t="s">
        <v>5</v>
      </c>
      <c r="F1269" s="7">
        <v>16.78</v>
      </c>
      <c r="G1269" s="7">
        <v>1</v>
      </c>
      <c r="H1269" s="7">
        <v>1907.79</v>
      </c>
      <c r="I1269" s="7">
        <v>1056.57</v>
      </c>
    </row>
    <row r="1270" spans="1:9" x14ac:dyDescent="0.2">
      <c r="A1270" s="7">
        <v>69968</v>
      </c>
      <c r="B1270" s="7">
        <v>2.4582097846142601E-2</v>
      </c>
      <c r="C1270" s="7">
        <v>8.4798680815203503E-2</v>
      </c>
      <c r="D1270" s="7">
        <v>22250</v>
      </c>
      <c r="E1270" s="7" t="s">
        <v>5</v>
      </c>
      <c r="F1270" s="7">
        <v>14.33</v>
      </c>
      <c r="G1270" s="7">
        <v>0</v>
      </c>
      <c r="H1270" s="7">
        <v>27504.7815411101</v>
      </c>
      <c r="I1270" s="7">
        <v>0</v>
      </c>
    </row>
    <row r="1271" spans="1:9" x14ac:dyDescent="0.2">
      <c r="A1271" s="7">
        <v>130899</v>
      </c>
      <c r="B1271" s="7">
        <v>1.05402595766297E-2</v>
      </c>
      <c r="C1271" s="7">
        <v>5.3944556304700297E-2</v>
      </c>
      <c r="D1271" s="7">
        <v>22000</v>
      </c>
      <c r="E1271" s="7" t="s">
        <v>5</v>
      </c>
      <c r="F1271" s="7">
        <v>16.29</v>
      </c>
      <c r="G1271" s="7">
        <v>0</v>
      </c>
      <c r="H1271" s="7">
        <v>27073.691147098001</v>
      </c>
      <c r="I1271" s="7">
        <v>0</v>
      </c>
    </row>
    <row r="1272" spans="1:9" x14ac:dyDescent="0.2">
      <c r="A1272" s="7">
        <v>90322</v>
      </c>
      <c r="B1272" s="7">
        <v>3.4071360470107698E-2</v>
      </c>
      <c r="C1272" s="7">
        <v>7.4974238972806501E-2</v>
      </c>
      <c r="D1272" s="7">
        <v>9750</v>
      </c>
      <c r="E1272" s="7" t="s">
        <v>6</v>
      </c>
      <c r="F1272" s="7">
        <v>17.77</v>
      </c>
      <c r="G1272" s="7">
        <v>0</v>
      </c>
      <c r="H1272" s="7">
        <v>12648.939817190099</v>
      </c>
      <c r="I1272" s="7">
        <v>0</v>
      </c>
    </row>
    <row r="1273" spans="1:9" x14ac:dyDescent="0.2">
      <c r="A1273" s="7">
        <v>37127</v>
      </c>
      <c r="B1273" s="7">
        <v>3.2647038732159003E-2</v>
      </c>
      <c r="C1273" s="7">
        <v>5.3944556304700297E-2</v>
      </c>
      <c r="D1273" s="7">
        <v>24000</v>
      </c>
      <c r="E1273" s="7" t="s">
        <v>8</v>
      </c>
      <c r="F1273" s="7">
        <v>10.64</v>
      </c>
      <c r="G1273" s="7">
        <v>0</v>
      </c>
      <c r="H1273" s="7">
        <v>26641.5002829353</v>
      </c>
      <c r="I1273" s="7">
        <v>0</v>
      </c>
    </row>
    <row r="1274" spans="1:9" x14ac:dyDescent="0.2">
      <c r="A1274" s="7">
        <v>123968</v>
      </c>
      <c r="B1274" s="7">
        <v>3.3263814172103001E-2</v>
      </c>
      <c r="C1274" s="7">
        <v>8.4798680815203503E-2</v>
      </c>
      <c r="D1274" s="7">
        <v>21000</v>
      </c>
      <c r="E1274" s="7" t="s">
        <v>5</v>
      </c>
      <c r="F1274" s="7">
        <v>14.33</v>
      </c>
      <c r="G1274" s="7">
        <v>0</v>
      </c>
      <c r="H1274" s="7">
        <v>22845.460539656498</v>
      </c>
      <c r="I1274" s="7">
        <v>0</v>
      </c>
    </row>
    <row r="1275" spans="1:9" x14ac:dyDescent="0.2">
      <c r="A1275" s="7">
        <v>34790</v>
      </c>
      <c r="B1275" s="7">
        <v>1.8179013538179901E-2</v>
      </c>
      <c r="C1275" s="7">
        <v>8.4798680815203503E-2</v>
      </c>
      <c r="D1275" s="7">
        <v>35000</v>
      </c>
      <c r="E1275" s="7" t="s">
        <v>10</v>
      </c>
      <c r="F1275" s="7">
        <v>23.5</v>
      </c>
      <c r="G1275" s="7">
        <v>1</v>
      </c>
      <c r="H1275" s="7">
        <v>10958.74</v>
      </c>
      <c r="I1275" s="7">
        <v>0</v>
      </c>
    </row>
    <row r="1276" spans="1:9" x14ac:dyDescent="0.2">
      <c r="A1276" s="7">
        <v>66226</v>
      </c>
      <c r="B1276" s="7">
        <v>-1.0145714225273301E-3</v>
      </c>
      <c r="C1276" s="7">
        <v>8.4798680815203503E-2</v>
      </c>
      <c r="D1276" s="7">
        <v>19200</v>
      </c>
      <c r="E1276" s="7" t="s">
        <v>10</v>
      </c>
      <c r="F1276" s="7">
        <v>23.28</v>
      </c>
      <c r="G1276" s="7">
        <v>0</v>
      </c>
      <c r="H1276" s="7">
        <v>29818.62</v>
      </c>
      <c r="I1276" s="7">
        <v>0</v>
      </c>
    </row>
    <row r="1277" spans="1:9" x14ac:dyDescent="0.2">
      <c r="A1277" s="7">
        <v>57274</v>
      </c>
      <c r="B1277" s="7">
        <v>2.98168523240279E-2</v>
      </c>
      <c r="C1277" s="7">
        <v>7.4974238972806501E-2</v>
      </c>
      <c r="D1277" s="7">
        <v>9750</v>
      </c>
      <c r="E1277" s="7" t="s">
        <v>8</v>
      </c>
      <c r="F1277" s="7">
        <v>14.09</v>
      </c>
      <c r="G1277" s="7">
        <v>0</v>
      </c>
      <c r="H1277" s="7">
        <v>11589.140005520099</v>
      </c>
      <c r="I1277" s="7">
        <v>0</v>
      </c>
    </row>
    <row r="1278" spans="1:9" x14ac:dyDescent="0.2">
      <c r="A1278" s="7">
        <v>55478</v>
      </c>
      <c r="B1278" s="7">
        <v>2.3788014134379601E-2</v>
      </c>
      <c r="C1278" s="7">
        <v>8.1509172207196695E-2</v>
      </c>
      <c r="D1278" s="7">
        <v>12000</v>
      </c>
      <c r="E1278" s="7" t="s">
        <v>4</v>
      </c>
      <c r="F1278" s="7">
        <v>6.03</v>
      </c>
      <c r="G1278" s="7">
        <v>0</v>
      </c>
      <c r="H1278" s="7">
        <v>12577.741665196299</v>
      </c>
      <c r="I1278" s="7">
        <v>0</v>
      </c>
    </row>
    <row r="1279" spans="1:9" x14ac:dyDescent="0.2">
      <c r="A1279" s="7">
        <v>80342</v>
      </c>
      <c r="B1279" s="7">
        <v>3.3538849486204003E-2</v>
      </c>
      <c r="C1279" s="7">
        <v>7.4974238972806501E-2</v>
      </c>
      <c r="D1279" s="7">
        <v>12800</v>
      </c>
      <c r="E1279" s="7" t="s">
        <v>8</v>
      </c>
      <c r="F1279" s="7">
        <v>10.16</v>
      </c>
      <c r="G1279" s="7">
        <v>0</v>
      </c>
      <c r="H1279" s="7">
        <v>14903.312804082299</v>
      </c>
      <c r="I1279" s="7">
        <v>0</v>
      </c>
    </row>
    <row r="1280" spans="1:9" x14ac:dyDescent="0.2">
      <c r="A1280" s="7">
        <v>59804</v>
      </c>
      <c r="B1280" s="7">
        <v>4.39972265370627E-2</v>
      </c>
      <c r="C1280" s="7">
        <v>7.4974238972806501E-2</v>
      </c>
      <c r="D1280" s="7">
        <v>5000</v>
      </c>
      <c r="E1280" s="7" t="s">
        <v>5</v>
      </c>
      <c r="F1280" s="7">
        <v>17.27</v>
      </c>
      <c r="G1280" s="7">
        <v>0</v>
      </c>
      <c r="H1280" s="7">
        <v>6297.24</v>
      </c>
      <c r="I1280" s="7">
        <v>0</v>
      </c>
    </row>
    <row r="1281" spans="1:9" x14ac:dyDescent="0.2">
      <c r="A1281" s="7">
        <v>102367</v>
      </c>
      <c r="B1281" s="7">
        <v>1.14109375310785E-2</v>
      </c>
      <c r="C1281" s="7">
        <v>8.1509172207196695E-2</v>
      </c>
      <c r="D1281" s="7">
        <v>10375</v>
      </c>
      <c r="E1281" s="7" t="s">
        <v>4</v>
      </c>
      <c r="F1281" s="7">
        <v>6.62</v>
      </c>
      <c r="G1281" s="7">
        <v>0</v>
      </c>
      <c r="H1281" s="7">
        <v>11467.778303159601</v>
      </c>
      <c r="I1281" s="7">
        <v>0</v>
      </c>
    </row>
    <row r="1282" spans="1:9" x14ac:dyDescent="0.2">
      <c r="A1282" s="7">
        <v>80053</v>
      </c>
      <c r="B1282" s="7">
        <v>3.30295152197293E-2</v>
      </c>
      <c r="C1282" s="7">
        <v>5.3944556304700297E-2</v>
      </c>
      <c r="D1282" s="7">
        <v>16000</v>
      </c>
      <c r="E1282" s="7" t="s">
        <v>8</v>
      </c>
      <c r="F1282" s="7">
        <v>10.16</v>
      </c>
      <c r="G1282" s="7">
        <v>0</v>
      </c>
      <c r="H1282" s="7">
        <v>18515.499999999302</v>
      </c>
      <c r="I1282" s="7">
        <v>0</v>
      </c>
    </row>
    <row r="1283" spans="1:9" x14ac:dyDescent="0.2">
      <c r="A1283" s="7">
        <v>100959</v>
      </c>
      <c r="B1283" s="7">
        <v>3.1366062899491003E-2</v>
      </c>
      <c r="C1283" s="7">
        <v>7.4974238972806501E-2</v>
      </c>
      <c r="D1283" s="7">
        <v>10000</v>
      </c>
      <c r="E1283" s="7" t="s">
        <v>6</v>
      </c>
      <c r="F1283" s="7">
        <v>18.489999999999998</v>
      </c>
      <c r="G1283" s="7">
        <v>0</v>
      </c>
      <c r="H1283" s="7">
        <v>13144.08</v>
      </c>
      <c r="I1283" s="7">
        <v>0</v>
      </c>
    </row>
    <row r="1284" spans="1:9" x14ac:dyDescent="0.2">
      <c r="A1284" s="7">
        <v>8120</v>
      </c>
      <c r="B1284" s="7">
        <v>2.96794051669261E-2</v>
      </c>
      <c r="C1284" s="7">
        <v>8.1509172207196695E-2</v>
      </c>
      <c r="D1284" s="7">
        <v>6000</v>
      </c>
      <c r="E1284" s="7" t="s">
        <v>5</v>
      </c>
      <c r="F1284" s="7">
        <v>15.1</v>
      </c>
      <c r="G1284" s="7">
        <v>0</v>
      </c>
      <c r="H1284" s="7">
        <v>6988.81</v>
      </c>
      <c r="I1284" s="7">
        <v>0</v>
      </c>
    </row>
    <row r="1285" spans="1:9" x14ac:dyDescent="0.2">
      <c r="A1285" s="7">
        <v>96665</v>
      </c>
      <c r="B1285" s="7">
        <v>3.0760007917106501E-2</v>
      </c>
      <c r="C1285" s="7">
        <v>8.4798680815203503E-2</v>
      </c>
      <c r="D1285" s="7">
        <v>26500</v>
      </c>
      <c r="E1285" s="7" t="s">
        <v>8</v>
      </c>
      <c r="F1285" s="7">
        <v>11.14</v>
      </c>
      <c r="G1285" s="7">
        <v>0</v>
      </c>
      <c r="H1285" s="7">
        <v>31078.0017477853</v>
      </c>
      <c r="I1285" s="7">
        <v>0</v>
      </c>
    </row>
    <row r="1286" spans="1:9" x14ac:dyDescent="0.2">
      <c r="A1286" s="7">
        <v>51911</v>
      </c>
      <c r="B1286" s="7">
        <v>3.25241222907733E-4</v>
      </c>
      <c r="C1286" s="7">
        <v>8.4798680815203503E-2</v>
      </c>
      <c r="D1286" s="7">
        <v>19750</v>
      </c>
      <c r="E1286" s="7" t="s">
        <v>5</v>
      </c>
      <c r="F1286" s="7">
        <v>17.27</v>
      </c>
      <c r="G1286" s="7">
        <v>0</v>
      </c>
      <c r="H1286" s="7">
        <v>25379.920009576399</v>
      </c>
      <c r="I1286" s="7">
        <v>0</v>
      </c>
    </row>
    <row r="1287" spans="1:9" x14ac:dyDescent="0.2">
      <c r="A1287" s="7">
        <v>116000</v>
      </c>
      <c r="B1287" s="7">
        <v>2.71701140845176E-2</v>
      </c>
      <c r="C1287" s="7">
        <v>8.1509172207196695E-2</v>
      </c>
      <c r="D1287" s="7">
        <v>15000</v>
      </c>
      <c r="E1287" s="7" t="s">
        <v>5</v>
      </c>
      <c r="F1287" s="7">
        <v>16.29</v>
      </c>
      <c r="G1287" s="7">
        <v>1</v>
      </c>
      <c r="H1287" s="7">
        <v>10051.68</v>
      </c>
      <c r="I1287" s="7">
        <v>0</v>
      </c>
    </row>
    <row r="1288" spans="1:9" x14ac:dyDescent="0.2">
      <c r="A1288" s="7">
        <v>1270</v>
      </c>
      <c r="B1288" s="7">
        <v>3.4243592662198202E-2</v>
      </c>
      <c r="C1288" s="7">
        <v>5.3944556304700297E-2</v>
      </c>
      <c r="D1288" s="7">
        <v>20000</v>
      </c>
      <c r="E1288" s="7" t="s">
        <v>8</v>
      </c>
      <c r="F1288" s="7">
        <v>11.99</v>
      </c>
      <c r="G1288" s="7">
        <v>0</v>
      </c>
      <c r="H1288" s="7">
        <v>23264.020000000099</v>
      </c>
      <c r="I1288" s="7">
        <v>0</v>
      </c>
    </row>
    <row r="1289" spans="1:9" x14ac:dyDescent="0.2">
      <c r="A1289" s="7">
        <v>134288</v>
      </c>
      <c r="B1289" s="7">
        <v>1.29892264916958E-2</v>
      </c>
      <c r="C1289" s="7">
        <v>8.1509172207196695E-2</v>
      </c>
      <c r="D1289" s="7">
        <v>4550</v>
      </c>
      <c r="E1289" s="7" t="s">
        <v>6</v>
      </c>
      <c r="F1289" s="7">
        <v>17.27</v>
      </c>
      <c r="G1289" s="7">
        <v>0</v>
      </c>
      <c r="H1289" s="7">
        <v>5851.1100005196004</v>
      </c>
      <c r="I1289" s="7">
        <v>0</v>
      </c>
    </row>
    <row r="1290" spans="1:9" x14ac:dyDescent="0.2">
      <c r="A1290" s="7">
        <v>103008</v>
      </c>
      <c r="B1290" s="7">
        <v>8.0053164768330905E-3</v>
      </c>
      <c r="C1290" s="7">
        <v>5.3944556304700297E-2</v>
      </c>
      <c r="D1290" s="7">
        <v>35000</v>
      </c>
      <c r="E1290" s="7" t="s">
        <v>4</v>
      </c>
      <c r="F1290" s="7">
        <v>7.9</v>
      </c>
      <c r="G1290" s="7">
        <v>0</v>
      </c>
      <c r="H1290" s="7">
        <v>39425.715046386897</v>
      </c>
      <c r="I1290" s="7">
        <v>0</v>
      </c>
    </row>
    <row r="1291" spans="1:9" x14ac:dyDescent="0.2">
      <c r="A1291" s="7">
        <v>58973</v>
      </c>
      <c r="B1291" s="7">
        <v>2.8110806536659101E-2</v>
      </c>
      <c r="C1291" s="7">
        <v>8.4798680815203503E-2</v>
      </c>
      <c r="D1291" s="7">
        <v>20100</v>
      </c>
      <c r="E1291" s="7" t="s">
        <v>5</v>
      </c>
      <c r="F1291" s="7">
        <v>14.33</v>
      </c>
      <c r="G1291" s="7">
        <v>0</v>
      </c>
      <c r="H1291" s="7">
        <v>22947.032873386801</v>
      </c>
      <c r="I1291" s="7">
        <v>0</v>
      </c>
    </row>
    <row r="1292" spans="1:9" x14ac:dyDescent="0.2">
      <c r="A1292" s="7">
        <v>18269</v>
      </c>
      <c r="B1292" s="7">
        <v>2.9198391641780501E-3</v>
      </c>
      <c r="C1292" s="7">
        <v>5.3944556304700297E-2</v>
      </c>
      <c r="D1292" s="7">
        <v>24000</v>
      </c>
      <c r="E1292" s="7" t="s">
        <v>8</v>
      </c>
      <c r="F1292" s="7">
        <v>11.99</v>
      </c>
      <c r="G1292" s="7">
        <v>0</v>
      </c>
      <c r="H1292" s="7">
        <v>26879.703649157502</v>
      </c>
      <c r="I1292" s="7">
        <v>0</v>
      </c>
    </row>
    <row r="1293" spans="1:9" x14ac:dyDescent="0.2">
      <c r="A1293" s="7">
        <v>77387</v>
      </c>
      <c r="B1293" s="7">
        <v>2.5392775811071298E-3</v>
      </c>
      <c r="C1293" s="7">
        <v>8.4798680815203503E-2</v>
      </c>
      <c r="D1293" s="7">
        <v>20000</v>
      </c>
      <c r="E1293" s="7" t="s">
        <v>5</v>
      </c>
      <c r="F1293" s="7">
        <v>17.27</v>
      </c>
      <c r="G1293" s="7">
        <v>1</v>
      </c>
      <c r="H1293" s="7">
        <v>3159.2</v>
      </c>
      <c r="I1293" s="7">
        <v>1163.48</v>
      </c>
    </row>
    <row r="1294" spans="1:9" x14ac:dyDescent="0.2">
      <c r="A1294" s="7">
        <v>40419</v>
      </c>
      <c r="B1294" s="7">
        <v>-9.7637552650850206E-3</v>
      </c>
      <c r="C1294" s="7">
        <v>8.4798680815203503E-2</v>
      </c>
      <c r="D1294" s="7">
        <v>28625</v>
      </c>
      <c r="E1294" s="7" t="s">
        <v>9</v>
      </c>
      <c r="F1294" s="7">
        <v>25.8</v>
      </c>
      <c r="G1294" s="7">
        <v>0</v>
      </c>
      <c r="H1294" s="7">
        <v>35646.7728866287</v>
      </c>
      <c r="I1294" s="7">
        <v>0</v>
      </c>
    </row>
    <row r="1295" spans="1:9" x14ac:dyDescent="0.2">
      <c r="A1295" s="7">
        <v>108164</v>
      </c>
      <c r="B1295" s="7">
        <v>2.7259842713740899E-2</v>
      </c>
      <c r="C1295" s="7">
        <v>8.1509172207196695E-2</v>
      </c>
      <c r="D1295" s="7">
        <v>16000</v>
      </c>
      <c r="E1295" s="7" t="s">
        <v>8</v>
      </c>
      <c r="F1295" s="7">
        <v>10.16</v>
      </c>
      <c r="G1295" s="7">
        <v>0</v>
      </c>
      <c r="H1295" s="7">
        <v>17141.768770053801</v>
      </c>
      <c r="I1295" s="7">
        <v>0</v>
      </c>
    </row>
    <row r="1296" spans="1:9" x14ac:dyDescent="0.2">
      <c r="A1296" s="7">
        <v>73959</v>
      </c>
      <c r="B1296" s="7">
        <v>2.6396851872678501E-2</v>
      </c>
      <c r="C1296" s="7">
        <v>8.1509172207196695E-2</v>
      </c>
      <c r="D1296" s="7">
        <v>10000</v>
      </c>
      <c r="E1296" s="7" t="s">
        <v>6</v>
      </c>
      <c r="F1296" s="7">
        <v>19.05</v>
      </c>
      <c r="G1296" s="7">
        <v>1</v>
      </c>
      <c r="H1296" s="7">
        <v>8435.48</v>
      </c>
      <c r="I1296" s="7">
        <v>3300</v>
      </c>
    </row>
    <row r="1297" spans="1:9" x14ac:dyDescent="0.2">
      <c r="A1297" s="7">
        <v>79586</v>
      </c>
      <c r="B1297" s="7">
        <v>2.7440448819923101E-2</v>
      </c>
      <c r="C1297" s="7">
        <v>7.7054178620260594E-2</v>
      </c>
      <c r="D1297" s="7">
        <v>10000</v>
      </c>
      <c r="E1297" s="7" t="s">
        <v>8</v>
      </c>
      <c r="F1297" s="7">
        <v>10.16</v>
      </c>
      <c r="G1297" s="7">
        <v>0</v>
      </c>
      <c r="H1297" s="7">
        <v>11641.5566992939</v>
      </c>
      <c r="I1297" s="7">
        <v>0</v>
      </c>
    </row>
    <row r="1298" spans="1:9" x14ac:dyDescent="0.2">
      <c r="A1298" s="7">
        <v>22878</v>
      </c>
      <c r="B1298" s="7">
        <v>3.2369602738949697E-2</v>
      </c>
      <c r="C1298" s="7">
        <v>7.4974238972806501E-2</v>
      </c>
      <c r="D1298" s="7">
        <v>11000</v>
      </c>
      <c r="E1298" s="7" t="s">
        <v>8</v>
      </c>
      <c r="F1298" s="7">
        <v>12.99</v>
      </c>
      <c r="G1298" s="7">
        <v>0</v>
      </c>
      <c r="H1298" s="7">
        <v>13101.8700056819</v>
      </c>
      <c r="I1298" s="7">
        <v>0</v>
      </c>
    </row>
    <row r="1299" spans="1:9" x14ac:dyDescent="0.2">
      <c r="A1299" s="7">
        <v>71773</v>
      </c>
      <c r="B1299" s="7">
        <v>5.2204867551192604E-3</v>
      </c>
      <c r="C1299" s="7">
        <v>8.4798680815203503E-2</v>
      </c>
      <c r="D1299" s="7">
        <v>28000</v>
      </c>
      <c r="E1299" s="7" t="s">
        <v>10</v>
      </c>
      <c r="F1299" s="7">
        <v>23.63</v>
      </c>
      <c r="G1299" s="7">
        <v>0</v>
      </c>
      <c r="H1299" s="7">
        <v>39976.769823954899</v>
      </c>
      <c r="I1299" s="7">
        <v>0</v>
      </c>
    </row>
    <row r="1300" spans="1:9" x14ac:dyDescent="0.2">
      <c r="A1300" s="7">
        <v>85699</v>
      </c>
      <c r="B1300" s="7">
        <v>2.71301938905841E-2</v>
      </c>
      <c r="C1300" s="7">
        <v>8.4798680815203503E-2</v>
      </c>
      <c r="D1300" s="7">
        <v>21600</v>
      </c>
      <c r="E1300" s="7" t="s">
        <v>8</v>
      </c>
      <c r="F1300" s="7">
        <v>13.11</v>
      </c>
      <c r="G1300" s="7">
        <v>1</v>
      </c>
      <c r="H1300" s="7">
        <v>14775.43</v>
      </c>
      <c r="I1300" s="7">
        <v>1660.75</v>
      </c>
    </row>
    <row r="1301" spans="1:9" x14ac:dyDescent="0.2">
      <c r="A1301" s="7">
        <v>1299</v>
      </c>
      <c r="B1301" s="7">
        <v>2.91914746982385E-2</v>
      </c>
      <c r="C1301" s="7">
        <v>8.1509172207196695E-2</v>
      </c>
      <c r="D1301" s="7">
        <v>9600</v>
      </c>
      <c r="E1301" s="7" t="s">
        <v>8</v>
      </c>
      <c r="F1301" s="7">
        <v>13.53</v>
      </c>
      <c r="G1301" s="7">
        <v>0</v>
      </c>
      <c r="H1301" s="7">
        <v>10929.120002969599</v>
      </c>
      <c r="I1301" s="7">
        <v>0</v>
      </c>
    </row>
    <row r="1302" spans="1:9" x14ac:dyDescent="0.2">
      <c r="A1302" s="7">
        <v>46967</v>
      </c>
      <c r="B1302" s="7">
        <v>3.07847522735617E-2</v>
      </c>
      <c r="C1302" s="7">
        <v>7.4974238972806501E-2</v>
      </c>
      <c r="D1302" s="7">
        <v>18900</v>
      </c>
      <c r="E1302" s="7" t="s">
        <v>8</v>
      </c>
      <c r="F1302" s="7">
        <v>13.11</v>
      </c>
      <c r="G1302" s="7">
        <v>0</v>
      </c>
      <c r="H1302" s="7">
        <v>22890.989982841002</v>
      </c>
      <c r="I1302" s="7">
        <v>0</v>
      </c>
    </row>
    <row r="1303" spans="1:9" x14ac:dyDescent="0.2">
      <c r="A1303" s="7">
        <v>9616</v>
      </c>
      <c r="B1303" s="7">
        <v>4.1168338453014201E-2</v>
      </c>
      <c r="C1303" s="7">
        <v>7.7054178620260594E-2</v>
      </c>
      <c r="D1303" s="7">
        <v>15000</v>
      </c>
      <c r="E1303" s="7" t="s">
        <v>5</v>
      </c>
      <c r="F1303" s="7">
        <v>15.61</v>
      </c>
      <c r="G1303" s="7">
        <v>0</v>
      </c>
      <c r="H1303" s="7">
        <v>15932.220447662199</v>
      </c>
      <c r="I1303" s="7">
        <v>0</v>
      </c>
    </row>
    <row r="1304" spans="1:9" x14ac:dyDescent="0.2">
      <c r="A1304" s="7">
        <v>19099</v>
      </c>
      <c r="B1304" s="7">
        <v>2.69386924549701E-2</v>
      </c>
      <c r="C1304" s="7">
        <v>8.1509172207196695E-2</v>
      </c>
      <c r="D1304" s="7">
        <v>4800</v>
      </c>
      <c r="E1304" s="7" t="s">
        <v>6</v>
      </c>
      <c r="F1304" s="7">
        <v>17.760000000000002</v>
      </c>
      <c r="G1304" s="7">
        <v>0</v>
      </c>
      <c r="H1304" s="7">
        <v>5648.8282878548998</v>
      </c>
      <c r="I1304" s="7">
        <v>0</v>
      </c>
    </row>
    <row r="1305" spans="1:9" x14ac:dyDescent="0.2">
      <c r="A1305" s="7">
        <v>108290</v>
      </c>
      <c r="B1305" s="7">
        <v>3.4835504522025898E-2</v>
      </c>
      <c r="C1305" s="7">
        <v>7.4974238972806501E-2</v>
      </c>
      <c r="D1305" s="7">
        <v>8800</v>
      </c>
      <c r="E1305" s="7" t="s">
        <v>6</v>
      </c>
      <c r="F1305" s="7">
        <v>19.05</v>
      </c>
      <c r="G1305" s="7">
        <v>0</v>
      </c>
      <c r="H1305" s="7">
        <v>11620.5828623286</v>
      </c>
      <c r="I1305" s="7">
        <v>0</v>
      </c>
    </row>
    <row r="1306" spans="1:9" x14ac:dyDescent="0.2">
      <c r="A1306" s="7">
        <v>6904</v>
      </c>
      <c r="B1306" s="7">
        <v>1.77601748872089E-2</v>
      </c>
      <c r="C1306" s="7">
        <v>8.1509172207196695E-2</v>
      </c>
      <c r="D1306" s="7">
        <v>8000</v>
      </c>
      <c r="E1306" s="7" t="s">
        <v>4</v>
      </c>
      <c r="F1306" s="7">
        <v>8.9</v>
      </c>
      <c r="G1306" s="7">
        <v>0</v>
      </c>
      <c r="H1306" s="7">
        <v>8481.106295046</v>
      </c>
      <c r="I1306" s="7">
        <v>0</v>
      </c>
    </row>
    <row r="1307" spans="1:9" x14ac:dyDescent="0.2">
      <c r="A1307" s="7">
        <v>72664</v>
      </c>
      <c r="B1307" s="7">
        <v>2.96470535394622E-2</v>
      </c>
      <c r="C1307" s="7">
        <v>8.1509172207196695E-2</v>
      </c>
      <c r="D1307" s="7">
        <v>6500</v>
      </c>
      <c r="E1307" s="7" t="s">
        <v>8</v>
      </c>
      <c r="F1307" s="7">
        <v>14.09</v>
      </c>
      <c r="G1307" s="7">
        <v>0</v>
      </c>
      <c r="H1307" s="7">
        <v>7594.0890540923001</v>
      </c>
      <c r="I1307" s="7">
        <v>0</v>
      </c>
    </row>
    <row r="1308" spans="1:9" x14ac:dyDescent="0.2">
      <c r="A1308" s="7">
        <v>72929</v>
      </c>
      <c r="B1308" s="7">
        <v>3.33262956589244E-2</v>
      </c>
      <c r="C1308" s="7">
        <v>7.4974238972806501E-2</v>
      </c>
      <c r="D1308" s="7">
        <v>9600</v>
      </c>
      <c r="E1308" s="7" t="s">
        <v>5</v>
      </c>
      <c r="F1308" s="7">
        <v>15.31</v>
      </c>
      <c r="G1308" s="7">
        <v>0</v>
      </c>
      <c r="H1308" s="7">
        <v>12013.5823547214</v>
      </c>
      <c r="I1308" s="7">
        <v>0</v>
      </c>
    </row>
    <row r="1309" spans="1:9" x14ac:dyDescent="0.2">
      <c r="A1309" s="7">
        <v>96511</v>
      </c>
      <c r="B1309" s="7">
        <v>6.4807450010856303E-3</v>
      </c>
      <c r="C1309" s="7">
        <v>8.1509172207196695E-2</v>
      </c>
      <c r="D1309" s="7">
        <v>12900</v>
      </c>
      <c r="E1309" s="7" t="s">
        <v>6</v>
      </c>
      <c r="F1309" s="7">
        <v>19.05</v>
      </c>
      <c r="G1309" s="7">
        <v>0</v>
      </c>
      <c r="H1309" s="7">
        <v>17186.6000034321</v>
      </c>
      <c r="I1309" s="7">
        <v>0</v>
      </c>
    </row>
    <row r="1310" spans="1:9" x14ac:dyDescent="0.2">
      <c r="A1310" s="7">
        <v>2346</v>
      </c>
      <c r="B1310" s="7">
        <v>2.6244058641049801E-2</v>
      </c>
      <c r="C1310" s="7">
        <v>5.3944556304700297E-2</v>
      </c>
      <c r="D1310" s="7">
        <v>18000</v>
      </c>
      <c r="E1310" s="7" t="s">
        <v>4</v>
      </c>
      <c r="F1310" s="7">
        <v>7.9</v>
      </c>
      <c r="G1310" s="7">
        <v>0</v>
      </c>
      <c r="H1310" s="7">
        <v>19681.4800085754</v>
      </c>
      <c r="I1310" s="7">
        <v>0</v>
      </c>
    </row>
    <row r="1311" spans="1:9" x14ac:dyDescent="0.2">
      <c r="A1311" s="7">
        <v>87312</v>
      </c>
      <c r="B1311" s="7">
        <v>4.30082084097963E-2</v>
      </c>
      <c r="C1311" s="7">
        <v>5.3944556304700297E-2</v>
      </c>
      <c r="D1311" s="7">
        <v>25000</v>
      </c>
      <c r="E1311" s="7" t="s">
        <v>4</v>
      </c>
      <c r="F1311" s="7">
        <v>7.9</v>
      </c>
      <c r="G1311" s="7">
        <v>0</v>
      </c>
      <c r="H1311" s="7">
        <v>28161.212252666599</v>
      </c>
      <c r="I1311" s="7">
        <v>0</v>
      </c>
    </row>
    <row r="1312" spans="1:9" x14ac:dyDescent="0.2">
      <c r="A1312" s="7">
        <v>66851</v>
      </c>
      <c r="B1312" s="7">
        <v>2.6250526902322199E-2</v>
      </c>
      <c r="C1312" s="7">
        <v>8.1509172207196695E-2</v>
      </c>
      <c r="D1312" s="7">
        <v>17050</v>
      </c>
      <c r="E1312" s="7" t="s">
        <v>8</v>
      </c>
      <c r="F1312" s="7">
        <v>11.14</v>
      </c>
      <c r="G1312" s="7">
        <v>0</v>
      </c>
      <c r="H1312" s="7">
        <v>20135.7185151872</v>
      </c>
      <c r="I1312" s="7">
        <v>0</v>
      </c>
    </row>
    <row r="1313" spans="1:9" x14ac:dyDescent="0.2">
      <c r="A1313" s="7">
        <v>82284</v>
      </c>
      <c r="B1313" s="7">
        <v>3.2393839885826302E-2</v>
      </c>
      <c r="C1313" s="7">
        <v>7.4974238972806501E-2</v>
      </c>
      <c r="D1313" s="7">
        <v>10000</v>
      </c>
      <c r="E1313" s="7" t="s">
        <v>8</v>
      </c>
      <c r="F1313" s="7">
        <v>11.14</v>
      </c>
      <c r="G1313" s="7">
        <v>0</v>
      </c>
      <c r="H1313" s="7">
        <v>10603.541963819</v>
      </c>
      <c r="I1313" s="7">
        <v>0</v>
      </c>
    </row>
    <row r="1314" spans="1:9" x14ac:dyDescent="0.2">
      <c r="A1314" s="7">
        <v>49179</v>
      </c>
      <c r="B1314" s="7">
        <v>2.8664013776072798E-2</v>
      </c>
      <c r="C1314" s="7">
        <v>7.4974238972806501E-2</v>
      </c>
      <c r="D1314" s="7">
        <v>8000</v>
      </c>
      <c r="E1314" s="7" t="s">
        <v>8</v>
      </c>
      <c r="F1314" s="7">
        <v>10.16</v>
      </c>
      <c r="G1314" s="7">
        <v>0</v>
      </c>
      <c r="H1314" s="7">
        <v>9314.5925660581997</v>
      </c>
      <c r="I1314" s="7">
        <v>0</v>
      </c>
    </row>
    <row r="1315" spans="1:9" x14ac:dyDescent="0.2">
      <c r="A1315" s="7">
        <v>33479</v>
      </c>
      <c r="B1315" s="7">
        <v>2.5321541941549799E-2</v>
      </c>
      <c r="C1315" s="7">
        <v>8.1509172207196695E-2</v>
      </c>
      <c r="D1315" s="7">
        <v>4800</v>
      </c>
      <c r="E1315" s="7" t="s">
        <v>5</v>
      </c>
      <c r="F1315" s="7">
        <v>14.33</v>
      </c>
      <c r="G1315" s="7">
        <v>0</v>
      </c>
      <c r="H1315" s="7">
        <v>5268.36</v>
      </c>
      <c r="I1315" s="7">
        <v>0</v>
      </c>
    </row>
    <row r="1316" spans="1:9" x14ac:dyDescent="0.2">
      <c r="A1316" s="7">
        <v>23602</v>
      </c>
      <c r="B1316" s="7">
        <v>3.3004964527950202E-2</v>
      </c>
      <c r="C1316" s="7">
        <v>8.4798680815203503E-2</v>
      </c>
      <c r="D1316" s="7">
        <v>20000</v>
      </c>
      <c r="E1316" s="7" t="s">
        <v>6</v>
      </c>
      <c r="F1316" s="7">
        <v>18.55</v>
      </c>
      <c r="G1316" s="7">
        <v>0</v>
      </c>
      <c r="H1316" s="7">
        <v>20309.169999999998</v>
      </c>
      <c r="I1316" s="7">
        <v>0</v>
      </c>
    </row>
    <row r="1317" spans="1:9" x14ac:dyDescent="0.2">
      <c r="A1317" s="7">
        <v>138743</v>
      </c>
      <c r="B1317" s="7">
        <v>3.1402261756302202E-2</v>
      </c>
      <c r="C1317" s="7">
        <v>7.4974238972806501E-2</v>
      </c>
      <c r="D1317" s="7">
        <v>16000</v>
      </c>
      <c r="E1317" s="7" t="s">
        <v>5</v>
      </c>
      <c r="F1317" s="7">
        <v>15.81</v>
      </c>
      <c r="G1317" s="7">
        <v>0</v>
      </c>
      <c r="H1317" s="7">
        <v>19372.285094472201</v>
      </c>
      <c r="I1317" s="7">
        <v>0</v>
      </c>
    </row>
    <row r="1318" spans="1:9" x14ac:dyDescent="0.2">
      <c r="A1318" s="7">
        <v>104281</v>
      </c>
      <c r="B1318" s="7">
        <v>3.2354652604866398E-2</v>
      </c>
      <c r="C1318" s="7">
        <v>8.1509172207196695E-2</v>
      </c>
      <c r="D1318" s="7">
        <v>13000</v>
      </c>
      <c r="E1318" s="7" t="s">
        <v>5</v>
      </c>
      <c r="F1318" s="7">
        <v>14.33</v>
      </c>
      <c r="G1318" s="7">
        <v>0</v>
      </c>
      <c r="H1318" s="7">
        <v>15735.8709063938</v>
      </c>
      <c r="I1318" s="7">
        <v>0</v>
      </c>
    </row>
    <row r="1319" spans="1:9" x14ac:dyDescent="0.2">
      <c r="A1319" s="7">
        <v>27418</v>
      </c>
      <c r="B1319" s="7">
        <v>5.6439527908179804E-3</v>
      </c>
      <c r="C1319" s="7">
        <v>8.1509172207196695E-2</v>
      </c>
      <c r="D1319" s="7">
        <v>11200</v>
      </c>
      <c r="E1319" s="7" t="s">
        <v>7</v>
      </c>
      <c r="F1319" s="7">
        <v>22.2</v>
      </c>
      <c r="G1319" s="7">
        <v>0</v>
      </c>
      <c r="H1319" s="7">
        <v>12413.79</v>
      </c>
      <c r="I1319" s="7">
        <v>0</v>
      </c>
    </row>
    <row r="1320" spans="1:9" x14ac:dyDescent="0.2">
      <c r="A1320" s="7">
        <v>7948</v>
      </c>
      <c r="B1320" s="7">
        <v>2.30904123798093E-2</v>
      </c>
      <c r="C1320" s="7">
        <v>8.1509172207196695E-2</v>
      </c>
      <c r="D1320" s="7">
        <v>15000</v>
      </c>
      <c r="E1320" s="7" t="s">
        <v>5</v>
      </c>
      <c r="F1320" s="7">
        <v>15.1</v>
      </c>
      <c r="G1320" s="7">
        <v>0</v>
      </c>
      <c r="H1320" s="7">
        <v>17888.400001444799</v>
      </c>
      <c r="I1320" s="7">
        <v>0</v>
      </c>
    </row>
    <row r="1321" spans="1:9" x14ac:dyDescent="0.2">
      <c r="A1321" s="7">
        <v>122105</v>
      </c>
      <c r="B1321" s="7">
        <v>3.2551657452288399E-2</v>
      </c>
      <c r="C1321" s="7">
        <v>7.4974238972806501E-2</v>
      </c>
      <c r="D1321" s="7">
        <v>12000</v>
      </c>
      <c r="E1321" s="7" t="s">
        <v>5</v>
      </c>
      <c r="F1321" s="7">
        <v>14.33</v>
      </c>
      <c r="G1321" s="7">
        <v>0</v>
      </c>
      <c r="H1321" s="7">
        <v>14834.049993481</v>
      </c>
      <c r="I1321" s="7">
        <v>0</v>
      </c>
    </row>
    <row r="1322" spans="1:9" x14ac:dyDescent="0.2">
      <c r="A1322" s="7">
        <v>71020</v>
      </c>
      <c r="B1322" s="7">
        <v>2.8944154832121999E-2</v>
      </c>
      <c r="C1322" s="7">
        <v>8.1509172207196695E-2</v>
      </c>
      <c r="D1322" s="7">
        <v>10000</v>
      </c>
      <c r="E1322" s="7" t="s">
        <v>5</v>
      </c>
      <c r="F1322" s="7">
        <v>17.27</v>
      </c>
      <c r="G1322" s="7">
        <v>0</v>
      </c>
      <c r="H1322" s="7">
        <v>12915.769464794501</v>
      </c>
      <c r="I1322" s="7">
        <v>0</v>
      </c>
    </row>
    <row r="1323" spans="1:9" x14ac:dyDescent="0.2">
      <c r="A1323" s="7">
        <v>125097</v>
      </c>
      <c r="B1323" s="7">
        <v>1.6022634269784598E-2</v>
      </c>
      <c r="C1323" s="7">
        <v>8.1509172207196695E-2</v>
      </c>
      <c r="D1323" s="7">
        <v>8000</v>
      </c>
      <c r="E1323" s="7" t="s">
        <v>4</v>
      </c>
      <c r="F1323" s="7">
        <v>7.62</v>
      </c>
      <c r="G1323" s="7">
        <v>0</v>
      </c>
      <c r="H1323" s="7">
        <v>8687.4438183152997</v>
      </c>
      <c r="I1323" s="7">
        <v>0</v>
      </c>
    </row>
    <row r="1324" spans="1:9" x14ac:dyDescent="0.2">
      <c r="A1324" s="7">
        <v>23710</v>
      </c>
      <c r="B1324" s="7">
        <v>3.08872404544068E-2</v>
      </c>
      <c r="C1324" s="7">
        <v>7.4974238972806501E-2</v>
      </c>
      <c r="D1324" s="7">
        <v>4800</v>
      </c>
      <c r="E1324" s="7" t="s">
        <v>5</v>
      </c>
      <c r="F1324" s="7">
        <v>16.2</v>
      </c>
      <c r="G1324" s="7">
        <v>0</v>
      </c>
      <c r="H1324" s="7">
        <v>5963.9699990687996</v>
      </c>
      <c r="I1324" s="7">
        <v>0</v>
      </c>
    </row>
    <row r="1325" spans="1:9" x14ac:dyDescent="0.2">
      <c r="A1325" s="7">
        <v>50885</v>
      </c>
      <c r="B1325" s="7">
        <v>2.9348632210541199E-2</v>
      </c>
      <c r="C1325" s="7">
        <v>8.1509172207196695E-2</v>
      </c>
      <c r="D1325" s="7">
        <v>2850</v>
      </c>
      <c r="E1325" s="7" t="s">
        <v>5</v>
      </c>
      <c r="F1325" s="7">
        <v>15.31</v>
      </c>
      <c r="G1325" s="7">
        <v>0</v>
      </c>
      <c r="H1325" s="7">
        <v>3572.2522671254001</v>
      </c>
      <c r="I1325" s="7">
        <v>0</v>
      </c>
    </row>
    <row r="1326" spans="1:9" x14ac:dyDescent="0.2">
      <c r="A1326" s="7">
        <v>141135</v>
      </c>
      <c r="B1326" s="7">
        <v>4.2773943447629199E-2</v>
      </c>
      <c r="C1326" s="7">
        <v>8.1509172207196695E-2</v>
      </c>
      <c r="D1326" s="7">
        <v>9000</v>
      </c>
      <c r="E1326" s="7" t="s">
        <v>8</v>
      </c>
      <c r="F1326" s="7">
        <v>12.12</v>
      </c>
      <c r="G1326" s="7">
        <v>0</v>
      </c>
      <c r="H1326" s="7">
        <v>10697.812151701601</v>
      </c>
      <c r="I1326" s="7">
        <v>0</v>
      </c>
    </row>
    <row r="1327" spans="1:9" x14ac:dyDescent="0.2">
      <c r="A1327" s="7">
        <v>27426</v>
      </c>
      <c r="B1327" s="7">
        <v>2.09542258152828E-2</v>
      </c>
      <c r="C1327" s="7">
        <v>8.1509172207196695E-2</v>
      </c>
      <c r="D1327" s="7">
        <v>6000</v>
      </c>
      <c r="E1327" s="7" t="s">
        <v>4</v>
      </c>
      <c r="F1327" s="7">
        <v>7.62</v>
      </c>
      <c r="G1327" s="7">
        <v>0</v>
      </c>
      <c r="H1327" s="7">
        <v>6694.4226559960998</v>
      </c>
      <c r="I1327" s="7">
        <v>0</v>
      </c>
    </row>
    <row r="1328" spans="1:9" x14ac:dyDescent="0.2">
      <c r="A1328" s="7">
        <v>95934</v>
      </c>
      <c r="B1328" s="7">
        <v>2.7246762961997101E-2</v>
      </c>
      <c r="C1328" s="7">
        <v>7.4974238972806501E-2</v>
      </c>
      <c r="D1328" s="7">
        <v>9250</v>
      </c>
      <c r="E1328" s="7" t="s">
        <v>5</v>
      </c>
      <c r="F1328" s="7">
        <v>14.33</v>
      </c>
      <c r="G1328" s="7">
        <v>0</v>
      </c>
      <c r="H1328" s="7">
        <v>11434.5759944252</v>
      </c>
      <c r="I1328" s="7">
        <v>0</v>
      </c>
    </row>
    <row r="1329" spans="1:9" x14ac:dyDescent="0.2">
      <c r="A1329" s="7">
        <v>7866</v>
      </c>
      <c r="B1329" s="7">
        <v>4.3307782238718201E-2</v>
      </c>
      <c r="C1329" s="7">
        <v>8.4798680815203503E-2</v>
      </c>
      <c r="D1329" s="7">
        <v>35000</v>
      </c>
      <c r="E1329" s="7" t="s">
        <v>6</v>
      </c>
      <c r="F1329" s="7">
        <v>18.55</v>
      </c>
      <c r="G1329" s="7">
        <v>0</v>
      </c>
      <c r="H1329" s="7">
        <v>44521.569997179198</v>
      </c>
      <c r="I1329" s="7">
        <v>0</v>
      </c>
    </row>
    <row r="1330" spans="1:9" x14ac:dyDescent="0.2">
      <c r="A1330" s="7">
        <v>90367</v>
      </c>
      <c r="B1330" s="7">
        <v>-5.5323487251262397E-3</v>
      </c>
      <c r="C1330" s="7">
        <v>8.4798680815203503E-2</v>
      </c>
      <c r="D1330" s="7">
        <v>27575</v>
      </c>
      <c r="E1330" s="7" t="s">
        <v>10</v>
      </c>
      <c r="F1330" s="7">
        <v>23.76</v>
      </c>
      <c r="G1330" s="7">
        <v>1</v>
      </c>
      <c r="H1330" s="7">
        <v>3133.08</v>
      </c>
      <c r="I1330" s="7">
        <v>1556.56</v>
      </c>
    </row>
    <row r="1331" spans="1:9" x14ac:dyDescent="0.2">
      <c r="A1331" s="7">
        <v>130840</v>
      </c>
      <c r="B1331" s="7">
        <v>2.4856925479774201E-2</v>
      </c>
      <c r="C1331" s="7">
        <v>5.3944556304700297E-2</v>
      </c>
      <c r="D1331" s="7">
        <v>35000</v>
      </c>
      <c r="E1331" s="7" t="s">
        <v>4</v>
      </c>
      <c r="F1331" s="7">
        <v>8.9</v>
      </c>
      <c r="G1331" s="7">
        <v>0</v>
      </c>
      <c r="H1331" s="7">
        <v>39995.939990510298</v>
      </c>
      <c r="I1331" s="7">
        <v>0</v>
      </c>
    </row>
    <row r="1332" spans="1:9" x14ac:dyDescent="0.2">
      <c r="A1332" s="7">
        <v>5400</v>
      </c>
      <c r="B1332" s="7">
        <v>3.1846435847030397E-2</v>
      </c>
      <c r="C1332" s="7">
        <v>8.4798680815203503E-2</v>
      </c>
      <c r="D1332" s="7">
        <v>20000</v>
      </c>
      <c r="E1332" s="7" t="s">
        <v>5</v>
      </c>
      <c r="F1332" s="7">
        <v>14.98</v>
      </c>
      <c r="G1332" s="7">
        <v>1</v>
      </c>
      <c r="H1332" s="7">
        <v>22098.55</v>
      </c>
      <c r="I1332" s="7">
        <v>339.05</v>
      </c>
    </row>
    <row r="1333" spans="1:9" x14ac:dyDescent="0.2">
      <c r="A1333" s="7">
        <v>56185</v>
      </c>
      <c r="B1333" s="7">
        <v>-3.3305851785056699E-3</v>
      </c>
      <c r="C1333" s="7">
        <v>7.4974238972806501E-2</v>
      </c>
      <c r="D1333" s="7">
        <v>21250</v>
      </c>
      <c r="E1333" s="7" t="s">
        <v>8</v>
      </c>
      <c r="F1333" s="7">
        <v>11.14</v>
      </c>
      <c r="G1333" s="7">
        <v>0</v>
      </c>
      <c r="H1333" s="7">
        <v>26031.070017682301</v>
      </c>
      <c r="I1333" s="7">
        <v>0</v>
      </c>
    </row>
    <row r="1334" spans="1:9" x14ac:dyDescent="0.2">
      <c r="A1334" s="7">
        <v>120351</v>
      </c>
      <c r="B1334" s="7">
        <v>2.88003692895306E-2</v>
      </c>
      <c r="C1334" s="7">
        <v>8.1509172207196695E-2</v>
      </c>
      <c r="D1334" s="7">
        <v>8600</v>
      </c>
      <c r="E1334" s="7" t="s">
        <v>8</v>
      </c>
      <c r="F1334" s="7">
        <v>12.12</v>
      </c>
      <c r="G1334" s="7">
        <v>0</v>
      </c>
      <c r="H1334" s="7">
        <v>10200.256625325101</v>
      </c>
      <c r="I1334" s="7">
        <v>0</v>
      </c>
    </row>
    <row r="1335" spans="1:9" x14ac:dyDescent="0.2">
      <c r="A1335" s="7">
        <v>87875</v>
      </c>
      <c r="B1335" s="7">
        <v>3.26574712218397E-2</v>
      </c>
      <c r="C1335" s="7">
        <v>5.3944556304700297E-2</v>
      </c>
      <c r="D1335" s="7">
        <v>24000</v>
      </c>
      <c r="E1335" s="7" t="s">
        <v>4</v>
      </c>
      <c r="F1335" s="7">
        <v>8.9</v>
      </c>
      <c r="G1335" s="7">
        <v>0</v>
      </c>
      <c r="H1335" s="7">
        <v>26858.73</v>
      </c>
      <c r="I1335" s="7">
        <v>0</v>
      </c>
    </row>
    <row r="1336" spans="1:9" x14ac:dyDescent="0.2">
      <c r="A1336" s="7">
        <v>139283</v>
      </c>
      <c r="B1336" s="7">
        <v>2.4636533748347799E-2</v>
      </c>
      <c r="C1336" s="7">
        <v>8.1509172207196695E-2</v>
      </c>
      <c r="D1336" s="7">
        <v>9800</v>
      </c>
      <c r="E1336" s="7" t="s">
        <v>5</v>
      </c>
      <c r="F1336" s="7">
        <v>14.65</v>
      </c>
      <c r="G1336" s="7">
        <v>0</v>
      </c>
      <c r="H1336" s="7">
        <v>12169.4899964426</v>
      </c>
      <c r="I1336" s="7">
        <v>0</v>
      </c>
    </row>
    <row r="1337" spans="1:9" x14ac:dyDescent="0.2">
      <c r="A1337" s="7">
        <v>42488</v>
      </c>
      <c r="B1337" s="7">
        <v>2.2582742616316698E-2</v>
      </c>
      <c r="C1337" s="7">
        <v>8.1509172207196695E-2</v>
      </c>
      <c r="D1337" s="7">
        <v>1000</v>
      </c>
      <c r="E1337" s="7" t="s">
        <v>6</v>
      </c>
      <c r="F1337" s="7">
        <v>20.309999999999999</v>
      </c>
      <c r="G1337" s="7">
        <v>0</v>
      </c>
      <c r="H1337" s="7">
        <v>1342.74</v>
      </c>
      <c r="I1337" s="7">
        <v>0</v>
      </c>
    </row>
    <row r="1338" spans="1:9" x14ac:dyDescent="0.2">
      <c r="A1338" s="7">
        <v>127409</v>
      </c>
      <c r="B1338" s="7">
        <v>3.1205854632032699E-2</v>
      </c>
      <c r="C1338" s="7">
        <v>7.7054178620260594E-2</v>
      </c>
      <c r="D1338" s="7">
        <v>4000</v>
      </c>
      <c r="E1338" s="7" t="s">
        <v>8</v>
      </c>
      <c r="F1338" s="7">
        <v>12.12</v>
      </c>
      <c r="G1338" s="7">
        <v>0</v>
      </c>
      <c r="H1338" s="7">
        <v>4618.8708099074001</v>
      </c>
      <c r="I1338" s="7">
        <v>0</v>
      </c>
    </row>
    <row r="1339" spans="1:9" x14ac:dyDescent="0.2">
      <c r="A1339" s="7">
        <v>75612</v>
      </c>
      <c r="B1339" s="7">
        <v>5.3964673239747197E-3</v>
      </c>
      <c r="C1339" s="7">
        <v>8.1509172207196695E-2</v>
      </c>
      <c r="D1339" s="7">
        <v>12000</v>
      </c>
      <c r="E1339" s="7" t="s">
        <v>7</v>
      </c>
      <c r="F1339" s="7">
        <v>20.49</v>
      </c>
      <c r="G1339" s="7">
        <v>0</v>
      </c>
      <c r="H1339" s="7">
        <v>14319.9694552214</v>
      </c>
      <c r="I1339" s="7">
        <v>0</v>
      </c>
    </row>
    <row r="1340" spans="1:9" x14ac:dyDescent="0.2">
      <c r="A1340" s="7">
        <v>134178</v>
      </c>
      <c r="B1340" s="7">
        <v>3.3755228845050902E-2</v>
      </c>
      <c r="C1340" s="7">
        <v>5.3944556304700297E-2</v>
      </c>
      <c r="D1340" s="7">
        <v>12000</v>
      </c>
      <c r="E1340" s="7" t="s">
        <v>4</v>
      </c>
      <c r="F1340" s="7">
        <v>6.03</v>
      </c>
      <c r="G1340" s="7">
        <v>0</v>
      </c>
      <c r="H1340" s="7">
        <v>12576.5721264028</v>
      </c>
      <c r="I1340" s="7">
        <v>0</v>
      </c>
    </row>
    <row r="1341" spans="1:9" x14ac:dyDescent="0.2">
      <c r="A1341" s="7">
        <v>7597</v>
      </c>
      <c r="B1341" s="7">
        <v>6.5819526461945903E-3</v>
      </c>
      <c r="C1341" s="7">
        <v>5.3944556304700297E-2</v>
      </c>
      <c r="D1341" s="7">
        <v>20000</v>
      </c>
      <c r="E1341" s="7" t="s">
        <v>5</v>
      </c>
      <c r="F1341" s="7">
        <v>15.1</v>
      </c>
      <c r="G1341" s="7">
        <v>0</v>
      </c>
      <c r="H1341" s="7">
        <v>25610.71</v>
      </c>
      <c r="I1341" s="7">
        <v>0</v>
      </c>
    </row>
    <row r="1342" spans="1:9" x14ac:dyDescent="0.2">
      <c r="A1342" s="7">
        <v>54316</v>
      </c>
      <c r="B1342" s="7">
        <v>2.8987337639446401E-2</v>
      </c>
      <c r="C1342" s="7">
        <v>7.4974238972806501E-2</v>
      </c>
      <c r="D1342" s="7">
        <v>11000</v>
      </c>
      <c r="E1342" s="7" t="s">
        <v>5</v>
      </c>
      <c r="F1342" s="7">
        <v>15.31</v>
      </c>
      <c r="G1342" s="7">
        <v>0</v>
      </c>
      <c r="H1342" s="7">
        <v>13790.379923795201</v>
      </c>
      <c r="I1342" s="7">
        <v>0</v>
      </c>
    </row>
    <row r="1343" spans="1:9" x14ac:dyDescent="0.2">
      <c r="A1343" s="7">
        <v>102920</v>
      </c>
      <c r="B1343" s="7">
        <v>3.1118523139788301E-2</v>
      </c>
      <c r="C1343" s="7">
        <v>7.7054178620260594E-2</v>
      </c>
      <c r="D1343" s="7">
        <v>2400</v>
      </c>
      <c r="E1343" s="7" t="s">
        <v>5</v>
      </c>
      <c r="F1343" s="7">
        <v>15.8</v>
      </c>
      <c r="G1343" s="7">
        <v>1</v>
      </c>
      <c r="H1343" s="7">
        <v>2690.28</v>
      </c>
      <c r="I1343" s="7">
        <v>88.53</v>
      </c>
    </row>
    <row r="1344" spans="1:9" x14ac:dyDescent="0.2">
      <c r="A1344" s="7">
        <v>71216</v>
      </c>
      <c r="B1344" s="7">
        <v>2.4351118670052602E-2</v>
      </c>
      <c r="C1344" s="7">
        <v>5.3944556304700297E-2</v>
      </c>
      <c r="D1344" s="7">
        <v>15000</v>
      </c>
      <c r="E1344" s="7" t="s">
        <v>4</v>
      </c>
      <c r="F1344" s="7">
        <v>7.9</v>
      </c>
      <c r="G1344" s="7">
        <v>0</v>
      </c>
      <c r="H1344" s="7">
        <v>16625.8500058547</v>
      </c>
      <c r="I1344" s="7">
        <v>0</v>
      </c>
    </row>
    <row r="1345" spans="1:9" x14ac:dyDescent="0.2">
      <c r="A1345" s="7">
        <v>429</v>
      </c>
      <c r="B1345" s="7">
        <v>3.4283967697660198E-3</v>
      </c>
      <c r="C1345" s="7">
        <v>8.4798680815203503E-2</v>
      </c>
      <c r="D1345" s="7">
        <v>22750</v>
      </c>
      <c r="E1345" s="7" t="s">
        <v>6</v>
      </c>
      <c r="F1345" s="7">
        <v>18.25</v>
      </c>
      <c r="G1345" s="7">
        <v>1</v>
      </c>
      <c r="H1345" s="7">
        <v>7052.45</v>
      </c>
      <c r="I1345" s="7">
        <v>2990.02</v>
      </c>
    </row>
    <row r="1346" spans="1:9" x14ac:dyDescent="0.2">
      <c r="A1346" s="7">
        <v>42841</v>
      </c>
      <c r="B1346" s="7">
        <v>2.6849156107462E-2</v>
      </c>
      <c r="C1346" s="7">
        <v>8.1509172207196695E-2</v>
      </c>
      <c r="D1346" s="7">
        <v>9000</v>
      </c>
      <c r="E1346" s="7" t="s">
        <v>6</v>
      </c>
      <c r="F1346" s="7">
        <v>18.25</v>
      </c>
      <c r="G1346" s="7">
        <v>0</v>
      </c>
      <c r="H1346" s="7">
        <v>9271.0431363355001</v>
      </c>
      <c r="I1346" s="7">
        <v>0</v>
      </c>
    </row>
    <row r="1347" spans="1:9" x14ac:dyDescent="0.2">
      <c r="A1347" s="7">
        <v>142166</v>
      </c>
      <c r="B1347" s="7">
        <v>3.08235484791308E-2</v>
      </c>
      <c r="C1347" s="7">
        <v>8.1509172207196695E-2</v>
      </c>
      <c r="D1347" s="7">
        <v>18000</v>
      </c>
      <c r="E1347" s="7" t="s">
        <v>8</v>
      </c>
      <c r="F1347" s="7">
        <v>12.69</v>
      </c>
      <c r="G1347" s="7">
        <v>1</v>
      </c>
      <c r="H1347" s="7">
        <v>5424.84</v>
      </c>
      <c r="I1347" s="7">
        <v>0</v>
      </c>
    </row>
    <row r="1348" spans="1:9" x14ac:dyDescent="0.2">
      <c r="A1348" s="7">
        <v>42462</v>
      </c>
      <c r="B1348" s="7">
        <v>3.6005689588552298E-2</v>
      </c>
      <c r="C1348" s="7">
        <v>8.1509172207196695E-2</v>
      </c>
      <c r="D1348" s="7">
        <v>12000</v>
      </c>
      <c r="E1348" s="7" t="s">
        <v>5</v>
      </c>
      <c r="F1348" s="7">
        <v>14.33</v>
      </c>
      <c r="G1348" s="7">
        <v>0</v>
      </c>
      <c r="H1348" s="7">
        <v>14462.87</v>
      </c>
      <c r="I1348" s="7">
        <v>0</v>
      </c>
    </row>
    <row r="1349" spans="1:9" x14ac:dyDescent="0.2">
      <c r="A1349" s="7">
        <v>112623</v>
      </c>
      <c r="B1349" s="7">
        <v>3.6814955035464399E-2</v>
      </c>
      <c r="C1349" s="7">
        <v>7.4974238972806501E-2</v>
      </c>
      <c r="D1349" s="7">
        <v>3325</v>
      </c>
      <c r="E1349" s="7" t="s">
        <v>5</v>
      </c>
      <c r="F1349" s="7">
        <v>15.31</v>
      </c>
      <c r="G1349" s="7">
        <v>0</v>
      </c>
      <c r="H1349" s="7">
        <v>4022.5472059586</v>
      </c>
      <c r="I1349" s="7">
        <v>0</v>
      </c>
    </row>
    <row r="1350" spans="1:9" x14ac:dyDescent="0.2">
      <c r="A1350" s="7">
        <v>25584</v>
      </c>
      <c r="B1350" s="7">
        <v>3.0064455094446E-2</v>
      </c>
      <c r="C1350" s="7">
        <v>7.4974238972806501E-2</v>
      </c>
      <c r="D1350" s="7">
        <v>16000</v>
      </c>
      <c r="E1350" s="7" t="s">
        <v>8</v>
      </c>
      <c r="F1350" s="7">
        <v>9.99</v>
      </c>
      <c r="G1350" s="7">
        <v>0</v>
      </c>
      <c r="H1350" s="7">
        <v>18160.750000000899</v>
      </c>
      <c r="I1350" s="7">
        <v>0</v>
      </c>
    </row>
    <row r="1351" spans="1:9" x14ac:dyDescent="0.2">
      <c r="A1351" s="7">
        <v>5883</v>
      </c>
      <c r="B1351" s="7">
        <v>4.6963206525814698E-2</v>
      </c>
      <c r="C1351" s="7">
        <v>5.3944556304700297E-2</v>
      </c>
      <c r="D1351" s="7">
        <v>35000</v>
      </c>
      <c r="E1351" s="7" t="s">
        <v>5</v>
      </c>
      <c r="F1351" s="7">
        <v>15.1</v>
      </c>
      <c r="G1351" s="7">
        <v>0</v>
      </c>
      <c r="H1351" s="7">
        <v>38155.357455596699</v>
      </c>
      <c r="I1351" s="7">
        <v>0</v>
      </c>
    </row>
    <row r="1352" spans="1:9" x14ac:dyDescent="0.2">
      <c r="A1352" s="7">
        <v>43035</v>
      </c>
      <c r="B1352" s="7">
        <v>2.1700795955528401E-2</v>
      </c>
      <c r="C1352" s="7">
        <v>5.3944556304700297E-2</v>
      </c>
      <c r="D1352" s="7">
        <v>15000</v>
      </c>
      <c r="E1352" s="7" t="s">
        <v>4</v>
      </c>
      <c r="F1352" s="7">
        <v>6.62</v>
      </c>
      <c r="G1352" s="7">
        <v>0</v>
      </c>
      <c r="H1352" s="7">
        <v>16371.960005761601</v>
      </c>
      <c r="I1352" s="7">
        <v>0</v>
      </c>
    </row>
    <row r="1353" spans="1:9" x14ac:dyDescent="0.2">
      <c r="A1353" s="7">
        <v>17804</v>
      </c>
      <c r="B1353" s="7">
        <v>-2.6599451683957799E-3</v>
      </c>
      <c r="C1353" s="7">
        <v>8.1509172207196695E-2</v>
      </c>
      <c r="D1353" s="7">
        <v>10000</v>
      </c>
      <c r="E1353" s="7" t="s">
        <v>5</v>
      </c>
      <c r="F1353" s="7">
        <v>17.100000000000001</v>
      </c>
      <c r="G1353" s="7">
        <v>0</v>
      </c>
      <c r="H1353" s="7">
        <v>12440.22</v>
      </c>
      <c r="I1353" s="7">
        <v>0</v>
      </c>
    </row>
    <row r="1354" spans="1:9" x14ac:dyDescent="0.2">
      <c r="A1354" s="7">
        <v>1010</v>
      </c>
      <c r="B1354" s="7">
        <v>2.24932130824343E-2</v>
      </c>
      <c r="C1354" s="7">
        <v>8.1509172207196695E-2</v>
      </c>
      <c r="D1354" s="7">
        <v>9000</v>
      </c>
      <c r="E1354" s="7" t="s">
        <v>8</v>
      </c>
      <c r="F1354" s="7">
        <v>10.99</v>
      </c>
      <c r="G1354" s="7">
        <v>0</v>
      </c>
      <c r="H1354" s="7">
        <v>9241.4274207866001</v>
      </c>
      <c r="I1354" s="7">
        <v>0</v>
      </c>
    </row>
    <row r="1355" spans="1:9" x14ac:dyDescent="0.2">
      <c r="A1355" s="7">
        <v>2623</v>
      </c>
      <c r="B1355" s="7">
        <v>3.4891022202827998E-2</v>
      </c>
      <c r="C1355" s="7">
        <v>7.4974238972806501E-2</v>
      </c>
      <c r="D1355" s="7">
        <v>12000</v>
      </c>
      <c r="E1355" s="7" t="s">
        <v>8</v>
      </c>
      <c r="F1355" s="7">
        <v>9.67</v>
      </c>
      <c r="G1355" s="7">
        <v>0</v>
      </c>
      <c r="H1355" s="7">
        <v>13549.8899996898</v>
      </c>
      <c r="I1355" s="7">
        <v>0</v>
      </c>
    </row>
    <row r="1356" spans="1:9" x14ac:dyDescent="0.2">
      <c r="A1356" s="7">
        <v>37044</v>
      </c>
      <c r="B1356" s="7">
        <v>3.5149888309503399E-2</v>
      </c>
      <c r="C1356" s="7">
        <v>7.4974238972806501E-2</v>
      </c>
      <c r="D1356" s="7">
        <v>11000</v>
      </c>
      <c r="E1356" s="7" t="s">
        <v>8</v>
      </c>
      <c r="F1356" s="7">
        <v>12.35</v>
      </c>
      <c r="G1356" s="7">
        <v>1</v>
      </c>
      <c r="H1356" s="7">
        <v>7372.73</v>
      </c>
      <c r="I1356" s="7">
        <v>1502.33</v>
      </c>
    </row>
    <row r="1357" spans="1:9" x14ac:dyDescent="0.2">
      <c r="A1357" s="7">
        <v>86843</v>
      </c>
      <c r="B1357" s="7">
        <v>2.9547155715891199E-2</v>
      </c>
      <c r="C1357" s="7">
        <v>7.4974238972806501E-2</v>
      </c>
      <c r="D1357" s="7">
        <v>20000</v>
      </c>
      <c r="E1357" s="7" t="s">
        <v>8</v>
      </c>
      <c r="F1357" s="7">
        <v>12.12</v>
      </c>
      <c r="G1357" s="7">
        <v>0</v>
      </c>
      <c r="H1357" s="7">
        <v>23376.3700000018</v>
      </c>
      <c r="I1357" s="7">
        <v>0</v>
      </c>
    </row>
    <row r="1358" spans="1:9" x14ac:dyDescent="0.2">
      <c r="A1358" s="7">
        <v>90107</v>
      </c>
      <c r="B1358" s="7">
        <v>3.0083928425304999E-2</v>
      </c>
      <c r="C1358" s="7">
        <v>5.3944556304700297E-2</v>
      </c>
      <c r="D1358" s="7">
        <v>23200</v>
      </c>
      <c r="E1358" s="7" t="s">
        <v>4</v>
      </c>
      <c r="F1358" s="7">
        <v>7.62</v>
      </c>
      <c r="G1358" s="7">
        <v>0</v>
      </c>
      <c r="H1358" s="7">
        <v>24722.021983441002</v>
      </c>
      <c r="I1358" s="7">
        <v>0</v>
      </c>
    </row>
    <row r="1359" spans="1:9" x14ac:dyDescent="0.2">
      <c r="A1359" s="7">
        <v>124037</v>
      </c>
      <c r="B1359" s="7">
        <v>2.5109039062993198E-4</v>
      </c>
      <c r="C1359" s="7">
        <v>7.7054178620260594E-2</v>
      </c>
      <c r="D1359" s="7">
        <v>3250</v>
      </c>
      <c r="E1359" s="7" t="s">
        <v>5</v>
      </c>
      <c r="F1359" s="7">
        <v>16.29</v>
      </c>
      <c r="G1359" s="7">
        <v>1</v>
      </c>
      <c r="H1359" s="7">
        <v>1509.55</v>
      </c>
      <c r="I1359" s="7">
        <v>0</v>
      </c>
    </row>
    <row r="1360" spans="1:9" x14ac:dyDescent="0.2">
      <c r="A1360" s="7">
        <v>30074</v>
      </c>
      <c r="B1360" s="7">
        <v>-5.6988012548879101E-3</v>
      </c>
      <c r="C1360" s="7">
        <v>7.4974238972806501E-2</v>
      </c>
      <c r="D1360" s="7">
        <v>10000</v>
      </c>
      <c r="E1360" s="7" t="s">
        <v>7</v>
      </c>
      <c r="F1360" s="7">
        <v>22.7</v>
      </c>
      <c r="G1360" s="7">
        <v>0</v>
      </c>
      <c r="H1360" s="7">
        <v>13071.649999999099</v>
      </c>
      <c r="I1360" s="7">
        <v>0</v>
      </c>
    </row>
    <row r="1361" spans="1:9" x14ac:dyDescent="0.2">
      <c r="A1361" s="7">
        <v>68221</v>
      </c>
      <c r="B1361" s="7">
        <v>2.92428346782235E-2</v>
      </c>
      <c r="C1361" s="7">
        <v>7.4974238972806501E-2</v>
      </c>
      <c r="D1361" s="7">
        <v>15000</v>
      </c>
      <c r="E1361" s="7" t="s">
        <v>8</v>
      </c>
      <c r="F1361" s="7">
        <v>11.14</v>
      </c>
      <c r="G1361" s="7">
        <v>0</v>
      </c>
      <c r="H1361" s="7">
        <v>17827.170023220599</v>
      </c>
      <c r="I1361" s="7">
        <v>0</v>
      </c>
    </row>
    <row r="1362" spans="1:9" x14ac:dyDescent="0.2">
      <c r="A1362" s="7">
        <v>57384</v>
      </c>
      <c r="B1362" s="7">
        <v>3.6537417360608102E-2</v>
      </c>
      <c r="C1362" s="7">
        <v>7.4974238972806501E-2</v>
      </c>
      <c r="D1362" s="7">
        <v>12000</v>
      </c>
      <c r="E1362" s="7" t="s">
        <v>8</v>
      </c>
      <c r="F1362" s="7">
        <v>13.11</v>
      </c>
      <c r="G1362" s="7">
        <v>0</v>
      </c>
      <c r="H1362" s="7">
        <v>13550.8614696889</v>
      </c>
      <c r="I1362" s="7">
        <v>0</v>
      </c>
    </row>
    <row r="1363" spans="1:9" x14ac:dyDescent="0.2">
      <c r="A1363" s="7">
        <v>34786</v>
      </c>
      <c r="B1363" s="7">
        <v>2.3760984429145201E-2</v>
      </c>
      <c r="C1363" s="7">
        <v>8.1509172207196695E-2</v>
      </c>
      <c r="D1363" s="7">
        <v>9450</v>
      </c>
      <c r="E1363" s="7" t="s">
        <v>8</v>
      </c>
      <c r="F1363" s="7">
        <v>11.55</v>
      </c>
      <c r="G1363" s="7">
        <v>1</v>
      </c>
      <c r="H1363" s="7">
        <v>7841.64</v>
      </c>
      <c r="I1363" s="7">
        <v>672.15</v>
      </c>
    </row>
    <row r="1364" spans="1:9" x14ac:dyDescent="0.2">
      <c r="A1364" s="7">
        <v>117376</v>
      </c>
      <c r="B1364" s="7">
        <v>3.2007182207060302E-2</v>
      </c>
      <c r="C1364" s="7">
        <v>7.4974238972806501E-2</v>
      </c>
      <c r="D1364" s="7">
        <v>15000</v>
      </c>
      <c r="E1364" s="7" t="s">
        <v>8</v>
      </c>
      <c r="F1364" s="7">
        <v>14.09</v>
      </c>
      <c r="G1364" s="7">
        <v>0</v>
      </c>
      <c r="H1364" s="7">
        <v>18479.4517586566</v>
      </c>
      <c r="I1364" s="7">
        <v>0</v>
      </c>
    </row>
    <row r="1365" spans="1:9" x14ac:dyDescent="0.2">
      <c r="A1365" s="7">
        <v>109478</v>
      </c>
      <c r="B1365" s="7">
        <v>3.2177544300652103E-2</v>
      </c>
      <c r="C1365" s="7">
        <v>8.1509172207196695E-2</v>
      </c>
      <c r="D1365" s="7">
        <v>7900</v>
      </c>
      <c r="E1365" s="7" t="s">
        <v>8</v>
      </c>
      <c r="F1365" s="7">
        <v>14.09</v>
      </c>
      <c r="G1365" s="7">
        <v>0</v>
      </c>
      <c r="H1365" s="7">
        <v>9655.2000031614007</v>
      </c>
      <c r="I1365" s="7">
        <v>0</v>
      </c>
    </row>
    <row r="1366" spans="1:9" x14ac:dyDescent="0.2">
      <c r="A1366" s="7">
        <v>140692</v>
      </c>
      <c r="B1366" s="7">
        <v>2.45068691184528E-2</v>
      </c>
      <c r="C1366" s="7">
        <v>8.1509172207196695E-2</v>
      </c>
      <c r="D1366" s="7">
        <v>10000</v>
      </c>
      <c r="E1366" s="7" t="s">
        <v>4</v>
      </c>
      <c r="F1366" s="7">
        <v>6.62</v>
      </c>
      <c r="G1366" s="7">
        <v>0</v>
      </c>
      <c r="H1366" s="7">
        <v>10342.010977836901</v>
      </c>
      <c r="I1366" s="7">
        <v>0</v>
      </c>
    </row>
    <row r="1367" spans="1:9" x14ac:dyDescent="0.2">
      <c r="A1367" s="7">
        <v>67856</v>
      </c>
      <c r="B1367" s="7">
        <v>4.0538787983119197E-2</v>
      </c>
      <c r="C1367" s="7">
        <v>7.7054178620260594E-2</v>
      </c>
      <c r="D1367" s="7">
        <v>6000</v>
      </c>
      <c r="E1367" s="7" t="s">
        <v>8</v>
      </c>
      <c r="F1367" s="7">
        <v>14.09</v>
      </c>
      <c r="G1367" s="7">
        <v>0</v>
      </c>
      <c r="H1367" s="7">
        <v>6398.6243374685</v>
      </c>
      <c r="I1367" s="7">
        <v>0</v>
      </c>
    </row>
    <row r="1368" spans="1:9" x14ac:dyDescent="0.2">
      <c r="A1368" s="7">
        <v>25915</v>
      </c>
      <c r="B1368" s="7">
        <v>3.0856917047423001E-2</v>
      </c>
      <c r="C1368" s="7">
        <v>5.3944556304700297E-2</v>
      </c>
      <c r="D1368" s="7">
        <v>6000</v>
      </c>
      <c r="E1368" s="7" t="s">
        <v>4</v>
      </c>
      <c r="F1368" s="7">
        <v>6.03</v>
      </c>
      <c r="G1368" s="7">
        <v>0</v>
      </c>
      <c r="H1368" s="7">
        <v>6553.580001108</v>
      </c>
      <c r="I1368" s="7">
        <v>0</v>
      </c>
    </row>
    <row r="1369" spans="1:9" x14ac:dyDescent="0.2">
      <c r="A1369" s="7">
        <v>56772</v>
      </c>
      <c r="B1369" s="7">
        <v>3.2752658496530702E-2</v>
      </c>
      <c r="C1369" s="7">
        <v>8.1509172207196695E-2</v>
      </c>
      <c r="D1369" s="7">
        <v>1000</v>
      </c>
      <c r="E1369" s="7" t="s">
        <v>5</v>
      </c>
      <c r="F1369" s="7">
        <v>17.27</v>
      </c>
      <c r="G1369" s="7">
        <v>1</v>
      </c>
      <c r="H1369" s="7">
        <v>35.69</v>
      </c>
      <c r="I1369" s="7">
        <v>0</v>
      </c>
    </row>
    <row r="1370" spans="1:9" x14ac:dyDescent="0.2">
      <c r="A1370" s="7">
        <v>10089</v>
      </c>
      <c r="B1370" s="7">
        <v>3.09017214589241E-2</v>
      </c>
      <c r="C1370" s="7">
        <v>8.1509172207196695E-2</v>
      </c>
      <c r="D1370" s="7">
        <v>5500</v>
      </c>
      <c r="E1370" s="7" t="s">
        <v>6</v>
      </c>
      <c r="F1370" s="7">
        <v>18.55</v>
      </c>
      <c r="G1370" s="7">
        <v>0</v>
      </c>
      <c r="H1370" s="7">
        <v>6638.9699993170998</v>
      </c>
      <c r="I1370" s="7">
        <v>0</v>
      </c>
    </row>
    <row r="1371" spans="1:9" x14ac:dyDescent="0.2">
      <c r="A1371" s="7">
        <v>4342</v>
      </c>
      <c r="B1371" s="7">
        <v>3.00454520855006E-2</v>
      </c>
      <c r="C1371" s="7">
        <v>8.1509172207196695E-2</v>
      </c>
      <c r="D1371" s="7">
        <v>7000</v>
      </c>
      <c r="E1371" s="7" t="s">
        <v>6</v>
      </c>
      <c r="F1371" s="7">
        <v>16.989999999999998</v>
      </c>
      <c r="G1371" s="7">
        <v>0</v>
      </c>
      <c r="H1371" s="7">
        <v>7891.5297223304997</v>
      </c>
      <c r="I1371" s="7">
        <v>0</v>
      </c>
    </row>
    <row r="1372" spans="1:9" x14ac:dyDescent="0.2">
      <c r="A1372" s="7">
        <v>77238</v>
      </c>
      <c r="B1372" s="7">
        <v>2.2760421228928501E-2</v>
      </c>
      <c r="C1372" s="7">
        <v>8.1509172207196695E-2</v>
      </c>
      <c r="D1372" s="7">
        <v>15600</v>
      </c>
      <c r="E1372" s="7" t="s">
        <v>8</v>
      </c>
      <c r="F1372" s="7">
        <v>12.12</v>
      </c>
      <c r="G1372" s="7">
        <v>0</v>
      </c>
      <c r="H1372" s="7">
        <v>17661.501909400598</v>
      </c>
      <c r="I1372" s="7">
        <v>0</v>
      </c>
    </row>
    <row r="1373" spans="1:9" x14ac:dyDescent="0.2">
      <c r="A1373" s="7">
        <v>30574</v>
      </c>
      <c r="B1373" s="7">
        <v>2.7696985065547501E-3</v>
      </c>
      <c r="C1373" s="7">
        <v>7.7054178620260594E-2</v>
      </c>
      <c r="D1373" s="7">
        <v>18000</v>
      </c>
      <c r="E1373" s="7" t="s">
        <v>5</v>
      </c>
      <c r="F1373" s="7">
        <v>13.68</v>
      </c>
      <c r="G1373" s="7">
        <v>0</v>
      </c>
      <c r="H1373" s="7">
        <v>22663.570012128799</v>
      </c>
      <c r="I1373" s="7">
        <v>0</v>
      </c>
    </row>
    <row r="1374" spans="1:9" x14ac:dyDescent="0.2">
      <c r="A1374" s="7">
        <v>40048</v>
      </c>
      <c r="B1374" s="7">
        <v>2.1884543747715399E-2</v>
      </c>
      <c r="C1374" s="7">
        <v>8.4798680815203503E-2</v>
      </c>
      <c r="D1374" s="7">
        <v>20800</v>
      </c>
      <c r="E1374" s="7" t="s">
        <v>8</v>
      </c>
      <c r="F1374" s="7">
        <v>12.35</v>
      </c>
      <c r="G1374" s="7">
        <v>0</v>
      </c>
      <c r="H1374" s="7">
        <v>23182.397134638501</v>
      </c>
      <c r="I1374" s="7">
        <v>0</v>
      </c>
    </row>
    <row r="1375" spans="1:9" x14ac:dyDescent="0.2">
      <c r="A1375" s="7">
        <v>84937</v>
      </c>
      <c r="B1375" s="7">
        <v>1.4913656295491601E-2</v>
      </c>
      <c r="C1375" s="7">
        <v>5.3944556304700297E-2</v>
      </c>
      <c r="D1375" s="7">
        <v>21000</v>
      </c>
      <c r="E1375" s="7" t="s">
        <v>8</v>
      </c>
      <c r="F1375" s="7">
        <v>11.14</v>
      </c>
      <c r="G1375" s="7">
        <v>0</v>
      </c>
      <c r="H1375" s="7">
        <v>26465.6000076499</v>
      </c>
      <c r="I1375" s="7">
        <v>0</v>
      </c>
    </row>
    <row r="1376" spans="1:9" x14ac:dyDescent="0.2">
      <c r="A1376" s="7">
        <v>27815</v>
      </c>
      <c r="B1376" s="7">
        <v>7.5947895642904002E-3</v>
      </c>
      <c r="C1376" s="7">
        <v>8.1509172207196695E-2</v>
      </c>
      <c r="D1376" s="7">
        <v>16000</v>
      </c>
      <c r="E1376" s="7" t="s">
        <v>5</v>
      </c>
      <c r="F1376" s="7">
        <v>14.33</v>
      </c>
      <c r="G1376" s="7">
        <v>0</v>
      </c>
      <c r="H1376" s="7">
        <v>20275.8300000003</v>
      </c>
      <c r="I1376" s="7">
        <v>0</v>
      </c>
    </row>
    <row r="1377" spans="1:9" x14ac:dyDescent="0.2">
      <c r="A1377" s="7">
        <v>104701</v>
      </c>
      <c r="B1377" s="7">
        <v>3.9653170631173497E-2</v>
      </c>
      <c r="C1377" s="7">
        <v>8.1509172207196695E-2</v>
      </c>
      <c r="D1377" s="7">
        <v>17000</v>
      </c>
      <c r="E1377" s="7" t="s">
        <v>5</v>
      </c>
      <c r="F1377" s="7">
        <v>17.27</v>
      </c>
      <c r="G1377" s="7">
        <v>0</v>
      </c>
      <c r="H1377" s="7">
        <v>20807.1856432288</v>
      </c>
      <c r="I1377" s="7">
        <v>0</v>
      </c>
    </row>
    <row r="1378" spans="1:9" x14ac:dyDescent="0.2">
      <c r="A1378" s="7">
        <v>144557</v>
      </c>
      <c r="B1378" s="7">
        <v>-4.2739675089364503E-3</v>
      </c>
      <c r="C1378" s="7">
        <v>8.1509172207196695E-2</v>
      </c>
      <c r="D1378" s="7">
        <v>16000</v>
      </c>
      <c r="E1378" s="7" t="s">
        <v>6</v>
      </c>
      <c r="F1378" s="7">
        <v>16.77</v>
      </c>
      <c r="G1378" s="7">
        <v>0</v>
      </c>
      <c r="H1378" s="7">
        <v>21646.405166298799</v>
      </c>
      <c r="I1378" s="7">
        <v>0</v>
      </c>
    </row>
    <row r="1379" spans="1:9" x14ac:dyDescent="0.2">
      <c r="A1379" s="7">
        <v>9785</v>
      </c>
      <c r="B1379" s="7">
        <v>4.04789783747748E-2</v>
      </c>
      <c r="C1379" s="7">
        <v>8.1509172207196695E-2</v>
      </c>
      <c r="D1379" s="7">
        <v>1500</v>
      </c>
      <c r="E1379" s="7" t="s">
        <v>5</v>
      </c>
      <c r="F1379" s="7">
        <v>15.1</v>
      </c>
      <c r="G1379" s="7">
        <v>0</v>
      </c>
      <c r="H1379" s="7">
        <v>1591.3766599614</v>
      </c>
      <c r="I1379" s="7">
        <v>0</v>
      </c>
    </row>
    <row r="1380" spans="1:9" x14ac:dyDescent="0.2">
      <c r="A1380" s="7">
        <v>111656</v>
      </c>
      <c r="B1380" s="7">
        <v>3.2638577759642601E-2</v>
      </c>
      <c r="C1380" s="7">
        <v>7.4974238972806501E-2</v>
      </c>
      <c r="D1380" s="7">
        <v>12000</v>
      </c>
      <c r="E1380" s="7" t="s">
        <v>5</v>
      </c>
      <c r="F1380" s="7">
        <v>14.33</v>
      </c>
      <c r="G1380" s="7">
        <v>0</v>
      </c>
      <c r="H1380" s="7">
        <v>14052.4816124725</v>
      </c>
      <c r="I1380" s="7">
        <v>0</v>
      </c>
    </row>
    <row r="1381" spans="1:9" x14ac:dyDescent="0.2">
      <c r="A1381" s="7">
        <v>13642</v>
      </c>
      <c r="B1381" s="7">
        <v>4.4650519347031797E-3</v>
      </c>
      <c r="C1381" s="7">
        <v>7.7054178620260594E-2</v>
      </c>
      <c r="D1381" s="7">
        <v>19750</v>
      </c>
      <c r="E1381" s="7" t="s">
        <v>10</v>
      </c>
      <c r="F1381" s="7">
        <v>25.57</v>
      </c>
      <c r="G1381" s="7">
        <v>0</v>
      </c>
      <c r="H1381" s="7">
        <v>25756.580015610001</v>
      </c>
      <c r="I1381" s="7">
        <v>0</v>
      </c>
    </row>
    <row r="1382" spans="1:9" x14ac:dyDescent="0.2">
      <c r="A1382" s="7">
        <v>116831</v>
      </c>
      <c r="B1382" s="7">
        <v>2.9634154210945798E-2</v>
      </c>
      <c r="C1382" s="7">
        <v>8.1509172207196695E-2</v>
      </c>
      <c r="D1382" s="7">
        <v>12000</v>
      </c>
      <c r="E1382" s="7" t="s">
        <v>6</v>
      </c>
      <c r="F1382" s="7">
        <v>17.77</v>
      </c>
      <c r="G1382" s="7">
        <v>0</v>
      </c>
      <c r="H1382" s="7">
        <v>15567.9857120737</v>
      </c>
      <c r="I1382" s="7">
        <v>0</v>
      </c>
    </row>
    <row r="1383" spans="1:9" x14ac:dyDescent="0.2">
      <c r="A1383" s="7">
        <v>89180</v>
      </c>
      <c r="B1383" s="7">
        <v>3.3866621716098097E-2</v>
      </c>
      <c r="C1383" s="7">
        <v>7.7054178620260594E-2</v>
      </c>
      <c r="D1383" s="7">
        <v>14775</v>
      </c>
      <c r="E1383" s="7" t="s">
        <v>8</v>
      </c>
      <c r="F1383" s="7">
        <v>13.11</v>
      </c>
      <c r="G1383" s="7">
        <v>0</v>
      </c>
      <c r="H1383" s="7">
        <v>17898.070011237</v>
      </c>
      <c r="I1383" s="7">
        <v>0</v>
      </c>
    </row>
    <row r="1384" spans="1:9" x14ac:dyDescent="0.2">
      <c r="A1384" s="7">
        <v>44108</v>
      </c>
      <c r="B1384" s="7">
        <v>5.5213410517240399E-3</v>
      </c>
      <c r="C1384" s="7">
        <v>8.4798680815203503E-2</v>
      </c>
      <c r="D1384" s="7">
        <v>19200</v>
      </c>
      <c r="E1384" s="7" t="s">
        <v>5</v>
      </c>
      <c r="F1384" s="7">
        <v>15.88</v>
      </c>
      <c r="G1384" s="7">
        <v>1</v>
      </c>
      <c r="H1384" s="7">
        <v>7901.23</v>
      </c>
      <c r="I1384" s="7">
        <v>2320.9299999999998</v>
      </c>
    </row>
    <row r="1385" spans="1:9" x14ac:dyDescent="0.2">
      <c r="A1385" s="7">
        <v>43715</v>
      </c>
      <c r="B1385" s="7">
        <v>3.3193411355311599E-2</v>
      </c>
      <c r="C1385" s="7">
        <v>8.1509172207196695E-2</v>
      </c>
      <c r="D1385" s="7">
        <v>12000</v>
      </c>
      <c r="E1385" s="7" t="s">
        <v>8</v>
      </c>
      <c r="F1385" s="7">
        <v>11.55</v>
      </c>
      <c r="G1385" s="7">
        <v>0</v>
      </c>
      <c r="H1385" s="7">
        <v>14219.13</v>
      </c>
      <c r="I1385" s="7">
        <v>0</v>
      </c>
    </row>
    <row r="1386" spans="1:9" x14ac:dyDescent="0.2">
      <c r="A1386" s="7">
        <v>25008</v>
      </c>
      <c r="B1386" s="7">
        <v>2.5317525864021698E-2</v>
      </c>
      <c r="C1386" s="7">
        <v>7.7054178620260594E-2</v>
      </c>
      <c r="D1386" s="7">
        <v>6250</v>
      </c>
      <c r="E1386" s="7" t="s">
        <v>5</v>
      </c>
      <c r="F1386" s="7">
        <v>15.61</v>
      </c>
      <c r="G1386" s="7">
        <v>0</v>
      </c>
      <c r="H1386" s="7">
        <v>7151.1199999997998</v>
      </c>
      <c r="I1386" s="7">
        <v>0</v>
      </c>
    </row>
    <row r="1387" spans="1:9" x14ac:dyDescent="0.2">
      <c r="A1387" s="7">
        <v>69374</v>
      </c>
      <c r="B1387" s="7">
        <v>2.5171157083773502E-2</v>
      </c>
      <c r="C1387" s="7">
        <v>7.4974238972806501E-2</v>
      </c>
      <c r="D1387" s="7">
        <v>10000</v>
      </c>
      <c r="E1387" s="7" t="s">
        <v>4</v>
      </c>
      <c r="F1387" s="7">
        <v>8.9</v>
      </c>
      <c r="G1387" s="7">
        <v>0</v>
      </c>
      <c r="H1387" s="7">
        <v>10602.1125313259</v>
      </c>
      <c r="I1387" s="7">
        <v>0</v>
      </c>
    </row>
    <row r="1388" spans="1:9" x14ac:dyDescent="0.2">
      <c r="A1388" s="7">
        <v>142732</v>
      </c>
      <c r="B1388" s="7">
        <v>-4.7100736646315498E-3</v>
      </c>
      <c r="C1388" s="7">
        <v>8.1509172207196695E-2</v>
      </c>
      <c r="D1388" s="7">
        <v>16425</v>
      </c>
      <c r="E1388" s="7" t="s">
        <v>5</v>
      </c>
      <c r="F1388" s="7">
        <v>13.49</v>
      </c>
      <c r="G1388" s="7">
        <v>1</v>
      </c>
      <c r="H1388" s="7">
        <v>753.56</v>
      </c>
      <c r="I1388" s="7">
        <v>0</v>
      </c>
    </row>
    <row r="1389" spans="1:9" x14ac:dyDescent="0.2">
      <c r="A1389" s="7">
        <v>2919</v>
      </c>
      <c r="B1389" s="7">
        <v>2.8890146429448298E-2</v>
      </c>
      <c r="C1389" s="7">
        <v>7.4974238972806501E-2</v>
      </c>
      <c r="D1389" s="7">
        <v>10800</v>
      </c>
      <c r="E1389" s="7" t="s">
        <v>5</v>
      </c>
      <c r="F1389" s="7">
        <v>14.47</v>
      </c>
      <c r="G1389" s="7">
        <v>0</v>
      </c>
      <c r="H1389" s="7">
        <v>12324.279999542299</v>
      </c>
      <c r="I1389" s="7">
        <v>0</v>
      </c>
    </row>
    <row r="1390" spans="1:9" x14ac:dyDescent="0.2">
      <c r="A1390" s="7">
        <v>55511</v>
      </c>
      <c r="B1390" s="7">
        <v>5.2540332453521903E-2</v>
      </c>
      <c r="C1390" s="7">
        <v>7.4974238972806501E-2</v>
      </c>
      <c r="D1390" s="7">
        <v>6000</v>
      </c>
      <c r="E1390" s="7" t="s">
        <v>5</v>
      </c>
      <c r="F1390" s="7">
        <v>17.27</v>
      </c>
      <c r="G1390" s="7">
        <v>0</v>
      </c>
      <c r="H1390" s="7">
        <v>6637.6665991577001</v>
      </c>
      <c r="I1390" s="7">
        <v>0</v>
      </c>
    </row>
    <row r="1391" spans="1:9" x14ac:dyDescent="0.2">
      <c r="A1391" s="7">
        <v>134375</v>
      </c>
      <c r="B1391" s="7">
        <v>2.6150556815079801E-2</v>
      </c>
      <c r="C1391" s="7">
        <v>5.3944556304700297E-2</v>
      </c>
      <c r="D1391" s="7">
        <v>20000</v>
      </c>
      <c r="E1391" s="7" t="s">
        <v>4</v>
      </c>
      <c r="F1391" s="7">
        <v>7.62</v>
      </c>
      <c r="G1391" s="7">
        <v>0</v>
      </c>
      <c r="H1391" s="7">
        <v>22436.169999994701</v>
      </c>
      <c r="I1391" s="7">
        <v>0</v>
      </c>
    </row>
    <row r="1392" spans="1:9" x14ac:dyDescent="0.2">
      <c r="A1392" s="7">
        <v>3096</v>
      </c>
      <c r="B1392" s="7">
        <v>3.29110885034564E-2</v>
      </c>
      <c r="C1392" s="7">
        <v>7.4974238972806501E-2</v>
      </c>
      <c r="D1392" s="7">
        <v>10200</v>
      </c>
      <c r="E1392" s="7" t="s">
        <v>8</v>
      </c>
      <c r="F1392" s="7">
        <v>9.67</v>
      </c>
      <c r="G1392" s="7">
        <v>0</v>
      </c>
      <c r="H1392" s="7">
        <v>11416.0200001216</v>
      </c>
      <c r="I1392" s="7">
        <v>0</v>
      </c>
    </row>
    <row r="1393" spans="1:9" x14ac:dyDescent="0.2">
      <c r="A1393" s="7">
        <v>30985</v>
      </c>
      <c r="B1393" s="7">
        <v>2.9573352900645701E-2</v>
      </c>
      <c r="C1393" s="7">
        <v>8.1509172207196695E-2</v>
      </c>
      <c r="D1393" s="7">
        <v>4750</v>
      </c>
      <c r="E1393" s="7" t="s">
        <v>5</v>
      </c>
      <c r="F1393" s="7">
        <v>15.88</v>
      </c>
      <c r="G1393" s="7">
        <v>0</v>
      </c>
      <c r="H1393" s="7">
        <v>5755.7000004022002</v>
      </c>
      <c r="I1393" s="7">
        <v>0</v>
      </c>
    </row>
    <row r="1394" spans="1:9" x14ac:dyDescent="0.2">
      <c r="A1394" s="7">
        <v>106822</v>
      </c>
      <c r="B1394" s="7">
        <v>2.8787339326101301E-2</v>
      </c>
      <c r="C1394" s="7">
        <v>8.1509172207196695E-2</v>
      </c>
      <c r="D1394" s="7">
        <v>4000</v>
      </c>
      <c r="E1394" s="7" t="s">
        <v>8</v>
      </c>
      <c r="F1394" s="7">
        <v>14.09</v>
      </c>
      <c r="G1394" s="7">
        <v>0</v>
      </c>
      <c r="H1394" s="7">
        <v>4504.5800000012996</v>
      </c>
      <c r="I1394" s="7">
        <v>0</v>
      </c>
    </row>
    <row r="1395" spans="1:9" x14ac:dyDescent="0.2">
      <c r="A1395" s="7">
        <v>57179</v>
      </c>
      <c r="B1395" s="7">
        <v>1.0932607383029899E-3</v>
      </c>
      <c r="C1395" s="7">
        <v>8.4798680815203503E-2</v>
      </c>
      <c r="D1395" s="7">
        <v>35000</v>
      </c>
      <c r="E1395" s="7" t="s">
        <v>10</v>
      </c>
      <c r="F1395" s="7">
        <v>22.95</v>
      </c>
      <c r="G1395" s="7">
        <v>1</v>
      </c>
      <c r="H1395" s="7">
        <v>18116.55</v>
      </c>
      <c r="I1395" s="7">
        <v>4326.13</v>
      </c>
    </row>
    <row r="1396" spans="1:9" x14ac:dyDescent="0.2">
      <c r="A1396" s="7">
        <v>129522</v>
      </c>
      <c r="B1396" s="7">
        <v>1.2902193612132899E-2</v>
      </c>
      <c r="C1396" s="7">
        <v>5.3944556304700297E-2</v>
      </c>
      <c r="D1396" s="7">
        <v>30800</v>
      </c>
      <c r="E1396" s="7" t="s">
        <v>4</v>
      </c>
      <c r="F1396" s="7">
        <v>7.9</v>
      </c>
      <c r="G1396" s="7">
        <v>0</v>
      </c>
      <c r="H1396" s="7">
        <v>34694.632821185798</v>
      </c>
      <c r="I1396" s="7">
        <v>0</v>
      </c>
    </row>
    <row r="1397" spans="1:9" x14ac:dyDescent="0.2">
      <c r="A1397" s="7">
        <v>25251</v>
      </c>
      <c r="B1397" s="7">
        <v>9.9615534784623801E-4</v>
      </c>
      <c r="C1397" s="7">
        <v>8.4798680815203503E-2</v>
      </c>
      <c r="D1397" s="7">
        <v>20000</v>
      </c>
      <c r="E1397" s="7" t="s">
        <v>5</v>
      </c>
      <c r="F1397" s="7">
        <v>15.61</v>
      </c>
      <c r="G1397" s="7">
        <v>1</v>
      </c>
      <c r="H1397" s="7">
        <v>11074.76</v>
      </c>
      <c r="I1397" s="7">
        <v>1912.69</v>
      </c>
    </row>
    <row r="1398" spans="1:9" x14ac:dyDescent="0.2">
      <c r="A1398" s="7">
        <v>139920</v>
      </c>
      <c r="B1398" s="7">
        <v>4.1481806960318897E-2</v>
      </c>
      <c r="C1398" s="7">
        <v>7.4974238972806501E-2</v>
      </c>
      <c r="D1398" s="7">
        <v>10000</v>
      </c>
      <c r="E1398" s="7" t="s">
        <v>6</v>
      </c>
      <c r="F1398" s="7">
        <v>17.27</v>
      </c>
      <c r="G1398" s="7">
        <v>0</v>
      </c>
      <c r="H1398" s="7">
        <v>12883.3299999969</v>
      </c>
      <c r="I1398" s="7">
        <v>0</v>
      </c>
    </row>
    <row r="1399" spans="1:9" x14ac:dyDescent="0.2">
      <c r="A1399" s="7">
        <v>133015</v>
      </c>
      <c r="B1399" s="7">
        <v>3.2273009736673103E-2</v>
      </c>
      <c r="C1399" s="7">
        <v>8.1509172207196695E-2</v>
      </c>
      <c r="D1399" s="7">
        <v>2000</v>
      </c>
      <c r="E1399" s="7" t="s">
        <v>8</v>
      </c>
      <c r="F1399" s="7">
        <v>13.11</v>
      </c>
      <c r="G1399" s="7">
        <v>0</v>
      </c>
      <c r="H1399" s="7">
        <v>2416.5500000000002</v>
      </c>
      <c r="I1399" s="7">
        <v>0</v>
      </c>
    </row>
    <row r="1400" spans="1:9" x14ac:dyDescent="0.2">
      <c r="A1400" s="7">
        <v>35766</v>
      </c>
      <c r="B1400" s="7">
        <v>2.89422351940005E-2</v>
      </c>
      <c r="C1400" s="7">
        <v>7.4974238972806501E-2</v>
      </c>
      <c r="D1400" s="7">
        <v>6000</v>
      </c>
      <c r="E1400" s="7" t="s">
        <v>8</v>
      </c>
      <c r="F1400" s="7">
        <v>11.55</v>
      </c>
      <c r="G1400" s="7">
        <v>0</v>
      </c>
      <c r="H1400" s="7">
        <v>6275.2912195947001</v>
      </c>
      <c r="I1400" s="7">
        <v>0</v>
      </c>
    </row>
    <row r="1401" spans="1:9" x14ac:dyDescent="0.2">
      <c r="A1401" s="7">
        <v>9917</v>
      </c>
      <c r="B1401" s="7">
        <v>1.43611731954995E-2</v>
      </c>
      <c r="C1401" s="7">
        <v>8.4798680815203503E-2</v>
      </c>
      <c r="D1401" s="7">
        <v>35000</v>
      </c>
      <c r="E1401" s="7" t="s">
        <v>6</v>
      </c>
      <c r="F1401" s="7">
        <v>18.55</v>
      </c>
      <c r="G1401" s="7">
        <v>0</v>
      </c>
      <c r="H1401" s="7">
        <v>47862.5</v>
      </c>
      <c r="I1401" s="7">
        <v>0</v>
      </c>
    </row>
    <row r="1402" spans="1:9" x14ac:dyDescent="0.2">
      <c r="A1402" s="7">
        <v>104057</v>
      </c>
      <c r="B1402" s="7">
        <v>2.1950040963649799E-2</v>
      </c>
      <c r="C1402" s="7">
        <v>5.3944556304700297E-2</v>
      </c>
      <c r="D1402" s="7">
        <v>22000</v>
      </c>
      <c r="E1402" s="7" t="s">
        <v>4</v>
      </c>
      <c r="F1402" s="7">
        <v>7.62</v>
      </c>
      <c r="G1402" s="7">
        <v>0</v>
      </c>
      <c r="H1402" s="7">
        <v>24679.7967610739</v>
      </c>
      <c r="I1402" s="7">
        <v>0</v>
      </c>
    </row>
    <row r="1403" spans="1:9" x14ac:dyDescent="0.2">
      <c r="A1403" s="7">
        <v>7721</v>
      </c>
      <c r="B1403" s="7">
        <v>2.5151582099100199E-2</v>
      </c>
      <c r="C1403" s="7">
        <v>8.1509172207196695E-2</v>
      </c>
      <c r="D1403" s="7">
        <v>7300</v>
      </c>
      <c r="E1403" s="7" t="s">
        <v>7</v>
      </c>
      <c r="F1403" s="7">
        <v>23.1</v>
      </c>
      <c r="G1403" s="7">
        <v>0</v>
      </c>
      <c r="H1403" s="7">
        <v>8590.0599989665006</v>
      </c>
      <c r="I1403" s="7">
        <v>0</v>
      </c>
    </row>
    <row r="1404" spans="1:9" x14ac:dyDescent="0.2">
      <c r="A1404" s="7">
        <v>111496</v>
      </c>
      <c r="B1404" s="7">
        <v>2.1617250116039901E-2</v>
      </c>
      <c r="C1404" s="7">
        <v>8.1509172207196695E-2</v>
      </c>
      <c r="D1404" s="7">
        <v>17500</v>
      </c>
      <c r="E1404" s="7" t="s">
        <v>8</v>
      </c>
      <c r="F1404" s="7">
        <v>14.09</v>
      </c>
      <c r="G1404" s="7">
        <v>0</v>
      </c>
      <c r="H1404" s="7">
        <v>19340.541025973002</v>
      </c>
      <c r="I1404" s="7">
        <v>0</v>
      </c>
    </row>
    <row r="1405" spans="1:9" x14ac:dyDescent="0.2">
      <c r="A1405" s="7">
        <v>124102</v>
      </c>
      <c r="B1405" s="7">
        <v>2.5075057439946601E-2</v>
      </c>
      <c r="C1405" s="7">
        <v>5.3944556304700297E-2</v>
      </c>
      <c r="D1405" s="7">
        <v>12000</v>
      </c>
      <c r="E1405" s="7" t="s">
        <v>4</v>
      </c>
      <c r="F1405" s="7">
        <v>6.03</v>
      </c>
      <c r="G1405" s="7">
        <v>0</v>
      </c>
      <c r="H1405" s="7">
        <v>12487.459848986</v>
      </c>
      <c r="I1405" s="7">
        <v>0</v>
      </c>
    </row>
    <row r="1406" spans="1:9" x14ac:dyDescent="0.2">
      <c r="A1406" s="7">
        <v>63104</v>
      </c>
      <c r="B1406" s="7">
        <v>3.6080466950077203E-2</v>
      </c>
      <c r="C1406" s="7">
        <v>8.1509172207196695E-2</v>
      </c>
      <c r="D1406" s="7">
        <v>7000</v>
      </c>
      <c r="E1406" s="7" t="s">
        <v>6</v>
      </c>
      <c r="F1406" s="7">
        <v>19.05</v>
      </c>
      <c r="G1406" s="7">
        <v>0</v>
      </c>
      <c r="H1406" s="7">
        <v>9243.6783562251003</v>
      </c>
      <c r="I1406" s="7">
        <v>0</v>
      </c>
    </row>
    <row r="1407" spans="1:9" x14ac:dyDescent="0.2">
      <c r="A1407" s="7">
        <v>65545</v>
      </c>
      <c r="B1407" s="7">
        <v>2.4046952370212801E-2</v>
      </c>
      <c r="C1407" s="7">
        <v>7.4974238972806501E-2</v>
      </c>
      <c r="D1407" s="7">
        <v>9500</v>
      </c>
      <c r="E1407" s="7" t="s">
        <v>6</v>
      </c>
      <c r="F1407" s="7">
        <v>18.489999999999998</v>
      </c>
      <c r="G1407" s="7">
        <v>1</v>
      </c>
      <c r="H1407" s="7">
        <v>3798.38</v>
      </c>
      <c r="I1407" s="7">
        <v>0</v>
      </c>
    </row>
    <row r="1408" spans="1:9" x14ac:dyDescent="0.2">
      <c r="A1408" s="7">
        <v>102924</v>
      </c>
      <c r="B1408" s="7">
        <v>3.9317854825541003E-2</v>
      </c>
      <c r="C1408" s="7">
        <v>5.3944556304700297E-2</v>
      </c>
      <c r="D1408" s="7">
        <v>12000</v>
      </c>
      <c r="E1408" s="7" t="s">
        <v>8</v>
      </c>
      <c r="F1408" s="7">
        <v>11.14</v>
      </c>
      <c r="G1408" s="7">
        <v>0</v>
      </c>
      <c r="H1408" s="7">
        <v>13854.0833648766</v>
      </c>
      <c r="I1408" s="7">
        <v>0</v>
      </c>
    </row>
    <row r="1409" spans="1:9" x14ac:dyDescent="0.2">
      <c r="A1409" s="7">
        <v>72774</v>
      </c>
      <c r="B1409" s="7">
        <v>2.8015882543336899E-2</v>
      </c>
      <c r="C1409" s="7">
        <v>8.1509172207196695E-2</v>
      </c>
      <c r="D1409" s="7">
        <v>5000</v>
      </c>
      <c r="E1409" s="7" t="s">
        <v>7</v>
      </c>
      <c r="F1409" s="7">
        <v>21</v>
      </c>
      <c r="G1409" s="7">
        <v>0</v>
      </c>
      <c r="H1409" s="7">
        <v>6584.9100000004</v>
      </c>
      <c r="I1409" s="7">
        <v>0</v>
      </c>
    </row>
    <row r="1410" spans="1:9" x14ac:dyDescent="0.2">
      <c r="A1410" s="7">
        <v>3450</v>
      </c>
      <c r="B1410" s="7">
        <v>2.2410692840897601E-2</v>
      </c>
      <c r="C1410" s="7">
        <v>7.7054178620260594E-2</v>
      </c>
      <c r="D1410" s="7">
        <v>9750</v>
      </c>
      <c r="E1410" s="7" t="s">
        <v>5</v>
      </c>
      <c r="F1410" s="7">
        <v>13.98</v>
      </c>
      <c r="G1410" s="7">
        <v>0</v>
      </c>
      <c r="H1410" s="7">
        <v>11344.920002234699</v>
      </c>
      <c r="I1410" s="7">
        <v>0</v>
      </c>
    </row>
    <row r="1411" spans="1:9" x14ac:dyDescent="0.2">
      <c r="A1411" s="7">
        <v>113328</v>
      </c>
      <c r="B1411" s="7">
        <v>4.4528099766293197E-2</v>
      </c>
      <c r="C1411" s="7">
        <v>8.1509172207196695E-2</v>
      </c>
      <c r="D1411" s="7">
        <v>5700</v>
      </c>
      <c r="E1411" s="7" t="s">
        <v>8</v>
      </c>
      <c r="F1411" s="7">
        <v>13.11</v>
      </c>
      <c r="G1411" s="7">
        <v>0</v>
      </c>
      <c r="H1411" s="7">
        <v>6924.8578099164997</v>
      </c>
      <c r="I1411" s="7">
        <v>0</v>
      </c>
    </row>
    <row r="1412" spans="1:9" x14ac:dyDescent="0.2">
      <c r="A1412" s="7">
        <v>119268</v>
      </c>
      <c r="B1412" s="7">
        <v>2.77066930222436E-2</v>
      </c>
      <c r="C1412" s="7">
        <v>8.1509172207196695E-2</v>
      </c>
      <c r="D1412" s="7">
        <v>6350</v>
      </c>
      <c r="E1412" s="7" t="s">
        <v>5</v>
      </c>
      <c r="F1412" s="7">
        <v>14.33</v>
      </c>
      <c r="G1412" s="7">
        <v>1</v>
      </c>
      <c r="H1412" s="7">
        <v>4241.22</v>
      </c>
      <c r="I1412" s="7">
        <v>536.16</v>
      </c>
    </row>
    <row r="1413" spans="1:9" x14ac:dyDescent="0.2">
      <c r="A1413" s="7">
        <v>102512</v>
      </c>
      <c r="B1413" s="7">
        <v>4.83384541672328E-2</v>
      </c>
      <c r="C1413" s="7">
        <v>5.3944556304700297E-2</v>
      </c>
      <c r="D1413" s="7">
        <v>11500</v>
      </c>
      <c r="E1413" s="7" t="s">
        <v>5</v>
      </c>
      <c r="F1413" s="7">
        <v>15.31</v>
      </c>
      <c r="G1413" s="7">
        <v>1</v>
      </c>
      <c r="H1413" s="7">
        <v>2587.15</v>
      </c>
      <c r="I1413" s="7">
        <v>585.65</v>
      </c>
    </row>
    <row r="1414" spans="1:9" x14ac:dyDescent="0.2">
      <c r="A1414" s="7">
        <v>30132</v>
      </c>
      <c r="B1414" s="7">
        <v>2.94403691032624E-2</v>
      </c>
      <c r="C1414" s="7">
        <v>8.4798680815203503E-2</v>
      </c>
      <c r="D1414" s="7">
        <v>16000</v>
      </c>
      <c r="E1414" s="7" t="s">
        <v>6</v>
      </c>
      <c r="F1414" s="7">
        <v>18.850000000000001</v>
      </c>
      <c r="G1414" s="7">
        <v>1</v>
      </c>
      <c r="H1414" s="7">
        <v>9757.25</v>
      </c>
      <c r="I1414" s="7">
        <v>1565.39</v>
      </c>
    </row>
    <row r="1415" spans="1:9" x14ac:dyDescent="0.2">
      <c r="A1415" s="7">
        <v>28277</v>
      </c>
      <c r="B1415" s="7">
        <v>3.8877795681198202E-2</v>
      </c>
      <c r="C1415" s="7">
        <v>7.4974238972806501E-2</v>
      </c>
      <c r="D1415" s="7">
        <v>8925</v>
      </c>
      <c r="E1415" s="7" t="s">
        <v>6</v>
      </c>
      <c r="F1415" s="7">
        <v>17.559999999999999</v>
      </c>
      <c r="G1415" s="7">
        <v>0</v>
      </c>
      <c r="H1415" s="7">
        <v>11094.689999566101</v>
      </c>
      <c r="I1415" s="7">
        <v>0</v>
      </c>
    </row>
    <row r="1416" spans="1:9" x14ac:dyDescent="0.2">
      <c r="A1416" s="7">
        <v>74413</v>
      </c>
      <c r="B1416" s="7">
        <v>3.3387180053813699E-2</v>
      </c>
      <c r="C1416" s="7">
        <v>7.4974238972806501E-2</v>
      </c>
      <c r="D1416" s="7">
        <v>10500</v>
      </c>
      <c r="E1416" s="7" t="s">
        <v>5</v>
      </c>
      <c r="F1416" s="7">
        <v>17.27</v>
      </c>
      <c r="G1416" s="7">
        <v>0</v>
      </c>
      <c r="H1416" s="7">
        <v>13515.16</v>
      </c>
      <c r="I1416" s="7">
        <v>0</v>
      </c>
    </row>
    <row r="1417" spans="1:9" x14ac:dyDescent="0.2">
      <c r="A1417" s="7">
        <v>14970</v>
      </c>
      <c r="B1417" s="7">
        <v>-1.5242187897802201E-3</v>
      </c>
      <c r="C1417" s="7">
        <v>8.1509172207196695E-2</v>
      </c>
      <c r="D1417" s="7">
        <v>10000</v>
      </c>
      <c r="E1417" s="7" t="s">
        <v>5</v>
      </c>
      <c r="F1417" s="7">
        <v>15.61</v>
      </c>
      <c r="G1417" s="7">
        <v>0</v>
      </c>
      <c r="H1417" s="7">
        <v>12375.960000000699</v>
      </c>
      <c r="I1417" s="7">
        <v>0</v>
      </c>
    </row>
    <row r="1418" spans="1:9" x14ac:dyDescent="0.2">
      <c r="A1418" s="7">
        <v>3666</v>
      </c>
      <c r="B1418" s="7">
        <v>4.13965632543776E-2</v>
      </c>
      <c r="C1418" s="7">
        <v>7.4974238972806501E-2</v>
      </c>
      <c r="D1418" s="7">
        <v>15000</v>
      </c>
      <c r="E1418" s="7" t="s">
        <v>5</v>
      </c>
      <c r="F1418" s="7">
        <v>14.47</v>
      </c>
      <c r="G1418" s="7">
        <v>0</v>
      </c>
      <c r="H1418" s="7">
        <v>18060.560007348799</v>
      </c>
      <c r="I1418" s="7">
        <v>0</v>
      </c>
    </row>
    <row r="1419" spans="1:9" x14ac:dyDescent="0.2">
      <c r="A1419" s="7">
        <v>138040</v>
      </c>
      <c r="B1419" s="7">
        <v>-2.87945806225377E-3</v>
      </c>
      <c r="C1419" s="7">
        <v>7.4974238972806501E-2</v>
      </c>
      <c r="D1419" s="7">
        <v>4000</v>
      </c>
      <c r="E1419" s="7" t="s">
        <v>5</v>
      </c>
      <c r="F1419" s="7">
        <v>13.99</v>
      </c>
      <c r="G1419" s="7">
        <v>1</v>
      </c>
      <c r="H1419" s="7">
        <v>2280.4899999999998</v>
      </c>
      <c r="I1419" s="7">
        <v>419.29</v>
      </c>
    </row>
    <row r="1420" spans="1:9" x14ac:dyDescent="0.2">
      <c r="A1420" s="7">
        <v>90540</v>
      </c>
      <c r="B1420" s="7">
        <v>3.1256557440258202E-2</v>
      </c>
      <c r="C1420" s="7">
        <v>7.4974238972806501E-2</v>
      </c>
      <c r="D1420" s="7">
        <v>15975</v>
      </c>
      <c r="E1420" s="7" t="s">
        <v>8</v>
      </c>
      <c r="F1420" s="7">
        <v>12.12</v>
      </c>
      <c r="G1420" s="7">
        <v>0</v>
      </c>
      <c r="H1420" s="7">
        <v>18889.7599956208</v>
      </c>
      <c r="I1420" s="7">
        <v>0</v>
      </c>
    </row>
    <row r="1421" spans="1:9" x14ac:dyDescent="0.2">
      <c r="A1421" s="7">
        <v>31006</v>
      </c>
      <c r="B1421" s="7">
        <v>2.99964526437984E-2</v>
      </c>
      <c r="C1421" s="7">
        <v>8.1509172207196695E-2</v>
      </c>
      <c r="D1421" s="7">
        <v>10000</v>
      </c>
      <c r="E1421" s="7" t="s">
        <v>6</v>
      </c>
      <c r="F1421" s="7">
        <v>18.25</v>
      </c>
      <c r="G1421" s="7">
        <v>0</v>
      </c>
      <c r="H1421" s="7">
        <v>12951.88</v>
      </c>
      <c r="I1421" s="7">
        <v>0</v>
      </c>
    </row>
    <row r="1422" spans="1:9" x14ac:dyDescent="0.2">
      <c r="A1422" s="7">
        <v>4552</v>
      </c>
      <c r="B1422" s="7">
        <v>3.9156841232760399E-2</v>
      </c>
      <c r="C1422" s="7">
        <v>8.1509172207196695E-2</v>
      </c>
      <c r="D1422" s="7">
        <v>10000</v>
      </c>
      <c r="E1422" s="7" t="s">
        <v>8</v>
      </c>
      <c r="F1422" s="7">
        <v>13.53</v>
      </c>
      <c r="G1422" s="7">
        <v>0</v>
      </c>
      <c r="H1422" s="7">
        <v>11611.623329284899</v>
      </c>
      <c r="I1422" s="7">
        <v>0</v>
      </c>
    </row>
    <row r="1423" spans="1:9" x14ac:dyDescent="0.2">
      <c r="A1423" s="7">
        <v>80643</v>
      </c>
      <c r="B1423" s="7">
        <v>1.34558696561247E-2</v>
      </c>
      <c r="C1423" s="7">
        <v>8.1509172207196695E-2</v>
      </c>
      <c r="D1423" s="7">
        <v>12000</v>
      </c>
      <c r="E1423" s="7" t="s">
        <v>6</v>
      </c>
      <c r="F1423" s="7">
        <v>18.75</v>
      </c>
      <c r="G1423" s="7">
        <v>1</v>
      </c>
      <c r="H1423" s="7">
        <v>1535.37</v>
      </c>
      <c r="I1423" s="7">
        <v>659.95</v>
      </c>
    </row>
    <row r="1424" spans="1:9" x14ac:dyDescent="0.2">
      <c r="A1424" s="7">
        <v>49669</v>
      </c>
      <c r="B1424" s="7">
        <v>2.38277967021173E-2</v>
      </c>
      <c r="C1424" s="7">
        <v>7.7054178620260594E-2</v>
      </c>
      <c r="D1424" s="7">
        <v>8000</v>
      </c>
      <c r="E1424" s="7" t="s">
        <v>8</v>
      </c>
      <c r="F1424" s="7">
        <v>11.14</v>
      </c>
      <c r="G1424" s="7">
        <v>0</v>
      </c>
      <c r="H1424" s="7">
        <v>9341.0500000029006</v>
      </c>
      <c r="I1424" s="7">
        <v>0</v>
      </c>
    </row>
    <row r="1425" spans="1:9" x14ac:dyDescent="0.2">
      <c r="A1425" s="7">
        <v>4095</v>
      </c>
      <c r="B1425" s="7">
        <v>3.1455354783433802E-2</v>
      </c>
      <c r="C1425" s="7">
        <v>7.4974238972806501E-2</v>
      </c>
      <c r="D1425" s="7">
        <v>9600</v>
      </c>
      <c r="E1425" s="7" t="s">
        <v>8</v>
      </c>
      <c r="F1425" s="7">
        <v>13.53</v>
      </c>
      <c r="G1425" s="7">
        <v>0</v>
      </c>
      <c r="H1425" s="7">
        <v>11153.210003468301</v>
      </c>
      <c r="I1425" s="7">
        <v>0</v>
      </c>
    </row>
    <row r="1426" spans="1:9" x14ac:dyDescent="0.2">
      <c r="A1426" s="7">
        <v>36647</v>
      </c>
      <c r="B1426" s="7">
        <v>2.05376646247067E-2</v>
      </c>
      <c r="C1426" s="7">
        <v>7.4974238972806501E-2</v>
      </c>
      <c r="D1426" s="7">
        <v>13150</v>
      </c>
      <c r="E1426" s="7" t="s">
        <v>4</v>
      </c>
      <c r="F1426" s="7">
        <v>8.9</v>
      </c>
      <c r="G1426" s="7">
        <v>0</v>
      </c>
      <c r="H1426" s="7">
        <v>13249.198649444101</v>
      </c>
      <c r="I1426" s="7">
        <v>0</v>
      </c>
    </row>
    <row r="1427" spans="1:9" x14ac:dyDescent="0.2">
      <c r="A1427" s="7">
        <v>140240</v>
      </c>
      <c r="B1427" s="7">
        <v>1.72534091352863E-2</v>
      </c>
      <c r="C1427" s="7">
        <v>8.1509172207196695E-2</v>
      </c>
      <c r="D1427" s="7">
        <v>14400</v>
      </c>
      <c r="E1427" s="7" t="s">
        <v>4</v>
      </c>
      <c r="F1427" s="7">
        <v>8.9</v>
      </c>
      <c r="G1427" s="7">
        <v>0</v>
      </c>
      <c r="H1427" s="7">
        <v>16459.059996297401</v>
      </c>
      <c r="I1427" s="7">
        <v>0</v>
      </c>
    </row>
    <row r="1428" spans="1:9" x14ac:dyDescent="0.2">
      <c r="A1428" s="7">
        <v>88097</v>
      </c>
      <c r="B1428" s="7">
        <v>2.4284865569948001E-2</v>
      </c>
      <c r="C1428" s="7">
        <v>7.4974238972806501E-2</v>
      </c>
      <c r="D1428" s="7">
        <v>15000</v>
      </c>
      <c r="E1428" s="7" t="s">
        <v>4</v>
      </c>
      <c r="F1428" s="7">
        <v>6.03</v>
      </c>
      <c r="G1428" s="7">
        <v>0</v>
      </c>
      <c r="H1428" s="7">
        <v>16342.550002149401</v>
      </c>
      <c r="I1428" s="7">
        <v>0</v>
      </c>
    </row>
    <row r="1429" spans="1:9" x14ac:dyDescent="0.2">
      <c r="A1429" s="7">
        <v>103264</v>
      </c>
      <c r="B1429" s="7">
        <v>-3.1829220893725002E-3</v>
      </c>
      <c r="C1429" s="7">
        <v>7.4974238972806501E-2</v>
      </c>
      <c r="D1429" s="7">
        <v>12000</v>
      </c>
      <c r="E1429" s="7" t="s">
        <v>5</v>
      </c>
      <c r="F1429" s="7">
        <v>17.27</v>
      </c>
      <c r="G1429" s="7">
        <v>0</v>
      </c>
      <c r="H1429" s="7">
        <v>17292.769991000201</v>
      </c>
      <c r="I1429" s="7">
        <v>0</v>
      </c>
    </row>
    <row r="1430" spans="1:9" x14ac:dyDescent="0.2">
      <c r="A1430" s="7">
        <v>141892</v>
      </c>
      <c r="B1430" s="7">
        <v>2.9691972549011601E-2</v>
      </c>
      <c r="C1430" s="7">
        <v>7.4974238972806501E-2</v>
      </c>
      <c r="D1430" s="7">
        <v>2000</v>
      </c>
      <c r="E1430" s="7" t="s">
        <v>8</v>
      </c>
      <c r="F1430" s="7">
        <v>11.71</v>
      </c>
      <c r="G1430" s="7">
        <v>0</v>
      </c>
      <c r="H1430" s="7">
        <v>2381.42</v>
      </c>
      <c r="I1430" s="7">
        <v>0</v>
      </c>
    </row>
    <row r="1431" spans="1:9" x14ac:dyDescent="0.2">
      <c r="A1431" s="7">
        <v>121287</v>
      </c>
      <c r="B1431" s="7">
        <v>6.0795973722338704E-3</v>
      </c>
      <c r="C1431" s="7">
        <v>5.3944556304700297E-2</v>
      </c>
      <c r="D1431" s="7">
        <v>34500</v>
      </c>
      <c r="E1431" s="7" t="s">
        <v>4</v>
      </c>
      <c r="F1431" s="7">
        <v>6.62</v>
      </c>
      <c r="G1431" s="7">
        <v>0</v>
      </c>
      <c r="H1431" s="7">
        <v>38133.920506191796</v>
      </c>
      <c r="I1431" s="7">
        <v>0</v>
      </c>
    </row>
    <row r="1432" spans="1:9" x14ac:dyDescent="0.2">
      <c r="A1432" s="7">
        <v>112716</v>
      </c>
      <c r="B1432" s="7">
        <v>2.11577347950841E-2</v>
      </c>
      <c r="C1432" s="7">
        <v>8.4798680815203503E-2</v>
      </c>
      <c r="D1432" s="7">
        <v>27000</v>
      </c>
      <c r="E1432" s="7" t="s">
        <v>4</v>
      </c>
      <c r="F1432" s="7">
        <v>7.9</v>
      </c>
      <c r="G1432" s="7">
        <v>0</v>
      </c>
      <c r="H1432" s="7">
        <v>30414.1128104284</v>
      </c>
      <c r="I1432" s="7">
        <v>0</v>
      </c>
    </row>
    <row r="1433" spans="1:9" x14ac:dyDescent="0.2">
      <c r="A1433" s="7">
        <v>123142</v>
      </c>
      <c r="B1433" s="7">
        <v>1.48259130253909E-3</v>
      </c>
      <c r="C1433" s="7">
        <v>8.4798680815203503E-2</v>
      </c>
      <c r="D1433" s="7">
        <v>18550</v>
      </c>
      <c r="E1433" s="7" t="s">
        <v>6</v>
      </c>
      <c r="F1433" s="7">
        <v>18.75</v>
      </c>
      <c r="G1433" s="7">
        <v>0</v>
      </c>
      <c r="H1433" s="7">
        <v>27805.018459149102</v>
      </c>
      <c r="I1433" s="7">
        <v>0</v>
      </c>
    </row>
    <row r="1434" spans="1:9" x14ac:dyDescent="0.2">
      <c r="A1434" s="7">
        <v>30663</v>
      </c>
      <c r="B1434" s="7">
        <v>3.2039274074025799E-2</v>
      </c>
      <c r="C1434" s="7">
        <v>8.1509172207196695E-2</v>
      </c>
      <c r="D1434" s="7">
        <v>6625</v>
      </c>
      <c r="E1434" s="7" t="s">
        <v>8</v>
      </c>
      <c r="F1434" s="7">
        <v>13.05</v>
      </c>
      <c r="G1434" s="7">
        <v>0</v>
      </c>
      <c r="H1434" s="7">
        <v>7212.6427572074999</v>
      </c>
      <c r="I1434" s="7">
        <v>0</v>
      </c>
    </row>
    <row r="1435" spans="1:9" x14ac:dyDescent="0.2">
      <c r="A1435" s="7">
        <v>40514</v>
      </c>
      <c r="B1435" s="7">
        <v>3.34133900629041E-2</v>
      </c>
      <c r="C1435" s="7">
        <v>8.1509172207196695E-2</v>
      </c>
      <c r="D1435" s="7">
        <v>5000</v>
      </c>
      <c r="E1435" s="7" t="s">
        <v>6</v>
      </c>
      <c r="F1435" s="7">
        <v>20.309999999999999</v>
      </c>
      <c r="G1435" s="7">
        <v>1</v>
      </c>
      <c r="H1435" s="7">
        <v>5224.3</v>
      </c>
      <c r="I1435" s="7">
        <v>0</v>
      </c>
    </row>
    <row r="1436" spans="1:9" x14ac:dyDescent="0.2">
      <c r="A1436" s="7">
        <v>111811</v>
      </c>
      <c r="B1436" s="7">
        <v>3.8463463026970401E-2</v>
      </c>
      <c r="C1436" s="7">
        <v>8.4798680815203503E-2</v>
      </c>
      <c r="D1436" s="7">
        <v>24000</v>
      </c>
      <c r="E1436" s="7" t="s">
        <v>5</v>
      </c>
      <c r="F1436" s="7">
        <v>15.8</v>
      </c>
      <c r="G1436" s="7">
        <v>0</v>
      </c>
      <c r="H1436" s="7">
        <v>29707.355539230499</v>
      </c>
      <c r="I1436" s="7">
        <v>0</v>
      </c>
    </row>
    <row r="1437" spans="1:9" x14ac:dyDescent="0.2">
      <c r="A1437" s="7">
        <v>54398</v>
      </c>
      <c r="B1437" s="7">
        <v>2.1255162659784801E-2</v>
      </c>
      <c r="C1437" s="7">
        <v>7.4974238972806501E-2</v>
      </c>
      <c r="D1437" s="7">
        <v>2500</v>
      </c>
      <c r="E1437" s="7" t="s">
        <v>4</v>
      </c>
      <c r="F1437" s="7">
        <v>7.62</v>
      </c>
      <c r="G1437" s="7">
        <v>0</v>
      </c>
      <c r="H1437" s="7">
        <v>2804.4939919210001</v>
      </c>
      <c r="I1437" s="7">
        <v>0</v>
      </c>
    </row>
    <row r="1438" spans="1:9" x14ac:dyDescent="0.2">
      <c r="A1438" s="7">
        <v>34438</v>
      </c>
      <c r="B1438" s="7">
        <v>2.48373785259666E-2</v>
      </c>
      <c r="C1438" s="7">
        <v>5.3944556304700297E-2</v>
      </c>
      <c r="D1438" s="7">
        <v>22000</v>
      </c>
      <c r="E1438" s="7" t="s">
        <v>4</v>
      </c>
      <c r="F1438" s="7">
        <v>6.62</v>
      </c>
      <c r="G1438" s="7">
        <v>1</v>
      </c>
      <c r="H1438" s="7">
        <v>12834.31</v>
      </c>
      <c r="I1438" s="7">
        <v>0</v>
      </c>
    </row>
    <row r="1439" spans="1:9" x14ac:dyDescent="0.2">
      <c r="A1439" s="7">
        <v>90184</v>
      </c>
      <c r="B1439" s="7">
        <v>2.7507416034357999E-2</v>
      </c>
      <c r="C1439" s="7">
        <v>5.3944556304700297E-2</v>
      </c>
      <c r="D1439" s="7">
        <v>25000</v>
      </c>
      <c r="E1439" s="7" t="s">
        <v>4</v>
      </c>
      <c r="F1439" s="7">
        <v>8.9</v>
      </c>
      <c r="G1439" s="7">
        <v>0</v>
      </c>
      <c r="H1439" s="7">
        <v>27172.772428611101</v>
      </c>
      <c r="I1439" s="7">
        <v>0</v>
      </c>
    </row>
    <row r="1440" spans="1:9" x14ac:dyDescent="0.2">
      <c r="A1440" s="7">
        <v>111723</v>
      </c>
      <c r="B1440" s="7">
        <v>3.4873021077293197E-2</v>
      </c>
      <c r="C1440" s="7">
        <v>7.4974238972806501E-2</v>
      </c>
      <c r="D1440" s="7">
        <v>13000</v>
      </c>
      <c r="E1440" s="7" t="s">
        <v>6</v>
      </c>
      <c r="F1440" s="7">
        <v>18.75</v>
      </c>
      <c r="G1440" s="7">
        <v>0</v>
      </c>
      <c r="H1440" s="7">
        <v>16377.641305753001</v>
      </c>
      <c r="I1440" s="7">
        <v>0</v>
      </c>
    </row>
    <row r="1441" spans="1:9" x14ac:dyDescent="0.2">
      <c r="A1441" s="7">
        <v>138693</v>
      </c>
      <c r="B1441" s="7">
        <v>9.5263922167858096E-3</v>
      </c>
      <c r="C1441" s="7">
        <v>8.1509172207196695E-2</v>
      </c>
      <c r="D1441" s="7">
        <v>2400</v>
      </c>
      <c r="E1441" s="7" t="s">
        <v>4</v>
      </c>
      <c r="F1441" s="7">
        <v>7.62</v>
      </c>
      <c r="G1441" s="7">
        <v>0</v>
      </c>
      <c r="H1441" s="7">
        <v>2692.3300006414001</v>
      </c>
      <c r="I1441" s="7">
        <v>0</v>
      </c>
    </row>
    <row r="1442" spans="1:9" x14ac:dyDescent="0.2">
      <c r="A1442" s="7">
        <v>46128</v>
      </c>
      <c r="B1442" s="7">
        <v>-6.5551905239309401E-3</v>
      </c>
      <c r="C1442" s="7">
        <v>8.4798680815203503E-2</v>
      </c>
      <c r="D1442" s="7">
        <v>22000</v>
      </c>
      <c r="E1442" s="7" t="s">
        <v>10</v>
      </c>
      <c r="F1442" s="7">
        <v>23.5</v>
      </c>
      <c r="G1442" s="7">
        <v>0</v>
      </c>
      <c r="H1442" s="7">
        <v>31529.759918335101</v>
      </c>
      <c r="I1442" s="7">
        <v>0</v>
      </c>
    </row>
    <row r="1443" spans="1:9" x14ac:dyDescent="0.2">
      <c r="A1443" s="7">
        <v>21810</v>
      </c>
      <c r="B1443" s="7">
        <v>3.5725903435563797E-2</v>
      </c>
      <c r="C1443" s="7">
        <v>8.1509172207196695E-2</v>
      </c>
      <c r="D1443" s="7">
        <v>8400</v>
      </c>
      <c r="E1443" s="7" t="s">
        <v>5</v>
      </c>
      <c r="F1443" s="7">
        <v>15.61</v>
      </c>
      <c r="G1443" s="7">
        <v>0</v>
      </c>
      <c r="H1443" s="7">
        <v>9039.2529975189991</v>
      </c>
      <c r="I1443" s="7">
        <v>0</v>
      </c>
    </row>
    <row r="1444" spans="1:9" x14ac:dyDescent="0.2">
      <c r="A1444" s="7">
        <v>52677</v>
      </c>
      <c r="B1444" s="7">
        <v>2.63806154832027E-2</v>
      </c>
      <c r="C1444" s="7">
        <v>7.7054178620260594E-2</v>
      </c>
      <c r="D1444" s="7">
        <v>9500</v>
      </c>
      <c r="E1444" s="7" t="s">
        <v>6</v>
      </c>
      <c r="F1444" s="7">
        <v>18.75</v>
      </c>
      <c r="G1444" s="7">
        <v>1</v>
      </c>
      <c r="H1444" s="7">
        <v>1039.71</v>
      </c>
      <c r="I1444" s="7">
        <v>0</v>
      </c>
    </row>
    <row r="1445" spans="1:9" x14ac:dyDescent="0.2">
      <c r="A1445" s="7">
        <v>13912</v>
      </c>
      <c r="B1445" s="7">
        <v>5.4825668329766403E-2</v>
      </c>
      <c r="C1445" s="7">
        <v>5.3944556304700297E-2</v>
      </c>
      <c r="D1445" s="7">
        <v>12000</v>
      </c>
      <c r="E1445" s="7" t="s">
        <v>8</v>
      </c>
      <c r="F1445" s="7">
        <v>11.99</v>
      </c>
      <c r="G1445" s="7">
        <v>0</v>
      </c>
      <c r="H1445" s="7">
        <v>12571.381668272699</v>
      </c>
      <c r="I1445" s="7">
        <v>0</v>
      </c>
    </row>
    <row r="1446" spans="1:9" x14ac:dyDescent="0.2">
      <c r="A1446" s="7">
        <v>24019</v>
      </c>
      <c r="B1446" s="7">
        <v>3.5561973271112997E-2</v>
      </c>
      <c r="C1446" s="7">
        <v>7.4974238972806501E-2</v>
      </c>
      <c r="D1446" s="7">
        <v>7000</v>
      </c>
      <c r="E1446" s="7" t="s">
        <v>8</v>
      </c>
      <c r="F1446" s="7">
        <v>12.99</v>
      </c>
      <c r="G1446" s="7">
        <v>0</v>
      </c>
      <c r="H1446" s="7">
        <v>7556.63</v>
      </c>
      <c r="I1446" s="7">
        <v>0</v>
      </c>
    </row>
    <row r="1447" spans="1:9" x14ac:dyDescent="0.2">
      <c r="A1447" s="7">
        <v>139501</v>
      </c>
      <c r="B1447" s="7">
        <v>1.3695400817644201E-2</v>
      </c>
      <c r="C1447" s="7">
        <v>8.1509172207196695E-2</v>
      </c>
      <c r="D1447" s="7">
        <v>6000</v>
      </c>
      <c r="E1447" s="7" t="s">
        <v>4</v>
      </c>
      <c r="F1447" s="7">
        <v>8.9</v>
      </c>
      <c r="G1447" s="7">
        <v>0</v>
      </c>
      <c r="H1447" s="7">
        <v>6674.9325372662997</v>
      </c>
      <c r="I1447" s="7">
        <v>0</v>
      </c>
    </row>
    <row r="1448" spans="1:9" x14ac:dyDescent="0.2">
      <c r="A1448" s="7">
        <v>17577</v>
      </c>
      <c r="B1448" s="7">
        <v>3.2244262563216601E-2</v>
      </c>
      <c r="C1448" s="7">
        <v>7.4974238972806501E-2</v>
      </c>
      <c r="D1448" s="7">
        <v>9325</v>
      </c>
      <c r="E1448" s="7" t="s">
        <v>5</v>
      </c>
      <c r="F1448" s="7">
        <v>16.2</v>
      </c>
      <c r="G1448" s="7">
        <v>0</v>
      </c>
      <c r="H1448" s="7">
        <v>11068.6899928522</v>
      </c>
      <c r="I1448" s="7">
        <v>0</v>
      </c>
    </row>
    <row r="1449" spans="1:9" x14ac:dyDescent="0.2">
      <c r="A1449" s="7">
        <v>2940</v>
      </c>
      <c r="B1449" s="7">
        <v>2.2373862842393701E-2</v>
      </c>
      <c r="C1449" s="7">
        <v>5.3944556304700297E-2</v>
      </c>
      <c r="D1449" s="7">
        <v>25000</v>
      </c>
      <c r="E1449" s="7" t="s">
        <v>4</v>
      </c>
      <c r="F1449" s="7">
        <v>7.62</v>
      </c>
      <c r="G1449" s="7">
        <v>0</v>
      </c>
      <c r="H1449" s="7">
        <v>25160.512351999201</v>
      </c>
      <c r="I1449" s="7">
        <v>0</v>
      </c>
    </row>
    <row r="1450" spans="1:9" x14ac:dyDescent="0.2">
      <c r="A1450" s="7">
        <v>144989</v>
      </c>
      <c r="B1450" s="7">
        <v>3.64979838992818E-2</v>
      </c>
      <c r="C1450" s="7">
        <v>8.1509172207196695E-2</v>
      </c>
      <c r="D1450" s="7">
        <v>6000</v>
      </c>
      <c r="E1450" s="7" t="s">
        <v>6</v>
      </c>
      <c r="F1450" s="7">
        <v>17.579999999999998</v>
      </c>
      <c r="G1450" s="7">
        <v>0</v>
      </c>
      <c r="H1450" s="7">
        <v>6372.8482775805996</v>
      </c>
      <c r="I1450" s="7">
        <v>0</v>
      </c>
    </row>
    <row r="1451" spans="1:9" x14ac:dyDescent="0.2">
      <c r="A1451" s="7">
        <v>73020</v>
      </c>
      <c r="B1451" s="7">
        <v>3.85352578402521E-2</v>
      </c>
      <c r="C1451" s="7">
        <v>8.1509172207196695E-2</v>
      </c>
      <c r="D1451" s="7">
        <v>12000</v>
      </c>
      <c r="E1451" s="7" t="s">
        <v>5</v>
      </c>
      <c r="F1451" s="7">
        <v>15.31</v>
      </c>
      <c r="G1451" s="7">
        <v>0</v>
      </c>
      <c r="H1451" s="7">
        <v>13819.820785595801</v>
      </c>
      <c r="I1451" s="7">
        <v>0</v>
      </c>
    </row>
    <row r="1452" spans="1:9" x14ac:dyDescent="0.2">
      <c r="A1452" s="7">
        <v>91490</v>
      </c>
      <c r="B1452" s="7">
        <v>1.79910391375881E-3</v>
      </c>
      <c r="C1452" s="7">
        <v>8.4798680815203503E-2</v>
      </c>
      <c r="D1452" s="7">
        <v>29100</v>
      </c>
      <c r="E1452" s="7" t="s">
        <v>5</v>
      </c>
      <c r="F1452" s="7">
        <v>17.27</v>
      </c>
      <c r="G1452" s="7">
        <v>1</v>
      </c>
      <c r="H1452" s="7">
        <v>8893.75</v>
      </c>
      <c r="I1452" s="7">
        <v>3821.62</v>
      </c>
    </row>
    <row r="1453" spans="1:9" x14ac:dyDescent="0.2">
      <c r="A1453" s="7">
        <v>15495</v>
      </c>
      <c r="B1453" s="7">
        <v>2.7173911935596502E-2</v>
      </c>
      <c r="C1453" s="7">
        <v>8.1509172207196695E-2</v>
      </c>
      <c r="D1453" s="7">
        <v>1600</v>
      </c>
      <c r="E1453" s="7" t="s">
        <v>10</v>
      </c>
      <c r="F1453" s="7">
        <v>23.7</v>
      </c>
      <c r="G1453" s="7">
        <v>0</v>
      </c>
      <c r="H1453" s="7">
        <v>1976.39</v>
      </c>
      <c r="I1453" s="7">
        <v>0</v>
      </c>
    </row>
    <row r="1454" spans="1:9" x14ac:dyDescent="0.2">
      <c r="A1454" s="7">
        <v>121356</v>
      </c>
      <c r="B1454" s="7">
        <v>1.9300345659327599E-2</v>
      </c>
      <c r="C1454" s="7">
        <v>7.4974238972806501E-2</v>
      </c>
      <c r="D1454" s="7">
        <v>16100</v>
      </c>
      <c r="E1454" s="7" t="s">
        <v>4</v>
      </c>
      <c r="F1454" s="7">
        <v>7.9</v>
      </c>
      <c r="G1454" s="7">
        <v>0</v>
      </c>
      <c r="H1454" s="7">
        <v>16958.253480446499</v>
      </c>
      <c r="I1454" s="7">
        <v>0</v>
      </c>
    </row>
    <row r="1455" spans="1:9" x14ac:dyDescent="0.2">
      <c r="A1455" s="7">
        <v>86028</v>
      </c>
      <c r="B1455" s="7">
        <v>3.6274243278398101E-2</v>
      </c>
      <c r="C1455" s="7">
        <v>7.7054178620260594E-2</v>
      </c>
      <c r="D1455" s="7">
        <v>10000</v>
      </c>
      <c r="E1455" s="7" t="s">
        <v>8</v>
      </c>
      <c r="F1455" s="7">
        <v>11.14</v>
      </c>
      <c r="G1455" s="7">
        <v>0</v>
      </c>
      <c r="H1455" s="7">
        <v>11809.7585890221</v>
      </c>
      <c r="I1455" s="7">
        <v>0</v>
      </c>
    </row>
    <row r="1456" spans="1:9" x14ac:dyDescent="0.2">
      <c r="A1456" s="7">
        <v>14210</v>
      </c>
      <c r="B1456" s="7">
        <v>3.4564136426806003E-2</v>
      </c>
      <c r="C1456" s="7">
        <v>8.1509172207196695E-2</v>
      </c>
      <c r="D1456" s="7">
        <v>4000</v>
      </c>
      <c r="E1456" s="7" t="s">
        <v>5</v>
      </c>
      <c r="F1456" s="7">
        <v>16.2</v>
      </c>
      <c r="G1456" s="7">
        <v>1</v>
      </c>
      <c r="H1456" s="7">
        <v>2231.2600000000002</v>
      </c>
      <c r="I1456" s="7">
        <v>398.14</v>
      </c>
    </row>
    <row r="1457" spans="1:9" x14ac:dyDescent="0.2">
      <c r="A1457" s="7">
        <v>43713</v>
      </c>
      <c r="B1457" s="7">
        <v>3.1229448552204699E-2</v>
      </c>
      <c r="C1457" s="7">
        <v>8.1509172207196695E-2</v>
      </c>
      <c r="D1457" s="7">
        <v>9000</v>
      </c>
      <c r="E1457" s="7" t="s">
        <v>8</v>
      </c>
      <c r="F1457" s="7">
        <v>13.05</v>
      </c>
      <c r="G1457" s="7">
        <v>0</v>
      </c>
      <c r="H1457" s="7">
        <v>10342.6184018657</v>
      </c>
      <c r="I1457" s="7">
        <v>0</v>
      </c>
    </row>
    <row r="1458" spans="1:9" x14ac:dyDescent="0.2">
      <c r="A1458" s="7">
        <v>87970</v>
      </c>
      <c r="B1458" s="7">
        <v>3.6645190174836299E-2</v>
      </c>
      <c r="C1458" s="7">
        <v>5.3944556304700297E-2</v>
      </c>
      <c r="D1458" s="7">
        <v>17000</v>
      </c>
      <c r="E1458" s="7" t="s">
        <v>8</v>
      </c>
      <c r="F1458" s="7">
        <v>12.12</v>
      </c>
      <c r="G1458" s="7">
        <v>0</v>
      </c>
      <c r="H1458" s="7">
        <v>20362.238279142901</v>
      </c>
      <c r="I1458" s="7">
        <v>0</v>
      </c>
    </row>
    <row r="1459" spans="1:9" x14ac:dyDescent="0.2">
      <c r="A1459" s="7">
        <v>101601</v>
      </c>
      <c r="B1459" s="7">
        <v>2.1525286182975702E-2</v>
      </c>
      <c r="C1459" s="7">
        <v>8.1509172207196695E-2</v>
      </c>
      <c r="D1459" s="7">
        <v>5600</v>
      </c>
      <c r="E1459" s="7" t="s">
        <v>5</v>
      </c>
      <c r="F1459" s="7">
        <v>14.33</v>
      </c>
      <c r="G1459" s="7">
        <v>0</v>
      </c>
      <c r="H1459" s="7">
        <v>6803.49</v>
      </c>
      <c r="I1459" s="7">
        <v>0</v>
      </c>
    </row>
    <row r="1460" spans="1:9" x14ac:dyDescent="0.2">
      <c r="A1460" s="7">
        <v>56429</v>
      </c>
      <c r="B1460" s="7">
        <v>2.6645282587140599E-2</v>
      </c>
      <c r="C1460" s="7">
        <v>8.1509172207196695E-2</v>
      </c>
      <c r="D1460" s="7">
        <v>8000</v>
      </c>
      <c r="E1460" s="7" t="s">
        <v>8</v>
      </c>
      <c r="F1460" s="7">
        <v>13.11</v>
      </c>
      <c r="G1460" s="7">
        <v>0</v>
      </c>
      <c r="H1460" s="7">
        <v>9430.4699999999993</v>
      </c>
      <c r="I1460" s="7">
        <v>0</v>
      </c>
    </row>
    <row r="1461" spans="1:9" x14ac:dyDescent="0.2">
      <c r="A1461" s="7">
        <v>47244</v>
      </c>
      <c r="B1461" s="7">
        <v>6.1919743230817803E-3</v>
      </c>
      <c r="C1461" s="7">
        <v>7.4974238972806501E-2</v>
      </c>
      <c r="D1461" s="7">
        <v>12000</v>
      </c>
      <c r="E1461" s="7" t="s">
        <v>5</v>
      </c>
      <c r="F1461" s="7">
        <v>15.31</v>
      </c>
      <c r="G1461" s="7">
        <v>0</v>
      </c>
      <c r="H1461" s="7">
        <v>15293.629992423799</v>
      </c>
      <c r="I1461" s="7">
        <v>0</v>
      </c>
    </row>
    <row r="1462" spans="1:9" x14ac:dyDescent="0.2">
      <c r="A1462" s="7">
        <v>29693</v>
      </c>
      <c r="B1462" s="7">
        <v>2.86306973786154E-2</v>
      </c>
      <c r="C1462" s="7">
        <v>7.4974238972806501E-2</v>
      </c>
      <c r="D1462" s="7">
        <v>12000</v>
      </c>
      <c r="E1462" s="7" t="s">
        <v>8</v>
      </c>
      <c r="F1462" s="7">
        <v>12.35</v>
      </c>
      <c r="G1462" s="7">
        <v>0</v>
      </c>
      <c r="H1462" s="7">
        <v>13287.177841934101</v>
      </c>
      <c r="I1462" s="7">
        <v>0</v>
      </c>
    </row>
    <row r="1463" spans="1:9" x14ac:dyDescent="0.2">
      <c r="A1463" s="7">
        <v>25935</v>
      </c>
      <c r="B1463" s="7">
        <v>2.92159553807456E-2</v>
      </c>
      <c r="C1463" s="7">
        <v>8.4798680815203503E-2</v>
      </c>
      <c r="D1463" s="7">
        <v>18450</v>
      </c>
      <c r="E1463" s="7" t="s">
        <v>5</v>
      </c>
      <c r="F1463" s="7">
        <v>15.61</v>
      </c>
      <c r="G1463" s="7">
        <v>0</v>
      </c>
      <c r="H1463" s="7">
        <v>22311.1600030888</v>
      </c>
      <c r="I1463" s="7">
        <v>0</v>
      </c>
    </row>
    <row r="1464" spans="1:9" x14ac:dyDescent="0.2">
      <c r="A1464" s="7">
        <v>131385</v>
      </c>
      <c r="B1464" s="7">
        <v>1.4953034169736999E-2</v>
      </c>
      <c r="C1464" s="7">
        <v>8.1509172207196695E-2</v>
      </c>
      <c r="D1464" s="7">
        <v>11500</v>
      </c>
      <c r="E1464" s="7" t="s">
        <v>4</v>
      </c>
      <c r="F1464" s="7">
        <v>6.03</v>
      </c>
      <c r="G1464" s="7">
        <v>0</v>
      </c>
      <c r="H1464" s="7">
        <v>12093.7353362802</v>
      </c>
      <c r="I1464" s="7">
        <v>0</v>
      </c>
    </row>
    <row r="1465" spans="1:9" x14ac:dyDescent="0.2">
      <c r="A1465" s="7">
        <v>106109</v>
      </c>
      <c r="B1465" s="7">
        <v>2.3489591762244199E-2</v>
      </c>
      <c r="C1465" s="7">
        <v>7.4974238972806501E-2</v>
      </c>
      <c r="D1465" s="7">
        <v>5700</v>
      </c>
      <c r="E1465" s="7" t="s">
        <v>5</v>
      </c>
      <c r="F1465" s="7">
        <v>14.33</v>
      </c>
      <c r="G1465" s="7">
        <v>0</v>
      </c>
      <c r="H1465" s="7">
        <v>6460.61</v>
      </c>
      <c r="I1465" s="7">
        <v>0</v>
      </c>
    </row>
    <row r="1466" spans="1:9" x14ac:dyDescent="0.2">
      <c r="A1466" s="7">
        <v>72403</v>
      </c>
      <c r="B1466" s="7">
        <v>4.6250885548510402E-2</v>
      </c>
      <c r="C1466" s="7">
        <v>5.3944556304700297E-2</v>
      </c>
      <c r="D1466" s="7">
        <v>28000</v>
      </c>
      <c r="E1466" s="7" t="s">
        <v>8</v>
      </c>
      <c r="F1466" s="7">
        <v>11.14</v>
      </c>
      <c r="G1466" s="7">
        <v>0</v>
      </c>
      <c r="H1466" s="7">
        <v>33067.4412720123</v>
      </c>
      <c r="I1466" s="7">
        <v>0</v>
      </c>
    </row>
    <row r="1467" spans="1:9" x14ac:dyDescent="0.2">
      <c r="A1467" s="7">
        <v>34337</v>
      </c>
      <c r="B1467" s="7">
        <v>3.47076193773962E-2</v>
      </c>
      <c r="C1467" s="7">
        <v>8.1509172207196695E-2</v>
      </c>
      <c r="D1467" s="7">
        <v>12000</v>
      </c>
      <c r="E1467" s="7" t="s">
        <v>6</v>
      </c>
      <c r="F1467" s="7">
        <v>20.309999999999999</v>
      </c>
      <c r="G1467" s="7">
        <v>0</v>
      </c>
      <c r="H1467" s="7">
        <v>12402.216277990899</v>
      </c>
      <c r="I1467" s="7">
        <v>0</v>
      </c>
    </row>
    <row r="1468" spans="1:9" x14ac:dyDescent="0.2">
      <c r="A1468" s="7">
        <v>85516</v>
      </c>
      <c r="B1468" s="7">
        <v>2.3872674489849002E-2</v>
      </c>
      <c r="C1468" s="7">
        <v>7.4974238972806501E-2</v>
      </c>
      <c r="D1468" s="7">
        <v>7125</v>
      </c>
      <c r="E1468" s="7" t="s">
        <v>5</v>
      </c>
      <c r="F1468" s="7">
        <v>14.33</v>
      </c>
      <c r="G1468" s="7">
        <v>1</v>
      </c>
      <c r="H1468" s="7">
        <v>5273.33</v>
      </c>
      <c r="I1468" s="7">
        <v>519.87</v>
      </c>
    </row>
    <row r="1469" spans="1:9" x14ac:dyDescent="0.2">
      <c r="A1469" s="7">
        <v>61094</v>
      </c>
      <c r="B1469" s="7">
        <v>3.0635464358464801E-2</v>
      </c>
      <c r="C1469" s="7">
        <v>7.4974238972806501E-2</v>
      </c>
      <c r="D1469" s="7">
        <v>8125</v>
      </c>
      <c r="E1469" s="7" t="s">
        <v>5</v>
      </c>
      <c r="F1469" s="7">
        <v>17.27</v>
      </c>
      <c r="G1469" s="7">
        <v>0</v>
      </c>
      <c r="H1469" s="7">
        <v>10468.490359351101</v>
      </c>
      <c r="I1469" s="7">
        <v>0</v>
      </c>
    </row>
    <row r="1470" spans="1:9" x14ac:dyDescent="0.2">
      <c r="A1470" s="7">
        <v>114309</v>
      </c>
      <c r="B1470" s="7">
        <v>3.4378817158975603E-2</v>
      </c>
      <c r="C1470" s="7">
        <v>7.4974238972806501E-2</v>
      </c>
      <c r="D1470" s="7">
        <v>12000</v>
      </c>
      <c r="E1470" s="7" t="s">
        <v>6</v>
      </c>
      <c r="F1470" s="7">
        <v>18.489999999999998</v>
      </c>
      <c r="G1470" s="7">
        <v>1</v>
      </c>
      <c r="H1470" s="7">
        <v>10399.8399999999</v>
      </c>
      <c r="I1470" s="7">
        <v>803.38</v>
      </c>
    </row>
    <row r="1471" spans="1:9" x14ac:dyDescent="0.2">
      <c r="A1471" s="7">
        <v>128163</v>
      </c>
      <c r="B1471" s="7">
        <v>3.3426572232890799E-2</v>
      </c>
      <c r="C1471" s="7">
        <v>8.1509172207196695E-2</v>
      </c>
      <c r="D1471" s="7">
        <v>10000</v>
      </c>
      <c r="E1471" s="7" t="s">
        <v>8</v>
      </c>
      <c r="F1471" s="7">
        <v>12.12</v>
      </c>
      <c r="G1471" s="7">
        <v>0</v>
      </c>
      <c r="H1471" s="7">
        <v>11977.7799999993</v>
      </c>
      <c r="I1471" s="7">
        <v>0</v>
      </c>
    </row>
    <row r="1472" spans="1:9" x14ac:dyDescent="0.2">
      <c r="A1472" s="7">
        <v>91535</v>
      </c>
      <c r="B1472" s="7">
        <v>2.9427504196087501E-3</v>
      </c>
      <c r="C1472" s="7">
        <v>7.7054178620260594E-2</v>
      </c>
      <c r="D1472" s="7">
        <v>21725</v>
      </c>
      <c r="E1472" s="7" t="s">
        <v>5</v>
      </c>
      <c r="F1472" s="7">
        <v>17.27</v>
      </c>
      <c r="G1472" s="7">
        <v>1</v>
      </c>
      <c r="H1472" s="7">
        <v>1626.3</v>
      </c>
      <c r="I1472" s="7">
        <v>0</v>
      </c>
    </row>
    <row r="1473" spans="1:9" x14ac:dyDescent="0.2">
      <c r="A1473" s="7">
        <v>31350</v>
      </c>
      <c r="B1473" s="7">
        <v>1.8345558416263601E-2</v>
      </c>
      <c r="C1473" s="7">
        <v>8.1509172207196695E-2</v>
      </c>
      <c r="D1473" s="7">
        <v>3825</v>
      </c>
      <c r="E1473" s="7" t="s">
        <v>8</v>
      </c>
      <c r="F1473" s="7">
        <v>10.64</v>
      </c>
      <c r="G1473" s="7">
        <v>0</v>
      </c>
      <c r="H1473" s="7">
        <v>4100.6899999999996</v>
      </c>
      <c r="I1473" s="7">
        <v>0</v>
      </c>
    </row>
    <row r="1474" spans="1:9" x14ac:dyDescent="0.2">
      <c r="A1474" s="7">
        <v>810</v>
      </c>
      <c r="B1474" s="7">
        <v>2.02883403168523E-2</v>
      </c>
      <c r="C1474" s="7">
        <v>7.7054178620260594E-2</v>
      </c>
      <c r="D1474" s="7">
        <v>8000</v>
      </c>
      <c r="E1474" s="7" t="s">
        <v>4</v>
      </c>
      <c r="F1474" s="7">
        <v>7.9</v>
      </c>
      <c r="G1474" s="7">
        <v>0</v>
      </c>
      <c r="H1474" s="7">
        <v>8837.42</v>
      </c>
      <c r="I1474" s="7">
        <v>0</v>
      </c>
    </row>
    <row r="1475" spans="1:9" x14ac:dyDescent="0.2">
      <c r="A1475" s="7">
        <v>22978</v>
      </c>
      <c r="B1475" s="7">
        <v>4.1011912114097002E-3</v>
      </c>
      <c r="C1475" s="7">
        <v>8.4798680815203503E-2</v>
      </c>
      <c r="D1475" s="7">
        <v>22400</v>
      </c>
      <c r="E1475" s="7" t="s">
        <v>6</v>
      </c>
      <c r="F1475" s="7">
        <v>17.760000000000002</v>
      </c>
      <c r="G1475" s="7">
        <v>0</v>
      </c>
      <c r="H1475" s="7">
        <v>27066.269998600099</v>
      </c>
      <c r="I1475" s="7">
        <v>0</v>
      </c>
    </row>
    <row r="1476" spans="1:9" x14ac:dyDescent="0.2">
      <c r="A1476" s="7">
        <v>29163</v>
      </c>
      <c r="B1476" s="7">
        <v>2.61181984475704E-2</v>
      </c>
      <c r="C1476" s="7">
        <v>7.4974238972806501E-2</v>
      </c>
      <c r="D1476" s="7">
        <v>13225</v>
      </c>
      <c r="E1476" s="7" t="s">
        <v>5</v>
      </c>
      <c r="F1476" s="7">
        <v>13.68</v>
      </c>
      <c r="G1476" s="7">
        <v>1</v>
      </c>
      <c r="H1476" s="7">
        <v>4949.45</v>
      </c>
      <c r="I1476" s="7">
        <v>0</v>
      </c>
    </row>
    <row r="1477" spans="1:9" x14ac:dyDescent="0.2">
      <c r="A1477" s="7">
        <v>84137</v>
      </c>
      <c r="B1477" s="7">
        <v>2.7751222252385702E-2</v>
      </c>
      <c r="C1477" s="7">
        <v>8.1509172207196695E-2</v>
      </c>
      <c r="D1477" s="7">
        <v>13000</v>
      </c>
      <c r="E1477" s="7" t="s">
        <v>5</v>
      </c>
      <c r="F1477" s="7">
        <v>15.8</v>
      </c>
      <c r="G1477" s="7">
        <v>0</v>
      </c>
      <c r="H1477" s="7">
        <v>16403.810000000001</v>
      </c>
      <c r="I1477" s="7">
        <v>0</v>
      </c>
    </row>
    <row r="1478" spans="1:9" x14ac:dyDescent="0.2">
      <c r="A1478" s="7">
        <v>96298</v>
      </c>
      <c r="B1478" s="7">
        <v>2.8999796210660199E-2</v>
      </c>
      <c r="C1478" s="7">
        <v>7.4974238972806501E-2</v>
      </c>
      <c r="D1478" s="7">
        <v>3500</v>
      </c>
      <c r="E1478" s="7" t="s">
        <v>4</v>
      </c>
      <c r="F1478" s="7">
        <v>7.62</v>
      </c>
      <c r="G1478" s="7">
        <v>0</v>
      </c>
      <c r="H1478" s="7">
        <v>3922.2099983532999</v>
      </c>
      <c r="I1478" s="7">
        <v>0</v>
      </c>
    </row>
    <row r="1479" spans="1:9" x14ac:dyDescent="0.2">
      <c r="A1479" s="7">
        <v>109279</v>
      </c>
      <c r="B1479" s="7">
        <v>2.36458310080532E-2</v>
      </c>
      <c r="C1479" s="7">
        <v>8.1509172207196695E-2</v>
      </c>
      <c r="D1479" s="7">
        <v>5500</v>
      </c>
      <c r="E1479" s="7" t="s">
        <v>8</v>
      </c>
      <c r="F1479" s="7">
        <v>13.11</v>
      </c>
      <c r="G1479" s="7">
        <v>0</v>
      </c>
      <c r="H1479" s="7">
        <v>6531.4708740336</v>
      </c>
      <c r="I1479" s="7">
        <v>0</v>
      </c>
    </row>
    <row r="1480" spans="1:9" x14ac:dyDescent="0.2">
      <c r="A1480" s="7">
        <v>131294</v>
      </c>
      <c r="B1480" s="7">
        <v>3.8938054937651602E-2</v>
      </c>
      <c r="C1480" s="7">
        <v>5.3944556304700297E-2</v>
      </c>
      <c r="D1480" s="7">
        <v>20000</v>
      </c>
      <c r="E1480" s="7" t="s">
        <v>5</v>
      </c>
      <c r="F1480" s="7">
        <v>14.65</v>
      </c>
      <c r="G1480" s="7">
        <v>0</v>
      </c>
      <c r="H1480" s="7">
        <v>24835.759999992799</v>
      </c>
      <c r="I1480" s="7">
        <v>0</v>
      </c>
    </row>
    <row r="1481" spans="1:9" x14ac:dyDescent="0.2">
      <c r="A1481" s="7">
        <v>67812</v>
      </c>
      <c r="B1481" s="7">
        <v>2.5833119989514298E-2</v>
      </c>
      <c r="C1481" s="7">
        <v>8.1509172207196695E-2</v>
      </c>
      <c r="D1481" s="7">
        <v>8875</v>
      </c>
      <c r="E1481" s="7" t="s">
        <v>5</v>
      </c>
      <c r="F1481" s="7">
        <v>17.27</v>
      </c>
      <c r="G1481" s="7">
        <v>0</v>
      </c>
      <c r="H1481" s="7">
        <v>10310.6090507505</v>
      </c>
      <c r="I1481" s="7">
        <v>0</v>
      </c>
    </row>
    <row r="1482" spans="1:9" x14ac:dyDescent="0.2">
      <c r="A1482" s="7">
        <v>52725</v>
      </c>
      <c r="B1482" s="7">
        <v>4.0804800680044002E-2</v>
      </c>
      <c r="C1482" s="7">
        <v>7.7054178620260594E-2</v>
      </c>
      <c r="D1482" s="7">
        <v>9600</v>
      </c>
      <c r="E1482" s="7" t="s">
        <v>8</v>
      </c>
      <c r="F1482" s="7">
        <v>10.16</v>
      </c>
      <c r="G1482" s="7">
        <v>0</v>
      </c>
      <c r="H1482" s="7">
        <v>11177.499316646899</v>
      </c>
      <c r="I1482" s="7">
        <v>0</v>
      </c>
    </row>
    <row r="1483" spans="1:9" x14ac:dyDescent="0.2">
      <c r="A1483" s="7">
        <v>35831</v>
      </c>
      <c r="B1483" s="7">
        <v>1.4782646541108699E-2</v>
      </c>
      <c r="C1483" s="7">
        <v>7.4974238972806501E-2</v>
      </c>
      <c r="D1483" s="7">
        <v>7000</v>
      </c>
      <c r="E1483" s="7" t="s">
        <v>4</v>
      </c>
      <c r="F1483" s="7">
        <v>7.62</v>
      </c>
      <c r="G1483" s="7">
        <v>0</v>
      </c>
      <c r="H1483" s="7">
        <v>7386.4322192246</v>
      </c>
      <c r="I1483" s="7">
        <v>0</v>
      </c>
    </row>
    <row r="1484" spans="1:9" x14ac:dyDescent="0.2">
      <c r="A1484" s="7">
        <v>87200</v>
      </c>
      <c r="B1484" s="7">
        <v>3.03545160880959E-2</v>
      </c>
      <c r="C1484" s="7">
        <v>8.1509172207196695E-2</v>
      </c>
      <c r="D1484" s="7">
        <v>6000</v>
      </c>
      <c r="E1484" s="7" t="s">
        <v>5</v>
      </c>
      <c r="F1484" s="7">
        <v>15.31</v>
      </c>
      <c r="G1484" s="7">
        <v>0</v>
      </c>
      <c r="H1484" s="7">
        <v>7184.1992036966003</v>
      </c>
      <c r="I1484" s="7">
        <v>0</v>
      </c>
    </row>
    <row r="1485" spans="1:9" x14ac:dyDescent="0.2">
      <c r="A1485" s="7">
        <v>127507</v>
      </c>
      <c r="B1485" s="7">
        <v>3.00921971828591E-2</v>
      </c>
      <c r="C1485" s="7">
        <v>7.4974238972806501E-2</v>
      </c>
      <c r="D1485" s="7">
        <v>20000</v>
      </c>
      <c r="E1485" s="7" t="s">
        <v>5</v>
      </c>
      <c r="F1485" s="7">
        <v>13.99</v>
      </c>
      <c r="G1485" s="7">
        <v>0</v>
      </c>
      <c r="H1485" s="7">
        <v>24015.268620565701</v>
      </c>
      <c r="I1485" s="7">
        <v>0</v>
      </c>
    </row>
    <row r="1486" spans="1:9" x14ac:dyDescent="0.2">
      <c r="A1486" s="7">
        <v>51420</v>
      </c>
      <c r="B1486" s="7">
        <v>4.0222245988757101E-2</v>
      </c>
      <c r="C1486" s="7">
        <v>7.4974238972806501E-2</v>
      </c>
      <c r="D1486" s="7">
        <v>10000</v>
      </c>
      <c r="E1486" s="7" t="s">
        <v>8</v>
      </c>
      <c r="F1486" s="7">
        <v>13.11</v>
      </c>
      <c r="G1486" s="7">
        <v>0</v>
      </c>
      <c r="H1486" s="7">
        <v>12043.35</v>
      </c>
      <c r="I1486" s="7">
        <v>0</v>
      </c>
    </row>
    <row r="1487" spans="1:9" x14ac:dyDescent="0.2">
      <c r="A1487" s="7">
        <v>57708</v>
      </c>
      <c r="B1487" s="7">
        <v>3.43967819915953E-2</v>
      </c>
      <c r="C1487" s="7">
        <v>8.1509172207196695E-2</v>
      </c>
      <c r="D1487" s="7">
        <v>9700</v>
      </c>
      <c r="E1487" s="7" t="s">
        <v>8</v>
      </c>
      <c r="F1487" s="7">
        <v>10.16</v>
      </c>
      <c r="G1487" s="7">
        <v>1</v>
      </c>
      <c r="H1487" s="7">
        <v>6587.41</v>
      </c>
      <c r="I1487" s="7">
        <v>0</v>
      </c>
    </row>
    <row r="1488" spans="1:9" x14ac:dyDescent="0.2">
      <c r="A1488" s="7">
        <v>132826</v>
      </c>
      <c r="B1488" s="7">
        <v>3.2445834956971099E-2</v>
      </c>
      <c r="C1488" s="7">
        <v>8.1509172207196695E-2</v>
      </c>
      <c r="D1488" s="7">
        <v>3775</v>
      </c>
      <c r="E1488" s="7" t="s">
        <v>5</v>
      </c>
      <c r="F1488" s="7">
        <v>13.99</v>
      </c>
      <c r="G1488" s="7">
        <v>0</v>
      </c>
      <c r="H1488" s="7">
        <v>4644.0200019089998</v>
      </c>
      <c r="I1488" s="7">
        <v>0</v>
      </c>
    </row>
    <row r="1489" spans="1:9" x14ac:dyDescent="0.2">
      <c r="A1489" s="7">
        <v>92233</v>
      </c>
      <c r="B1489" s="7">
        <v>3.2165365088167502E-2</v>
      </c>
      <c r="C1489" s="7">
        <v>7.7054178620260594E-2</v>
      </c>
      <c r="D1489" s="7">
        <v>10200</v>
      </c>
      <c r="E1489" s="7" t="s">
        <v>6</v>
      </c>
      <c r="F1489" s="7">
        <v>18.489999999999998</v>
      </c>
      <c r="G1489" s="7">
        <v>0</v>
      </c>
      <c r="H1489" s="7">
        <v>12974.5900027728</v>
      </c>
      <c r="I1489" s="7">
        <v>0</v>
      </c>
    </row>
    <row r="1490" spans="1:9" x14ac:dyDescent="0.2">
      <c r="A1490" s="7">
        <v>137453</v>
      </c>
      <c r="B1490" s="7">
        <v>2.57694817154101E-2</v>
      </c>
      <c r="C1490" s="7">
        <v>7.4974238972806501E-2</v>
      </c>
      <c r="D1490" s="7">
        <v>15000</v>
      </c>
      <c r="E1490" s="7" t="s">
        <v>8</v>
      </c>
      <c r="F1490" s="7">
        <v>12.12</v>
      </c>
      <c r="G1490" s="7">
        <v>0</v>
      </c>
      <c r="H1490" s="7">
        <v>17161.643378733199</v>
      </c>
      <c r="I1490" s="7">
        <v>0</v>
      </c>
    </row>
    <row r="1491" spans="1:9" x14ac:dyDescent="0.2">
      <c r="A1491" s="7">
        <v>27663</v>
      </c>
      <c r="B1491" s="7">
        <v>-9.1712340874654207E-3</v>
      </c>
      <c r="C1491" s="7">
        <v>8.4798680815203503E-2</v>
      </c>
      <c r="D1491" s="7">
        <v>24575</v>
      </c>
      <c r="E1491" s="7" t="s">
        <v>9</v>
      </c>
      <c r="F1491" s="7">
        <v>25.8</v>
      </c>
      <c r="G1491" s="7">
        <v>1</v>
      </c>
      <c r="H1491" s="7">
        <v>16284.8</v>
      </c>
      <c r="I1491" s="7">
        <v>3831.27</v>
      </c>
    </row>
    <row r="1492" spans="1:9" x14ac:dyDescent="0.2">
      <c r="A1492" s="7">
        <v>37048</v>
      </c>
      <c r="B1492" s="7">
        <v>2.5107442357172199E-2</v>
      </c>
      <c r="C1492" s="7">
        <v>7.4974238972806501E-2</v>
      </c>
      <c r="D1492" s="7">
        <v>15000</v>
      </c>
      <c r="E1492" s="7" t="s">
        <v>4</v>
      </c>
      <c r="F1492" s="7">
        <v>7.62</v>
      </c>
      <c r="G1492" s="7">
        <v>0</v>
      </c>
      <c r="H1492" s="7">
        <v>16483.9361150962</v>
      </c>
      <c r="I1492" s="7">
        <v>0</v>
      </c>
    </row>
    <row r="1493" spans="1:9" x14ac:dyDescent="0.2">
      <c r="A1493" s="7">
        <v>68162</v>
      </c>
      <c r="B1493" s="7">
        <v>3.0926526793958398E-2</v>
      </c>
      <c r="C1493" s="7">
        <v>8.1509172207196695E-2</v>
      </c>
      <c r="D1493" s="7">
        <v>7000</v>
      </c>
      <c r="E1493" s="7" t="s">
        <v>5</v>
      </c>
      <c r="F1493" s="7">
        <v>16.29</v>
      </c>
      <c r="G1493" s="7">
        <v>1</v>
      </c>
      <c r="H1493" s="7">
        <v>3875.17</v>
      </c>
      <c r="I1493" s="7">
        <v>415.63</v>
      </c>
    </row>
    <row r="1494" spans="1:9" x14ac:dyDescent="0.2">
      <c r="A1494" s="7">
        <v>36797</v>
      </c>
      <c r="B1494" s="7">
        <v>2.4257067143662499E-2</v>
      </c>
      <c r="C1494" s="7">
        <v>8.4798680815203503E-2</v>
      </c>
      <c r="D1494" s="7">
        <v>25000</v>
      </c>
      <c r="E1494" s="7" t="s">
        <v>8</v>
      </c>
      <c r="F1494" s="7">
        <v>12.35</v>
      </c>
      <c r="G1494" s="7">
        <v>0</v>
      </c>
      <c r="H1494" s="7">
        <v>29468.26</v>
      </c>
      <c r="I1494" s="7">
        <v>0</v>
      </c>
    </row>
    <row r="1495" spans="1:9" x14ac:dyDescent="0.2">
      <c r="A1495" s="7">
        <v>22957</v>
      </c>
      <c r="B1495" s="7">
        <v>3.0759210698093498E-2</v>
      </c>
      <c r="C1495" s="7">
        <v>7.7054178620260594E-2</v>
      </c>
      <c r="D1495" s="7">
        <v>10000</v>
      </c>
      <c r="E1495" s="7" t="s">
        <v>5</v>
      </c>
      <c r="F1495" s="7">
        <v>15.61</v>
      </c>
      <c r="G1495" s="7">
        <v>0</v>
      </c>
      <c r="H1495" s="7">
        <v>12040.3199999999</v>
      </c>
      <c r="I1495" s="7">
        <v>0</v>
      </c>
    </row>
    <row r="1496" spans="1:9" x14ac:dyDescent="0.2">
      <c r="A1496" s="7">
        <v>73640</v>
      </c>
      <c r="B1496" s="7">
        <v>7.5009966319581796E-3</v>
      </c>
      <c r="C1496" s="7">
        <v>8.4798680815203503E-2</v>
      </c>
      <c r="D1496" s="7">
        <v>19200</v>
      </c>
      <c r="E1496" s="7" t="s">
        <v>7</v>
      </c>
      <c r="F1496" s="7">
        <v>22.47</v>
      </c>
      <c r="G1496" s="7">
        <v>1</v>
      </c>
      <c r="H1496" s="7">
        <v>7331.71</v>
      </c>
      <c r="I1496" s="7">
        <v>2516.89</v>
      </c>
    </row>
    <row r="1497" spans="1:9" x14ac:dyDescent="0.2">
      <c r="A1497" s="7">
        <v>40702</v>
      </c>
      <c r="B1497" s="7">
        <v>5.4704271494792199E-2</v>
      </c>
      <c r="C1497" s="7">
        <v>5.3944556304700297E-2</v>
      </c>
      <c r="D1497" s="7">
        <v>28000</v>
      </c>
      <c r="E1497" s="7" t="s">
        <v>8</v>
      </c>
      <c r="F1497" s="7">
        <v>12.35</v>
      </c>
      <c r="G1497" s="7">
        <v>0</v>
      </c>
      <c r="H1497" s="7">
        <v>29875.02</v>
      </c>
      <c r="I1497" s="7">
        <v>0</v>
      </c>
    </row>
    <row r="1498" spans="1:9" x14ac:dyDescent="0.2">
      <c r="A1498" s="7">
        <v>85006</v>
      </c>
      <c r="B1498" s="7">
        <v>3.18472774775478E-2</v>
      </c>
      <c r="C1498" s="7">
        <v>7.4974238972806501E-2</v>
      </c>
      <c r="D1498" s="7">
        <v>10000</v>
      </c>
      <c r="E1498" s="7" t="s">
        <v>8</v>
      </c>
      <c r="F1498" s="7">
        <v>12.12</v>
      </c>
      <c r="G1498" s="7">
        <v>0</v>
      </c>
      <c r="H1498" s="7">
        <v>11977.7703908968</v>
      </c>
      <c r="I1498" s="7">
        <v>0</v>
      </c>
    </row>
    <row r="1499" spans="1:9" x14ac:dyDescent="0.2">
      <c r="A1499" s="7">
        <v>120062</v>
      </c>
      <c r="B1499" s="7">
        <v>6.95467805499605E-3</v>
      </c>
      <c r="C1499" s="7">
        <v>8.4798680815203503E-2</v>
      </c>
      <c r="D1499" s="7">
        <v>19750</v>
      </c>
      <c r="E1499" s="7" t="s">
        <v>6</v>
      </c>
      <c r="F1499" s="7">
        <v>19.05</v>
      </c>
      <c r="G1499" s="7">
        <v>0</v>
      </c>
      <c r="H1499" s="7">
        <v>27150.4655014491</v>
      </c>
      <c r="I1499" s="7">
        <v>0</v>
      </c>
    </row>
    <row r="1500" spans="1:9" x14ac:dyDescent="0.2">
      <c r="A1500" s="7">
        <v>104656</v>
      </c>
      <c r="B1500" s="7">
        <v>2.80823193692189E-2</v>
      </c>
      <c r="C1500" s="7">
        <v>7.4974238972806501E-2</v>
      </c>
      <c r="D1500" s="7">
        <v>15000</v>
      </c>
      <c r="E1500" s="7" t="s">
        <v>8</v>
      </c>
      <c r="F1500" s="7">
        <v>14.09</v>
      </c>
      <c r="G1500" s="7">
        <v>0</v>
      </c>
      <c r="H1500" s="7">
        <v>16712.363942611799</v>
      </c>
      <c r="I1500" s="7">
        <v>0</v>
      </c>
    </row>
    <row r="1501" spans="1:9" x14ac:dyDescent="0.2">
      <c r="A1501" s="7">
        <v>28714</v>
      </c>
      <c r="B1501" s="7">
        <v>1.76937841888683E-2</v>
      </c>
      <c r="C1501" s="7">
        <v>8.1509172207196695E-2</v>
      </c>
      <c r="D1501" s="7">
        <v>6000</v>
      </c>
      <c r="E1501" s="7" t="s">
        <v>8</v>
      </c>
      <c r="F1501" s="7">
        <v>11.55</v>
      </c>
      <c r="G1501" s="7">
        <v>0</v>
      </c>
      <c r="H1501" s="7">
        <v>7048.9500021350004</v>
      </c>
      <c r="I1501" s="7">
        <v>0</v>
      </c>
    </row>
    <row r="1502" spans="1:9" x14ac:dyDescent="0.2">
      <c r="A1502" s="7">
        <v>22219</v>
      </c>
      <c r="B1502" s="7">
        <v>1.10092908032642E-2</v>
      </c>
      <c r="C1502" s="7">
        <v>8.1509172207196695E-2</v>
      </c>
      <c r="D1502" s="7">
        <v>10400</v>
      </c>
      <c r="E1502" s="7" t="s">
        <v>5</v>
      </c>
      <c r="F1502" s="7">
        <v>16.2</v>
      </c>
      <c r="G1502" s="7">
        <v>0</v>
      </c>
      <c r="H1502" s="7">
        <v>12056.7600018216</v>
      </c>
      <c r="I1502" s="7">
        <v>0</v>
      </c>
    </row>
    <row r="1503" spans="1:9" x14ac:dyDescent="0.2">
      <c r="A1503" s="7">
        <v>86753</v>
      </c>
      <c r="B1503" s="7">
        <v>2.7716600091562502E-2</v>
      </c>
      <c r="C1503" s="7">
        <v>7.4974238972806501E-2</v>
      </c>
      <c r="D1503" s="7">
        <v>7000</v>
      </c>
      <c r="E1503" s="7" t="s">
        <v>8</v>
      </c>
      <c r="F1503" s="7">
        <v>10.16</v>
      </c>
      <c r="G1503" s="7">
        <v>0</v>
      </c>
      <c r="H1503" s="7">
        <v>8111.65</v>
      </c>
      <c r="I1503" s="7">
        <v>0</v>
      </c>
    </row>
    <row r="1504" spans="1:9" x14ac:dyDescent="0.2">
      <c r="A1504" s="7">
        <v>119954</v>
      </c>
      <c r="B1504" s="7">
        <v>3.2739755141384497E-2</v>
      </c>
      <c r="C1504" s="7">
        <v>7.4974238972806501E-2</v>
      </c>
      <c r="D1504" s="7">
        <v>10000</v>
      </c>
      <c r="E1504" s="7" t="s">
        <v>8</v>
      </c>
      <c r="F1504" s="7">
        <v>12.12</v>
      </c>
      <c r="G1504" s="7">
        <v>0</v>
      </c>
      <c r="H1504" s="7">
        <v>10823.800204404501</v>
      </c>
      <c r="I1504" s="7">
        <v>0</v>
      </c>
    </row>
    <row r="1505" spans="1:9" x14ac:dyDescent="0.2">
      <c r="A1505" s="7">
        <v>130039</v>
      </c>
      <c r="B1505" s="7">
        <v>2.0986317356571398E-2</v>
      </c>
      <c r="C1505" s="7">
        <v>5.3944556304700297E-2</v>
      </c>
      <c r="D1505" s="7">
        <v>20000</v>
      </c>
      <c r="E1505" s="7" t="s">
        <v>4</v>
      </c>
      <c r="F1505" s="7">
        <v>8.9</v>
      </c>
      <c r="G1505" s="7">
        <v>0</v>
      </c>
      <c r="H1505" s="7">
        <v>22507.661385994899</v>
      </c>
      <c r="I1505" s="7">
        <v>0</v>
      </c>
    </row>
    <row r="1506" spans="1:9" x14ac:dyDescent="0.2">
      <c r="A1506" s="7">
        <v>74089</v>
      </c>
      <c r="B1506" s="7">
        <v>4.2516679457111302E-2</v>
      </c>
      <c r="C1506" s="7">
        <v>7.7054178620260594E-2</v>
      </c>
      <c r="D1506" s="7">
        <v>6000</v>
      </c>
      <c r="E1506" s="7" t="s">
        <v>8</v>
      </c>
      <c r="F1506" s="7">
        <v>10.16</v>
      </c>
      <c r="G1506" s="7">
        <v>0</v>
      </c>
      <c r="H1506" s="7">
        <v>6985.9150065302001</v>
      </c>
      <c r="I1506" s="7">
        <v>0</v>
      </c>
    </row>
    <row r="1507" spans="1:9" x14ac:dyDescent="0.2">
      <c r="A1507" s="7">
        <v>60239</v>
      </c>
      <c r="B1507" s="7">
        <v>2.8569617110111099E-2</v>
      </c>
      <c r="C1507" s="7">
        <v>8.1509172207196695E-2</v>
      </c>
      <c r="D1507" s="7">
        <v>6400</v>
      </c>
      <c r="E1507" s="7" t="s">
        <v>6</v>
      </c>
      <c r="F1507" s="7">
        <v>18.75</v>
      </c>
      <c r="G1507" s="7">
        <v>1</v>
      </c>
      <c r="H1507" s="7">
        <v>5473.47</v>
      </c>
      <c r="I1507" s="7">
        <v>568.35</v>
      </c>
    </row>
    <row r="1508" spans="1:9" x14ac:dyDescent="0.2">
      <c r="A1508" s="7">
        <v>115446</v>
      </c>
      <c r="B1508" s="7">
        <v>3.0327442753387401E-2</v>
      </c>
      <c r="C1508" s="7">
        <v>8.1509172207196695E-2</v>
      </c>
      <c r="D1508" s="7">
        <v>6850</v>
      </c>
      <c r="E1508" s="7" t="s">
        <v>5</v>
      </c>
      <c r="F1508" s="7">
        <v>15.31</v>
      </c>
      <c r="G1508" s="7">
        <v>0</v>
      </c>
      <c r="H1508" s="7">
        <v>8302.257550884</v>
      </c>
      <c r="I1508" s="7">
        <v>0</v>
      </c>
    </row>
    <row r="1509" spans="1:9" x14ac:dyDescent="0.2">
      <c r="A1509" s="7">
        <v>118956</v>
      </c>
      <c r="B1509" s="7">
        <v>2.7588642257053101E-2</v>
      </c>
      <c r="C1509" s="7">
        <v>8.1509172207196695E-2</v>
      </c>
      <c r="D1509" s="7">
        <v>3500</v>
      </c>
      <c r="E1509" s="7" t="s">
        <v>6</v>
      </c>
      <c r="F1509" s="7">
        <v>18.489999999999998</v>
      </c>
      <c r="G1509" s="7">
        <v>1</v>
      </c>
      <c r="H1509" s="7">
        <v>1146.5999999999999</v>
      </c>
      <c r="I1509" s="7">
        <v>0</v>
      </c>
    </row>
    <row r="1510" spans="1:9" x14ac:dyDescent="0.2">
      <c r="A1510" s="7">
        <v>6757</v>
      </c>
      <c r="B1510" s="7">
        <v>8.1372915319735898E-3</v>
      </c>
      <c r="C1510" s="7">
        <v>8.4798680815203503E-2</v>
      </c>
      <c r="D1510" s="7">
        <v>25975</v>
      </c>
      <c r="E1510" s="7" t="s">
        <v>10</v>
      </c>
      <c r="F1510" s="7">
        <v>24.99</v>
      </c>
      <c r="G1510" s="7">
        <v>1</v>
      </c>
      <c r="H1510" s="7">
        <v>10671.5</v>
      </c>
      <c r="I1510" s="7">
        <v>0</v>
      </c>
    </row>
    <row r="1511" spans="1:9" x14ac:dyDescent="0.2">
      <c r="A1511" s="7">
        <v>41890</v>
      </c>
      <c r="B1511" s="7">
        <v>3.7988421784452997E-2</v>
      </c>
      <c r="C1511" s="7">
        <v>8.1509172207196695E-2</v>
      </c>
      <c r="D1511" s="7">
        <v>4000</v>
      </c>
      <c r="E1511" s="7" t="s">
        <v>5</v>
      </c>
      <c r="F1511" s="7">
        <v>15.22</v>
      </c>
      <c r="G1511" s="7">
        <v>0</v>
      </c>
      <c r="H1511" s="7">
        <v>4331.0929783952997</v>
      </c>
      <c r="I1511" s="7">
        <v>0</v>
      </c>
    </row>
    <row r="1512" spans="1:9" x14ac:dyDescent="0.2">
      <c r="A1512" s="7">
        <v>77843</v>
      </c>
      <c r="B1512" s="7">
        <v>2.1177323021880599E-2</v>
      </c>
      <c r="C1512" s="7">
        <v>7.4974238972806501E-2</v>
      </c>
      <c r="D1512" s="7">
        <v>15550</v>
      </c>
      <c r="E1512" s="7" t="s">
        <v>4</v>
      </c>
      <c r="F1512" s="7">
        <v>7.9</v>
      </c>
      <c r="G1512" s="7">
        <v>0</v>
      </c>
      <c r="H1512" s="7">
        <v>16991.761207870801</v>
      </c>
      <c r="I1512" s="7">
        <v>0</v>
      </c>
    </row>
    <row r="1513" spans="1:9" x14ac:dyDescent="0.2">
      <c r="A1513" s="7">
        <v>67513</v>
      </c>
      <c r="B1513" s="7">
        <v>3.8226593028087598E-2</v>
      </c>
      <c r="C1513" s="7">
        <v>7.4974238972806501E-2</v>
      </c>
      <c r="D1513" s="7">
        <v>10000</v>
      </c>
      <c r="E1513" s="7" t="s">
        <v>8</v>
      </c>
      <c r="F1513" s="7">
        <v>12.12</v>
      </c>
      <c r="G1513" s="7">
        <v>1</v>
      </c>
      <c r="H1513" s="7">
        <v>5274.32</v>
      </c>
      <c r="I1513" s="7">
        <v>948.96</v>
      </c>
    </row>
    <row r="1514" spans="1:9" x14ac:dyDescent="0.2">
      <c r="A1514" s="7">
        <v>62682</v>
      </c>
      <c r="B1514" s="7">
        <v>3.9355875791678097E-2</v>
      </c>
      <c r="C1514" s="7">
        <v>7.4974238972806501E-2</v>
      </c>
      <c r="D1514" s="7">
        <v>1000</v>
      </c>
      <c r="E1514" s="7" t="s">
        <v>8</v>
      </c>
      <c r="F1514" s="7">
        <v>12.12</v>
      </c>
      <c r="G1514" s="7">
        <v>0</v>
      </c>
      <c r="H1514" s="7">
        <v>1055.21</v>
      </c>
      <c r="I1514" s="7">
        <v>0</v>
      </c>
    </row>
    <row r="1515" spans="1:9" x14ac:dyDescent="0.2">
      <c r="A1515" s="7">
        <v>67908</v>
      </c>
      <c r="B1515" s="7">
        <v>3.3598474780894401E-2</v>
      </c>
      <c r="C1515" s="7">
        <v>7.4974238972806501E-2</v>
      </c>
      <c r="D1515" s="7">
        <v>12000</v>
      </c>
      <c r="E1515" s="7" t="s">
        <v>8</v>
      </c>
      <c r="F1515" s="7">
        <v>12.12</v>
      </c>
      <c r="G1515" s="7">
        <v>1</v>
      </c>
      <c r="H1515" s="7">
        <v>10719.55</v>
      </c>
      <c r="I1515" s="7">
        <v>738.05</v>
      </c>
    </row>
    <row r="1516" spans="1:9" x14ac:dyDescent="0.2">
      <c r="A1516" s="7">
        <v>58011</v>
      </c>
      <c r="B1516" s="7">
        <v>3.48695262781889E-2</v>
      </c>
      <c r="C1516" s="7">
        <v>7.7054178620260594E-2</v>
      </c>
      <c r="D1516" s="7">
        <v>25000</v>
      </c>
      <c r="E1516" s="7" t="s">
        <v>6</v>
      </c>
      <c r="F1516" s="7">
        <v>18.75</v>
      </c>
      <c r="G1516" s="7">
        <v>0</v>
      </c>
      <c r="H1516" s="7">
        <v>29941.0707194926</v>
      </c>
      <c r="I1516" s="7">
        <v>0</v>
      </c>
    </row>
    <row r="1517" spans="1:9" x14ac:dyDescent="0.2">
      <c r="A1517" s="7">
        <v>141105</v>
      </c>
      <c r="B1517" s="7">
        <v>4.5035710629330601E-2</v>
      </c>
      <c r="C1517" s="7">
        <v>5.3944556304700297E-2</v>
      </c>
      <c r="D1517" s="7">
        <v>10000</v>
      </c>
      <c r="E1517" s="7" t="s">
        <v>5</v>
      </c>
      <c r="F1517" s="7">
        <v>16.29</v>
      </c>
      <c r="G1517" s="7">
        <v>0</v>
      </c>
      <c r="H1517" s="7">
        <v>12708.0800000035</v>
      </c>
      <c r="I1517" s="7">
        <v>0</v>
      </c>
    </row>
    <row r="1518" spans="1:9" x14ac:dyDescent="0.2">
      <c r="A1518" s="7">
        <v>140818</v>
      </c>
      <c r="B1518" s="7">
        <v>2.7762809241680401E-2</v>
      </c>
      <c r="C1518" s="7">
        <v>5.3944556304700297E-2</v>
      </c>
      <c r="D1518" s="7">
        <v>20000</v>
      </c>
      <c r="E1518" s="7" t="s">
        <v>8</v>
      </c>
      <c r="F1518" s="7">
        <v>9.76</v>
      </c>
      <c r="G1518" s="7">
        <v>0</v>
      </c>
      <c r="H1518" s="7">
        <v>22969.650000004101</v>
      </c>
      <c r="I1518" s="7">
        <v>0</v>
      </c>
    </row>
    <row r="1519" spans="1:9" x14ac:dyDescent="0.2">
      <c r="A1519" s="7">
        <v>98191</v>
      </c>
      <c r="B1519" s="7">
        <v>2.29033031880445E-2</v>
      </c>
      <c r="C1519" s="7">
        <v>8.1509172207196695E-2</v>
      </c>
      <c r="D1519" s="7">
        <v>12175</v>
      </c>
      <c r="E1519" s="7" t="s">
        <v>6</v>
      </c>
      <c r="F1519" s="7">
        <v>18.489999999999998</v>
      </c>
      <c r="G1519" s="7">
        <v>0</v>
      </c>
      <c r="H1519" s="7">
        <v>14785.021814018201</v>
      </c>
      <c r="I1519" s="7">
        <v>0</v>
      </c>
    </row>
    <row r="1520" spans="1:9" x14ac:dyDescent="0.2">
      <c r="A1520" s="7">
        <v>138474</v>
      </c>
      <c r="B1520" s="7">
        <v>3.0646215934341602E-2</v>
      </c>
      <c r="C1520" s="7">
        <v>7.4974238972806501E-2</v>
      </c>
      <c r="D1520" s="7">
        <v>10000</v>
      </c>
      <c r="E1520" s="7" t="s">
        <v>4</v>
      </c>
      <c r="F1520" s="7">
        <v>8.9</v>
      </c>
      <c r="G1520" s="7">
        <v>0</v>
      </c>
      <c r="H1520" s="7">
        <v>11006.678931390899</v>
      </c>
      <c r="I1520" s="7">
        <v>0</v>
      </c>
    </row>
    <row r="1521" spans="1:9" x14ac:dyDescent="0.2">
      <c r="A1521" s="7">
        <v>11976</v>
      </c>
      <c r="B1521" s="7">
        <v>2.7438481588220199E-2</v>
      </c>
      <c r="C1521" s="7">
        <v>7.4974238972806501E-2</v>
      </c>
      <c r="D1521" s="7">
        <v>15000</v>
      </c>
      <c r="E1521" s="7" t="s">
        <v>8</v>
      </c>
      <c r="F1521" s="7">
        <v>9.67</v>
      </c>
      <c r="G1521" s="7">
        <v>0</v>
      </c>
      <c r="H1521" s="7">
        <v>16524.310000000001</v>
      </c>
      <c r="I1521" s="7">
        <v>0</v>
      </c>
    </row>
    <row r="1522" spans="1:9" x14ac:dyDescent="0.2">
      <c r="A1522" s="7">
        <v>101079</v>
      </c>
      <c r="B1522" s="7">
        <v>1.08140554197241E-3</v>
      </c>
      <c r="C1522" s="7">
        <v>8.4798680815203503E-2</v>
      </c>
      <c r="D1522" s="7">
        <v>35000</v>
      </c>
      <c r="E1522" s="7" t="s">
        <v>7</v>
      </c>
      <c r="F1522" s="7">
        <v>22.47</v>
      </c>
      <c r="G1522" s="7">
        <v>1</v>
      </c>
      <c r="H1522" s="7">
        <v>31642.720000000001</v>
      </c>
      <c r="I1522" s="7">
        <v>4322.5600000000004</v>
      </c>
    </row>
    <row r="1523" spans="1:9" x14ac:dyDescent="0.2">
      <c r="A1523" s="7">
        <v>116510</v>
      </c>
      <c r="B1523" s="7">
        <v>3.3742849329698302E-2</v>
      </c>
      <c r="C1523" s="7">
        <v>8.1509172207196695E-2</v>
      </c>
      <c r="D1523" s="7">
        <v>9600</v>
      </c>
      <c r="E1523" s="7" t="s">
        <v>8</v>
      </c>
      <c r="F1523" s="7">
        <v>13.11</v>
      </c>
      <c r="G1523" s="7">
        <v>0</v>
      </c>
      <c r="H1523" s="7">
        <v>11662.8772769961</v>
      </c>
      <c r="I1523" s="7">
        <v>0</v>
      </c>
    </row>
    <row r="1524" spans="1:9" x14ac:dyDescent="0.2">
      <c r="A1524" s="7">
        <v>59464</v>
      </c>
      <c r="B1524" s="7">
        <v>2.4228319105617201E-2</v>
      </c>
      <c r="C1524" s="7">
        <v>7.4974238972806501E-2</v>
      </c>
      <c r="D1524" s="7">
        <v>11500</v>
      </c>
      <c r="E1524" s="7" t="s">
        <v>8</v>
      </c>
      <c r="F1524" s="7">
        <v>13.11</v>
      </c>
      <c r="G1524" s="7">
        <v>1</v>
      </c>
      <c r="H1524" s="7">
        <v>10997.9</v>
      </c>
      <c r="I1524" s="7">
        <v>524.41999999999996</v>
      </c>
    </row>
    <row r="1525" spans="1:9" x14ac:dyDescent="0.2">
      <c r="A1525" s="7">
        <v>91783</v>
      </c>
      <c r="B1525" s="7">
        <v>3.6795052909885197E-2</v>
      </c>
      <c r="C1525" s="7">
        <v>8.1509172207196695E-2</v>
      </c>
      <c r="D1525" s="7">
        <v>8000</v>
      </c>
      <c r="E1525" s="7" t="s">
        <v>8</v>
      </c>
      <c r="F1525" s="7">
        <v>13.11</v>
      </c>
      <c r="G1525" s="7">
        <v>0</v>
      </c>
      <c r="H1525" s="7">
        <v>9719.0904541039999</v>
      </c>
      <c r="I1525" s="7">
        <v>0</v>
      </c>
    </row>
    <row r="1526" spans="1:9" x14ac:dyDescent="0.2">
      <c r="A1526" s="7">
        <v>23080</v>
      </c>
      <c r="B1526" s="7">
        <v>3.19233852500237E-3</v>
      </c>
      <c r="C1526" s="7">
        <v>8.4798680815203503E-2</v>
      </c>
      <c r="D1526" s="7">
        <v>21600</v>
      </c>
      <c r="E1526" s="7" t="s">
        <v>5</v>
      </c>
      <c r="F1526" s="7">
        <v>17.100000000000001</v>
      </c>
      <c r="G1526" s="7">
        <v>0</v>
      </c>
      <c r="H1526" s="7">
        <v>28960.9799970571</v>
      </c>
      <c r="I1526" s="7">
        <v>0</v>
      </c>
    </row>
    <row r="1527" spans="1:9" x14ac:dyDescent="0.2">
      <c r="A1527" s="7">
        <v>144098</v>
      </c>
      <c r="B1527" s="7">
        <v>2.02702339927536E-2</v>
      </c>
      <c r="C1527" s="7">
        <v>7.4974238972806501E-2</v>
      </c>
      <c r="D1527" s="7">
        <v>8500</v>
      </c>
      <c r="E1527" s="7" t="s">
        <v>4</v>
      </c>
      <c r="F1527" s="7">
        <v>6.03</v>
      </c>
      <c r="G1527" s="7">
        <v>0</v>
      </c>
      <c r="H1527" s="7">
        <v>9313.2461542228993</v>
      </c>
      <c r="I1527" s="7">
        <v>0</v>
      </c>
    </row>
    <row r="1528" spans="1:9" x14ac:dyDescent="0.2">
      <c r="A1528" s="7">
        <v>137917</v>
      </c>
      <c r="B1528" s="7">
        <v>7.8210733827473594E-3</v>
      </c>
      <c r="C1528" s="7">
        <v>5.3944556304700297E-2</v>
      </c>
      <c r="D1528" s="7">
        <v>20000</v>
      </c>
      <c r="E1528" s="7" t="s">
        <v>8</v>
      </c>
      <c r="F1528" s="7">
        <v>13.67</v>
      </c>
      <c r="G1528" s="7">
        <v>0</v>
      </c>
      <c r="H1528" s="7">
        <v>26286.6174979764</v>
      </c>
      <c r="I1528" s="7">
        <v>0</v>
      </c>
    </row>
    <row r="1529" spans="1:9" x14ac:dyDescent="0.2">
      <c r="A1529" s="7">
        <v>129781</v>
      </c>
      <c r="B1529" s="7">
        <v>3.1818666353965797E-2</v>
      </c>
      <c r="C1529" s="7">
        <v>8.1509172207196695E-2</v>
      </c>
      <c r="D1529" s="7">
        <v>6000</v>
      </c>
      <c r="E1529" s="7" t="s">
        <v>8</v>
      </c>
      <c r="F1529" s="7">
        <v>12.12</v>
      </c>
      <c r="G1529" s="7">
        <v>0</v>
      </c>
      <c r="H1529" s="7">
        <v>7186.6800035519</v>
      </c>
      <c r="I1529" s="7">
        <v>0</v>
      </c>
    </row>
    <row r="1530" spans="1:9" x14ac:dyDescent="0.2">
      <c r="A1530" s="7">
        <v>37776</v>
      </c>
      <c r="B1530" s="7">
        <v>4.6083985625591803E-3</v>
      </c>
      <c r="C1530" s="7">
        <v>8.4798680815203503E-2</v>
      </c>
      <c r="D1530" s="7">
        <v>20000</v>
      </c>
      <c r="E1530" s="7" t="s">
        <v>5</v>
      </c>
      <c r="F1530" s="7">
        <v>15.88</v>
      </c>
      <c r="G1530" s="7">
        <v>0</v>
      </c>
      <c r="H1530" s="7">
        <v>22510.6634842192</v>
      </c>
      <c r="I1530" s="7">
        <v>0</v>
      </c>
    </row>
    <row r="1531" spans="1:9" x14ac:dyDescent="0.2">
      <c r="A1531" s="7">
        <v>103602</v>
      </c>
      <c r="B1531" s="7">
        <v>4.4086230276161001E-2</v>
      </c>
      <c r="C1531" s="7">
        <v>5.3944556304700297E-2</v>
      </c>
      <c r="D1531" s="7">
        <v>12000</v>
      </c>
      <c r="E1531" s="7" t="s">
        <v>8</v>
      </c>
      <c r="F1531" s="7">
        <v>12.12</v>
      </c>
      <c r="G1531" s="7">
        <v>0</v>
      </c>
      <c r="H1531" s="7">
        <v>14373.353087851399</v>
      </c>
      <c r="I1531" s="7">
        <v>0</v>
      </c>
    </row>
    <row r="1532" spans="1:9" x14ac:dyDescent="0.2">
      <c r="A1532" s="7">
        <v>26541</v>
      </c>
      <c r="B1532" s="7">
        <v>2.2737044055789201E-2</v>
      </c>
      <c r="C1532" s="7">
        <v>8.1509172207196695E-2</v>
      </c>
      <c r="D1532" s="7">
        <v>3850</v>
      </c>
      <c r="E1532" s="7" t="s">
        <v>5</v>
      </c>
      <c r="F1532" s="7">
        <v>15.61</v>
      </c>
      <c r="G1532" s="7">
        <v>0</v>
      </c>
      <c r="H1532" s="7">
        <v>4520.190000134</v>
      </c>
      <c r="I1532" s="7">
        <v>0</v>
      </c>
    </row>
    <row r="1533" spans="1:9" x14ac:dyDescent="0.2">
      <c r="A1533" s="7">
        <v>30639</v>
      </c>
      <c r="B1533" s="7">
        <v>2.5335997498586602E-2</v>
      </c>
      <c r="C1533" s="7">
        <v>7.4974238972806501E-2</v>
      </c>
      <c r="D1533" s="7">
        <v>12000</v>
      </c>
      <c r="E1533" s="7" t="s">
        <v>8</v>
      </c>
      <c r="F1533" s="7">
        <v>11.55</v>
      </c>
      <c r="G1533" s="7">
        <v>0</v>
      </c>
      <c r="H1533" s="7">
        <v>13754.269993510101</v>
      </c>
      <c r="I1533" s="7">
        <v>0</v>
      </c>
    </row>
    <row r="1534" spans="1:9" x14ac:dyDescent="0.2">
      <c r="A1534" s="7">
        <v>15165</v>
      </c>
      <c r="B1534" s="7">
        <v>2.7921181225388E-2</v>
      </c>
      <c r="C1534" s="7">
        <v>7.4974238972806501E-2</v>
      </c>
      <c r="D1534" s="7">
        <v>13000</v>
      </c>
      <c r="E1534" s="7" t="s">
        <v>5</v>
      </c>
      <c r="F1534" s="7">
        <v>17.100000000000001</v>
      </c>
      <c r="G1534" s="7">
        <v>0</v>
      </c>
      <c r="H1534" s="7">
        <v>13185.4034834668</v>
      </c>
      <c r="I1534" s="7">
        <v>0</v>
      </c>
    </row>
    <row r="1535" spans="1:9" x14ac:dyDescent="0.2">
      <c r="A1535" s="7">
        <v>50560</v>
      </c>
      <c r="B1535" s="7">
        <v>7.0201057505699703E-3</v>
      </c>
      <c r="C1535" s="7">
        <v>8.4798680815203503E-2</v>
      </c>
      <c r="D1535" s="7">
        <v>30000</v>
      </c>
      <c r="E1535" s="7" t="s">
        <v>5</v>
      </c>
      <c r="F1535" s="7">
        <v>17.27</v>
      </c>
      <c r="G1535" s="7">
        <v>1</v>
      </c>
      <c r="H1535" s="7">
        <v>14795.24</v>
      </c>
      <c r="I1535" s="7">
        <v>3546.28</v>
      </c>
    </row>
    <row r="1536" spans="1:9" x14ac:dyDescent="0.2">
      <c r="A1536" s="7">
        <v>66272</v>
      </c>
      <c r="B1536" s="7">
        <v>3.47316590370991E-2</v>
      </c>
      <c r="C1536" s="7">
        <v>5.3944556304700297E-2</v>
      </c>
      <c r="D1536" s="7">
        <v>20000</v>
      </c>
      <c r="E1536" s="7" t="s">
        <v>8</v>
      </c>
      <c r="F1536" s="7">
        <v>11.14</v>
      </c>
      <c r="G1536" s="7">
        <v>0</v>
      </c>
      <c r="H1536" s="7">
        <v>22898.950000001001</v>
      </c>
      <c r="I1536" s="7">
        <v>0</v>
      </c>
    </row>
    <row r="1537" spans="1:9" x14ac:dyDescent="0.2">
      <c r="A1537" s="7">
        <v>94474</v>
      </c>
      <c r="B1537" s="7">
        <v>3.023759949388E-2</v>
      </c>
      <c r="C1537" s="7">
        <v>7.7054178620260594E-2</v>
      </c>
      <c r="D1537" s="7">
        <v>10000</v>
      </c>
      <c r="E1537" s="7" t="s">
        <v>5</v>
      </c>
      <c r="F1537" s="7">
        <v>17.27</v>
      </c>
      <c r="G1537" s="7">
        <v>1</v>
      </c>
      <c r="H1537" s="7">
        <v>9866.3700000000008</v>
      </c>
      <c r="I1537" s="7">
        <v>0</v>
      </c>
    </row>
    <row r="1538" spans="1:9" x14ac:dyDescent="0.2">
      <c r="A1538" s="7">
        <v>47798</v>
      </c>
      <c r="B1538" s="7">
        <v>1.7688245581465301E-2</v>
      </c>
      <c r="C1538" s="7">
        <v>7.4974238972806501E-2</v>
      </c>
      <c r="D1538" s="7">
        <v>1025</v>
      </c>
      <c r="E1538" s="7" t="s">
        <v>4</v>
      </c>
      <c r="F1538" s="7">
        <v>7.62</v>
      </c>
      <c r="G1538" s="7">
        <v>0</v>
      </c>
      <c r="H1538" s="7">
        <v>1149.8128382519001</v>
      </c>
      <c r="I1538" s="7">
        <v>0</v>
      </c>
    </row>
    <row r="1539" spans="1:9" x14ac:dyDescent="0.2">
      <c r="A1539" s="7">
        <v>28526</v>
      </c>
      <c r="B1539" s="7">
        <v>-3.2156140887935601E-3</v>
      </c>
      <c r="C1539" s="7">
        <v>8.4798680815203503E-2</v>
      </c>
      <c r="D1539" s="7">
        <v>25000</v>
      </c>
      <c r="E1539" s="7" t="s">
        <v>6</v>
      </c>
      <c r="F1539" s="7">
        <v>18.25</v>
      </c>
      <c r="G1539" s="7">
        <v>1</v>
      </c>
      <c r="H1539" s="7">
        <v>8297</v>
      </c>
      <c r="I1539" s="7">
        <v>0</v>
      </c>
    </row>
    <row r="1540" spans="1:9" x14ac:dyDescent="0.2">
      <c r="A1540" s="7">
        <v>86942</v>
      </c>
      <c r="B1540" s="7">
        <v>8.8415518227586993E-3</v>
      </c>
      <c r="C1540" s="7">
        <v>7.7054178620260594E-2</v>
      </c>
      <c r="D1540" s="7">
        <v>16000</v>
      </c>
      <c r="E1540" s="7" t="s">
        <v>5</v>
      </c>
      <c r="F1540" s="7">
        <v>15.31</v>
      </c>
      <c r="G1540" s="7">
        <v>0</v>
      </c>
      <c r="H1540" s="7">
        <v>19299.788649343001</v>
      </c>
      <c r="I1540" s="7">
        <v>0</v>
      </c>
    </row>
    <row r="1541" spans="1:9" x14ac:dyDescent="0.2">
      <c r="A1541" s="7">
        <v>29299</v>
      </c>
      <c r="B1541" s="7">
        <v>3.4742830939753701E-2</v>
      </c>
      <c r="C1541" s="7">
        <v>8.1509172207196695E-2</v>
      </c>
      <c r="D1541" s="7">
        <v>9600</v>
      </c>
      <c r="E1541" s="7" t="s">
        <v>5</v>
      </c>
      <c r="F1541" s="7">
        <v>14.33</v>
      </c>
      <c r="G1541" s="7">
        <v>0</v>
      </c>
      <c r="H1541" s="7">
        <v>10799.289660573701</v>
      </c>
      <c r="I1541" s="7">
        <v>0</v>
      </c>
    </row>
    <row r="1542" spans="1:9" x14ac:dyDescent="0.2">
      <c r="A1542" s="7">
        <v>67365</v>
      </c>
      <c r="B1542" s="7">
        <v>2.4377137402836299E-2</v>
      </c>
      <c r="C1542" s="7">
        <v>8.1509172207196695E-2</v>
      </c>
      <c r="D1542" s="7">
        <v>5600</v>
      </c>
      <c r="E1542" s="7" t="s">
        <v>8</v>
      </c>
      <c r="F1542" s="7">
        <v>12.12</v>
      </c>
      <c r="G1542" s="7">
        <v>0</v>
      </c>
      <c r="H1542" s="7">
        <v>6507.9899995441001</v>
      </c>
      <c r="I1542" s="7">
        <v>0</v>
      </c>
    </row>
    <row r="1543" spans="1:9" x14ac:dyDescent="0.2">
      <c r="A1543" s="7">
        <v>60817</v>
      </c>
      <c r="B1543" s="7">
        <v>3.1121241672253601E-2</v>
      </c>
      <c r="C1543" s="7">
        <v>8.4798680815203503E-2</v>
      </c>
      <c r="D1543" s="7">
        <v>30000</v>
      </c>
      <c r="E1543" s="7" t="s">
        <v>6</v>
      </c>
      <c r="F1543" s="7">
        <v>19.05</v>
      </c>
      <c r="G1543" s="7">
        <v>0</v>
      </c>
      <c r="H1543" s="7">
        <v>38750.399972872598</v>
      </c>
      <c r="I1543" s="7">
        <v>0</v>
      </c>
    </row>
    <row r="1544" spans="1:9" x14ac:dyDescent="0.2">
      <c r="A1544" s="7">
        <v>77911</v>
      </c>
      <c r="B1544" s="7">
        <v>1.7358791787594599E-2</v>
      </c>
      <c r="C1544" s="7">
        <v>8.1509172207196695E-2</v>
      </c>
      <c r="D1544" s="7">
        <v>5000</v>
      </c>
      <c r="E1544" s="7" t="s">
        <v>6</v>
      </c>
      <c r="F1544" s="7">
        <v>18.489999999999998</v>
      </c>
      <c r="G1544" s="7">
        <v>0</v>
      </c>
      <c r="H1544" s="7">
        <v>6551.6851536524</v>
      </c>
      <c r="I1544" s="7">
        <v>0</v>
      </c>
    </row>
    <row r="1545" spans="1:9" x14ac:dyDescent="0.2">
      <c r="A1545" s="7">
        <v>46056</v>
      </c>
      <c r="B1545" s="7">
        <v>-5.4708626367892402E-3</v>
      </c>
      <c r="C1545" s="7">
        <v>8.1509172207196695E-2</v>
      </c>
      <c r="D1545" s="7">
        <v>15250</v>
      </c>
      <c r="E1545" s="7" t="s">
        <v>5</v>
      </c>
      <c r="F1545" s="7">
        <v>15.22</v>
      </c>
      <c r="G1545" s="7">
        <v>0</v>
      </c>
      <c r="H1545" s="7">
        <v>18223.3705183694</v>
      </c>
      <c r="I1545" s="7">
        <v>0</v>
      </c>
    </row>
    <row r="1546" spans="1:9" x14ac:dyDescent="0.2">
      <c r="A1546" s="7">
        <v>127452</v>
      </c>
      <c r="B1546" s="7">
        <v>2.5528815467426001E-2</v>
      </c>
      <c r="C1546" s="7">
        <v>8.4798680815203503E-2</v>
      </c>
      <c r="D1546" s="7">
        <v>25000</v>
      </c>
      <c r="E1546" s="7" t="s">
        <v>6</v>
      </c>
      <c r="F1546" s="7">
        <v>17.27</v>
      </c>
      <c r="G1546" s="7">
        <v>0</v>
      </c>
      <c r="H1546" s="7">
        <v>32208.430000002001</v>
      </c>
      <c r="I1546" s="7">
        <v>0</v>
      </c>
    </row>
    <row r="1547" spans="1:9" x14ac:dyDescent="0.2">
      <c r="A1547" s="7">
        <v>30911</v>
      </c>
      <c r="B1547" s="7">
        <v>2.0309861386829602E-2</v>
      </c>
      <c r="C1547" s="7">
        <v>7.7054178620260594E-2</v>
      </c>
      <c r="D1547" s="7">
        <v>9000</v>
      </c>
      <c r="E1547" s="7" t="s">
        <v>8</v>
      </c>
      <c r="F1547" s="7">
        <v>11.55</v>
      </c>
      <c r="G1547" s="7">
        <v>0</v>
      </c>
      <c r="H1547" s="7">
        <v>10296.938327125399</v>
      </c>
      <c r="I1547" s="7">
        <v>0</v>
      </c>
    </row>
    <row r="1548" spans="1:9" x14ac:dyDescent="0.2">
      <c r="A1548" s="7">
        <v>32478</v>
      </c>
      <c r="B1548" s="7">
        <v>-3.73222803432621E-3</v>
      </c>
      <c r="C1548" s="7">
        <v>7.4974238972806501E-2</v>
      </c>
      <c r="D1548" s="7">
        <v>22000</v>
      </c>
      <c r="E1548" s="7" t="s">
        <v>8</v>
      </c>
      <c r="F1548" s="7">
        <v>9.7100000000000009</v>
      </c>
      <c r="G1548" s="7">
        <v>0</v>
      </c>
      <c r="H1548" s="7">
        <v>24128.051478967802</v>
      </c>
      <c r="I1548" s="7">
        <v>0</v>
      </c>
    </row>
    <row r="1549" spans="1:9" x14ac:dyDescent="0.2">
      <c r="A1549" s="7">
        <v>9368</v>
      </c>
      <c r="B1549" s="7">
        <v>2.3263148023940201E-2</v>
      </c>
      <c r="C1549" s="7">
        <v>8.1509172207196695E-2</v>
      </c>
      <c r="D1549" s="7">
        <v>6000</v>
      </c>
      <c r="E1549" s="7" t="s">
        <v>4</v>
      </c>
      <c r="F1549" s="7">
        <v>8.9</v>
      </c>
      <c r="G1549" s="7">
        <v>0</v>
      </c>
      <c r="H1549" s="7">
        <v>6725.9600018842002</v>
      </c>
      <c r="I1549" s="7">
        <v>0</v>
      </c>
    </row>
    <row r="1550" spans="1:9" x14ac:dyDescent="0.2">
      <c r="A1550" s="7">
        <v>143162</v>
      </c>
      <c r="B1550" s="7">
        <v>2.0189956150505901E-2</v>
      </c>
      <c r="C1550" s="7">
        <v>8.1509172207196695E-2</v>
      </c>
      <c r="D1550" s="7">
        <v>15000</v>
      </c>
      <c r="E1550" s="7" t="s">
        <v>4</v>
      </c>
      <c r="F1550" s="7">
        <v>7.9</v>
      </c>
      <c r="G1550" s="7">
        <v>0</v>
      </c>
      <c r="H1550" s="7">
        <v>16475.440629000499</v>
      </c>
      <c r="I1550" s="7">
        <v>0</v>
      </c>
    </row>
    <row r="1551" spans="1:9" x14ac:dyDescent="0.2">
      <c r="A1551" s="7">
        <v>57123</v>
      </c>
      <c r="B1551" s="7">
        <v>3.1931988586560198E-2</v>
      </c>
      <c r="C1551" s="7">
        <v>8.4798680815203503E-2</v>
      </c>
      <c r="D1551" s="7">
        <v>22000</v>
      </c>
      <c r="E1551" s="7" t="s">
        <v>8</v>
      </c>
      <c r="F1551" s="7">
        <v>14.09</v>
      </c>
      <c r="G1551" s="7">
        <v>0</v>
      </c>
      <c r="H1551" s="7">
        <v>25396.559836931301</v>
      </c>
      <c r="I1551" s="7">
        <v>0</v>
      </c>
    </row>
    <row r="1552" spans="1:9" x14ac:dyDescent="0.2">
      <c r="A1552" s="7">
        <v>128319</v>
      </c>
      <c r="B1552" s="7">
        <v>2.1789287283131599E-2</v>
      </c>
      <c r="C1552" s="7">
        <v>8.1509172207196695E-2</v>
      </c>
      <c r="D1552" s="7">
        <v>10000</v>
      </c>
      <c r="E1552" s="7" t="s">
        <v>8</v>
      </c>
      <c r="F1552" s="7">
        <v>10.74</v>
      </c>
      <c r="G1552" s="7">
        <v>0</v>
      </c>
      <c r="H1552" s="7">
        <v>11408.4375423523</v>
      </c>
      <c r="I1552" s="7">
        <v>0</v>
      </c>
    </row>
    <row r="1553" spans="1:9" x14ac:dyDescent="0.2">
      <c r="A1553" s="7">
        <v>63271</v>
      </c>
      <c r="B1553" s="7">
        <v>2.5839283980015899E-2</v>
      </c>
      <c r="C1553" s="7">
        <v>8.1509172207196695E-2</v>
      </c>
      <c r="D1553" s="7">
        <v>12000</v>
      </c>
      <c r="E1553" s="7" t="s">
        <v>6</v>
      </c>
      <c r="F1553" s="7">
        <v>18.489999999999998</v>
      </c>
      <c r="G1553" s="7">
        <v>1</v>
      </c>
      <c r="H1553" s="7">
        <v>6981.35</v>
      </c>
      <c r="I1553" s="7">
        <v>0</v>
      </c>
    </row>
    <row r="1554" spans="1:9" x14ac:dyDescent="0.2">
      <c r="A1554" s="7">
        <v>75614</v>
      </c>
      <c r="B1554" s="7">
        <v>2.9050845982826801E-2</v>
      </c>
      <c r="C1554" s="7">
        <v>7.4974238972806501E-2</v>
      </c>
      <c r="D1554" s="7">
        <v>10000</v>
      </c>
      <c r="E1554" s="7" t="s">
        <v>5</v>
      </c>
      <c r="F1554" s="7">
        <v>15.31</v>
      </c>
      <c r="G1554" s="7">
        <v>0</v>
      </c>
      <c r="H1554" s="7">
        <v>12534.175914240101</v>
      </c>
      <c r="I1554" s="7">
        <v>0</v>
      </c>
    </row>
    <row r="1555" spans="1:9" x14ac:dyDescent="0.2">
      <c r="A1555" s="7">
        <v>91093</v>
      </c>
      <c r="B1555" s="7">
        <v>1.5926118702556901E-2</v>
      </c>
      <c r="C1555" s="7">
        <v>5.3944556304700297E-2</v>
      </c>
      <c r="D1555" s="7">
        <v>17600</v>
      </c>
      <c r="E1555" s="7" t="s">
        <v>5</v>
      </c>
      <c r="F1555" s="7">
        <v>14.33</v>
      </c>
      <c r="G1555" s="7">
        <v>0</v>
      </c>
      <c r="H1555" s="7">
        <v>18094.8212514281</v>
      </c>
      <c r="I1555" s="7">
        <v>0</v>
      </c>
    </row>
    <row r="1556" spans="1:9" x14ac:dyDescent="0.2">
      <c r="A1556" s="7">
        <v>17950</v>
      </c>
      <c r="B1556" s="7">
        <v>-3.67773933303037E-3</v>
      </c>
      <c r="C1556" s="7">
        <v>7.4974238972806501E-2</v>
      </c>
      <c r="D1556" s="7">
        <v>11200</v>
      </c>
      <c r="E1556" s="7" t="s">
        <v>7</v>
      </c>
      <c r="F1556" s="7">
        <v>23.1</v>
      </c>
      <c r="G1556" s="7">
        <v>0</v>
      </c>
      <c r="H1556" s="7">
        <v>14454.4000146502</v>
      </c>
      <c r="I1556" s="7">
        <v>0</v>
      </c>
    </row>
    <row r="1557" spans="1:9" x14ac:dyDescent="0.2">
      <c r="A1557" s="7">
        <v>77580</v>
      </c>
      <c r="B1557" s="7">
        <v>2.6052704593437E-2</v>
      </c>
      <c r="C1557" s="7">
        <v>7.4974238972806501E-2</v>
      </c>
      <c r="D1557" s="7">
        <v>10800</v>
      </c>
      <c r="E1557" s="7" t="s">
        <v>5</v>
      </c>
      <c r="F1557" s="7">
        <v>15.8</v>
      </c>
      <c r="G1557" s="7">
        <v>1</v>
      </c>
      <c r="H1557" s="7">
        <v>6661.61</v>
      </c>
      <c r="I1557" s="7">
        <v>985.42</v>
      </c>
    </row>
    <row r="1558" spans="1:9" x14ac:dyDescent="0.2">
      <c r="A1558" s="7">
        <v>52803</v>
      </c>
      <c r="B1558" s="7">
        <v>3.17848899428766E-2</v>
      </c>
      <c r="C1558" s="7">
        <v>7.4974238972806501E-2</v>
      </c>
      <c r="D1558" s="7">
        <v>5675</v>
      </c>
      <c r="E1558" s="7" t="s">
        <v>5</v>
      </c>
      <c r="F1558" s="7">
        <v>14.33</v>
      </c>
      <c r="G1558" s="7">
        <v>0</v>
      </c>
      <c r="H1558" s="7">
        <v>7058.6699994531</v>
      </c>
      <c r="I1558" s="7">
        <v>0</v>
      </c>
    </row>
    <row r="1559" spans="1:9" x14ac:dyDescent="0.2">
      <c r="A1559" s="7">
        <v>58518</v>
      </c>
      <c r="B1559" s="7">
        <v>-4.5759661567408103E-3</v>
      </c>
      <c r="C1559" s="7">
        <v>8.4798680815203503E-2</v>
      </c>
      <c r="D1559" s="7">
        <v>24000</v>
      </c>
      <c r="E1559" s="7" t="s">
        <v>8</v>
      </c>
      <c r="F1559" s="7">
        <v>12.12</v>
      </c>
      <c r="G1559" s="7">
        <v>0</v>
      </c>
      <c r="H1559" s="7">
        <v>28866.25</v>
      </c>
      <c r="I1559" s="7">
        <v>0</v>
      </c>
    </row>
    <row r="1560" spans="1:9" x14ac:dyDescent="0.2">
      <c r="A1560" s="7">
        <v>55528</v>
      </c>
      <c r="B1560" s="7">
        <v>3.3124666665573399E-2</v>
      </c>
      <c r="C1560" s="7">
        <v>7.7054178620260594E-2</v>
      </c>
      <c r="D1560" s="7">
        <v>10000</v>
      </c>
      <c r="E1560" s="7" t="s">
        <v>8</v>
      </c>
      <c r="F1560" s="7">
        <v>13.11</v>
      </c>
      <c r="G1560" s="7">
        <v>0</v>
      </c>
      <c r="H1560" s="7">
        <v>12091.43</v>
      </c>
      <c r="I1560" s="7">
        <v>0</v>
      </c>
    </row>
    <row r="1561" spans="1:9" x14ac:dyDescent="0.2">
      <c r="A1561" s="7">
        <v>109901</v>
      </c>
      <c r="B1561" s="7">
        <v>3.5932745357611803E-2</v>
      </c>
      <c r="C1561" s="7">
        <v>7.4974238972806501E-2</v>
      </c>
      <c r="D1561" s="7">
        <v>10575</v>
      </c>
      <c r="E1561" s="7" t="s">
        <v>6</v>
      </c>
      <c r="F1561" s="7">
        <v>18.489999999999998</v>
      </c>
      <c r="G1561" s="7">
        <v>0</v>
      </c>
      <c r="H1561" s="7">
        <v>12420.8959531214</v>
      </c>
      <c r="I1561" s="7">
        <v>0</v>
      </c>
    </row>
    <row r="1562" spans="1:9" x14ac:dyDescent="0.2">
      <c r="A1562" s="7">
        <v>26501</v>
      </c>
      <c r="B1562" s="7">
        <v>2.4511289322185499E-2</v>
      </c>
      <c r="C1562" s="7">
        <v>8.1509172207196695E-2</v>
      </c>
      <c r="D1562" s="7">
        <v>3000</v>
      </c>
      <c r="E1562" s="7" t="s">
        <v>6</v>
      </c>
      <c r="F1562" s="7">
        <v>18.55</v>
      </c>
      <c r="G1562" s="7">
        <v>0</v>
      </c>
      <c r="H1562" s="7">
        <v>3381.0734611101002</v>
      </c>
      <c r="I1562" s="7">
        <v>0</v>
      </c>
    </row>
    <row r="1563" spans="1:9" x14ac:dyDescent="0.2">
      <c r="A1563" s="7">
        <v>15433</v>
      </c>
      <c r="B1563" s="7">
        <v>1.6955884015295498E-2</v>
      </c>
      <c r="C1563" s="7">
        <v>8.1509172207196695E-2</v>
      </c>
      <c r="D1563" s="7">
        <v>7000</v>
      </c>
      <c r="E1563" s="7" t="s">
        <v>4</v>
      </c>
      <c r="F1563" s="7">
        <v>8.9</v>
      </c>
      <c r="G1563" s="7">
        <v>0</v>
      </c>
      <c r="H1563" s="7">
        <v>7733.32</v>
      </c>
      <c r="I1563" s="7">
        <v>0</v>
      </c>
    </row>
    <row r="1564" spans="1:9" x14ac:dyDescent="0.2">
      <c r="A1564" s="7">
        <v>2182</v>
      </c>
      <c r="B1564" s="7">
        <v>3.2800625448229502E-2</v>
      </c>
      <c r="C1564" s="7">
        <v>7.4974238972806501E-2</v>
      </c>
      <c r="D1564" s="7">
        <v>9800</v>
      </c>
      <c r="E1564" s="7" t="s">
        <v>5</v>
      </c>
      <c r="F1564" s="7">
        <v>13.98</v>
      </c>
      <c r="G1564" s="7">
        <v>0</v>
      </c>
      <c r="H1564" s="7">
        <v>11074.86</v>
      </c>
      <c r="I1564" s="7">
        <v>0</v>
      </c>
    </row>
    <row r="1565" spans="1:9" x14ac:dyDescent="0.2">
      <c r="A1565" s="7">
        <v>50287</v>
      </c>
      <c r="B1565" s="7">
        <v>3.18643326142595E-2</v>
      </c>
      <c r="C1565" s="7">
        <v>8.1509172207196695E-2</v>
      </c>
      <c r="D1565" s="7">
        <v>2800</v>
      </c>
      <c r="E1565" s="7" t="s">
        <v>6</v>
      </c>
      <c r="F1565" s="7">
        <v>17.77</v>
      </c>
      <c r="G1565" s="7">
        <v>1</v>
      </c>
      <c r="H1565" s="7">
        <v>2926.18</v>
      </c>
      <c r="I1565" s="7">
        <v>0</v>
      </c>
    </row>
    <row r="1566" spans="1:9" x14ac:dyDescent="0.2">
      <c r="A1566" s="7">
        <v>138622</v>
      </c>
      <c r="B1566" s="7">
        <v>2.8050707512479098E-2</v>
      </c>
      <c r="C1566" s="7">
        <v>8.1509172207196695E-2</v>
      </c>
      <c r="D1566" s="7">
        <v>12000</v>
      </c>
      <c r="E1566" s="7" t="s">
        <v>4</v>
      </c>
      <c r="F1566" s="7">
        <v>8.9</v>
      </c>
      <c r="G1566" s="7">
        <v>0</v>
      </c>
      <c r="H1566" s="7">
        <v>13347.8014923147</v>
      </c>
      <c r="I1566" s="7">
        <v>0</v>
      </c>
    </row>
    <row r="1567" spans="1:9" x14ac:dyDescent="0.2">
      <c r="A1567" s="7">
        <v>114710</v>
      </c>
      <c r="B1567" s="7">
        <v>3.48370011605778E-2</v>
      </c>
      <c r="C1567" s="7">
        <v>7.4974238972806501E-2</v>
      </c>
      <c r="D1567" s="7">
        <v>17825</v>
      </c>
      <c r="E1567" s="7" t="s">
        <v>8</v>
      </c>
      <c r="F1567" s="7">
        <v>14.09</v>
      </c>
      <c r="G1567" s="7">
        <v>0</v>
      </c>
      <c r="H1567" s="7">
        <v>21819.509995207001</v>
      </c>
      <c r="I1567" s="7">
        <v>0</v>
      </c>
    </row>
    <row r="1568" spans="1:9" x14ac:dyDescent="0.2">
      <c r="A1568" s="7">
        <v>122886</v>
      </c>
      <c r="B1568" s="7">
        <v>3.1175392271103601E-2</v>
      </c>
      <c r="C1568" s="7">
        <v>5.3944556304700297E-2</v>
      </c>
      <c r="D1568" s="7">
        <v>15000</v>
      </c>
      <c r="E1568" s="7" t="s">
        <v>4</v>
      </c>
      <c r="F1568" s="7">
        <v>7.9</v>
      </c>
      <c r="G1568" s="7">
        <v>0</v>
      </c>
      <c r="H1568" s="7">
        <v>15721.026684984599</v>
      </c>
      <c r="I1568" s="7">
        <v>0</v>
      </c>
    </row>
    <row r="1569" spans="1:9" x14ac:dyDescent="0.2">
      <c r="A1569" s="7">
        <v>91863</v>
      </c>
      <c r="B1569" s="7">
        <v>2.8579829889186299E-2</v>
      </c>
      <c r="C1569" s="7">
        <v>5.3944556304700297E-2</v>
      </c>
      <c r="D1569" s="7">
        <v>21000</v>
      </c>
      <c r="E1569" s="7" t="s">
        <v>4</v>
      </c>
      <c r="F1569" s="7">
        <v>7.62</v>
      </c>
      <c r="G1569" s="7">
        <v>0</v>
      </c>
      <c r="H1569" s="7">
        <v>23451.380006876301</v>
      </c>
      <c r="I1569" s="7">
        <v>0</v>
      </c>
    </row>
    <row r="1570" spans="1:9" x14ac:dyDescent="0.2">
      <c r="A1570" s="7">
        <v>119541</v>
      </c>
      <c r="B1570" s="7">
        <v>3.3924670785900897E-2</v>
      </c>
      <c r="C1570" s="7">
        <v>7.4974238972806501E-2</v>
      </c>
      <c r="D1570" s="7">
        <v>6400</v>
      </c>
      <c r="E1570" s="7" t="s">
        <v>8</v>
      </c>
      <c r="F1570" s="7">
        <v>12.12</v>
      </c>
      <c r="G1570" s="7">
        <v>0</v>
      </c>
      <c r="H1570" s="7">
        <v>7665.7799999996996</v>
      </c>
      <c r="I1570" s="7">
        <v>0</v>
      </c>
    </row>
    <row r="1571" spans="1:9" x14ac:dyDescent="0.2">
      <c r="A1571" s="7">
        <v>116025</v>
      </c>
      <c r="B1571" s="7">
        <v>2.59995649105801E-2</v>
      </c>
      <c r="C1571" s="7">
        <v>7.4974238972806501E-2</v>
      </c>
      <c r="D1571" s="7">
        <v>17325</v>
      </c>
      <c r="E1571" s="7" t="s">
        <v>4</v>
      </c>
      <c r="F1571" s="7">
        <v>7.9</v>
      </c>
      <c r="G1571" s="7">
        <v>0</v>
      </c>
      <c r="H1571" s="7">
        <v>19495.569997830698</v>
      </c>
      <c r="I1571" s="7">
        <v>0</v>
      </c>
    </row>
    <row r="1572" spans="1:9" x14ac:dyDescent="0.2">
      <c r="A1572" s="7">
        <v>101252</v>
      </c>
      <c r="B1572" s="7">
        <v>3.7529731532290299E-2</v>
      </c>
      <c r="C1572" s="7">
        <v>5.3944556304700297E-2</v>
      </c>
      <c r="D1572" s="7">
        <v>21725</v>
      </c>
      <c r="E1572" s="7" t="s">
        <v>8</v>
      </c>
      <c r="F1572" s="7">
        <v>10.16</v>
      </c>
      <c r="G1572" s="7">
        <v>0</v>
      </c>
      <c r="H1572" s="7">
        <v>25038.7800072875</v>
      </c>
      <c r="I1572" s="7">
        <v>0</v>
      </c>
    </row>
    <row r="1573" spans="1:9" x14ac:dyDescent="0.2">
      <c r="A1573" s="7">
        <v>120700</v>
      </c>
      <c r="B1573" s="7">
        <v>1.44154647132537E-2</v>
      </c>
      <c r="C1573" s="7">
        <v>8.1509172207196695E-2</v>
      </c>
      <c r="D1573" s="7">
        <v>12500</v>
      </c>
      <c r="E1573" s="7" t="s">
        <v>4</v>
      </c>
      <c r="F1573" s="7">
        <v>8.9</v>
      </c>
      <c r="G1573" s="7">
        <v>0</v>
      </c>
      <c r="H1573" s="7">
        <v>14288.9206181392</v>
      </c>
      <c r="I1573" s="7">
        <v>0</v>
      </c>
    </row>
    <row r="1574" spans="1:9" x14ac:dyDescent="0.2">
      <c r="A1574" s="7">
        <v>27622</v>
      </c>
      <c r="B1574" s="7">
        <v>4.0197396349840001E-2</v>
      </c>
      <c r="C1574" s="7">
        <v>8.4798680815203503E-2</v>
      </c>
      <c r="D1574" s="7">
        <v>34800</v>
      </c>
      <c r="E1574" s="7" t="s">
        <v>6</v>
      </c>
      <c r="F1574" s="7">
        <v>20.309999999999999</v>
      </c>
      <c r="G1574" s="7">
        <v>0</v>
      </c>
      <c r="H1574" s="7">
        <v>46363.229995375499</v>
      </c>
      <c r="I1574" s="7">
        <v>0</v>
      </c>
    </row>
    <row r="1575" spans="1:9" x14ac:dyDescent="0.2">
      <c r="A1575" s="7">
        <v>1445</v>
      </c>
      <c r="B1575" s="7">
        <v>1.0368642869033501E-2</v>
      </c>
      <c r="C1575" s="7">
        <v>8.4798680815203503E-2</v>
      </c>
      <c r="D1575" s="7">
        <v>35000</v>
      </c>
      <c r="E1575" s="7" t="s">
        <v>6</v>
      </c>
      <c r="F1575" s="7">
        <v>19.97</v>
      </c>
      <c r="G1575" s="7">
        <v>1</v>
      </c>
      <c r="H1575" s="7">
        <v>14677.16</v>
      </c>
      <c r="I1575" s="7">
        <v>4483.8500000000004</v>
      </c>
    </row>
    <row r="1576" spans="1:9" x14ac:dyDescent="0.2">
      <c r="A1576" s="7">
        <v>80617</v>
      </c>
      <c r="B1576" s="7">
        <v>2.8534251084034599E-2</v>
      </c>
      <c r="C1576" s="7">
        <v>8.1509172207196695E-2</v>
      </c>
      <c r="D1576" s="7">
        <v>2300</v>
      </c>
      <c r="E1576" s="7" t="s">
        <v>8</v>
      </c>
      <c r="F1576" s="7">
        <v>11.14</v>
      </c>
      <c r="G1576" s="7">
        <v>0</v>
      </c>
      <c r="H1576" s="7">
        <v>2420.4073996272</v>
      </c>
      <c r="I1576" s="7">
        <v>0</v>
      </c>
    </row>
    <row r="1577" spans="1:9" x14ac:dyDescent="0.2">
      <c r="A1577" s="7">
        <v>47441</v>
      </c>
      <c r="B1577" s="7">
        <v>3.9736544230788297E-2</v>
      </c>
      <c r="C1577" s="7">
        <v>7.4974238972806501E-2</v>
      </c>
      <c r="D1577" s="7">
        <v>4000</v>
      </c>
      <c r="E1577" s="7" t="s">
        <v>8</v>
      </c>
      <c r="F1577" s="7">
        <v>12.12</v>
      </c>
      <c r="G1577" s="7">
        <v>0</v>
      </c>
      <c r="H1577" s="7">
        <v>4118.3938310000003</v>
      </c>
      <c r="I1577" s="7">
        <v>0</v>
      </c>
    </row>
    <row r="1578" spans="1:9" x14ac:dyDescent="0.2">
      <c r="A1578" s="7">
        <v>112431</v>
      </c>
      <c r="B1578" s="7">
        <v>3.6148884876873198E-2</v>
      </c>
      <c r="C1578" s="7">
        <v>7.4974238972806501E-2</v>
      </c>
      <c r="D1578" s="7">
        <v>5250</v>
      </c>
      <c r="E1578" s="7" t="s">
        <v>5</v>
      </c>
      <c r="F1578" s="7">
        <v>15.8</v>
      </c>
      <c r="G1578" s="7">
        <v>0</v>
      </c>
      <c r="H1578" s="7">
        <v>6448.0566105553999</v>
      </c>
      <c r="I1578" s="7">
        <v>0</v>
      </c>
    </row>
    <row r="1579" spans="1:9" x14ac:dyDescent="0.2">
      <c r="A1579" s="7">
        <v>123215</v>
      </c>
      <c r="B1579" s="7">
        <v>-5.0735030192704698E-3</v>
      </c>
      <c r="C1579" s="7">
        <v>8.1509172207196695E-2</v>
      </c>
      <c r="D1579" s="7">
        <v>7350</v>
      </c>
      <c r="E1579" s="7" t="s">
        <v>5</v>
      </c>
      <c r="F1579" s="7">
        <v>16.29</v>
      </c>
      <c r="G1579" s="7">
        <v>1</v>
      </c>
      <c r="H1579" s="7">
        <v>539.01</v>
      </c>
      <c r="I1579" s="7">
        <v>0</v>
      </c>
    </row>
    <row r="1580" spans="1:9" x14ac:dyDescent="0.2">
      <c r="A1580" s="7">
        <v>59466</v>
      </c>
      <c r="B1580" s="7">
        <v>2.8413365891151302E-2</v>
      </c>
      <c r="C1580" s="7">
        <v>8.1509172207196695E-2</v>
      </c>
      <c r="D1580" s="7">
        <v>10000</v>
      </c>
      <c r="E1580" s="7" t="s">
        <v>5</v>
      </c>
      <c r="F1580" s="7">
        <v>17.27</v>
      </c>
      <c r="G1580" s="7">
        <v>0</v>
      </c>
      <c r="H1580" s="7">
        <v>11195.5137314741</v>
      </c>
      <c r="I1580" s="7">
        <v>0</v>
      </c>
    </row>
    <row r="1581" spans="1:9" x14ac:dyDescent="0.2">
      <c r="A1581" s="7">
        <v>64607</v>
      </c>
      <c r="B1581" s="7">
        <v>3.2940427951427001E-2</v>
      </c>
      <c r="C1581" s="7">
        <v>8.4798680815203503E-2</v>
      </c>
      <c r="D1581" s="7">
        <v>24000</v>
      </c>
      <c r="E1581" s="7" t="s">
        <v>6</v>
      </c>
      <c r="F1581" s="7">
        <v>18.489999999999998</v>
      </c>
      <c r="G1581" s="7">
        <v>0</v>
      </c>
      <c r="H1581" s="7">
        <v>31034.6900267284</v>
      </c>
      <c r="I1581" s="7">
        <v>0</v>
      </c>
    </row>
    <row r="1582" spans="1:9" x14ac:dyDescent="0.2">
      <c r="A1582" s="7">
        <v>27401</v>
      </c>
      <c r="B1582" s="7">
        <v>4.90715449688406E-2</v>
      </c>
      <c r="C1582" s="7">
        <v>5.3944556304700297E-2</v>
      </c>
      <c r="D1582" s="7">
        <v>14000</v>
      </c>
      <c r="E1582" s="7" t="s">
        <v>8</v>
      </c>
      <c r="F1582" s="7">
        <v>11.55</v>
      </c>
      <c r="G1582" s="7">
        <v>0</v>
      </c>
      <c r="H1582" s="7">
        <v>16528.870004333101</v>
      </c>
      <c r="I1582" s="7">
        <v>0</v>
      </c>
    </row>
    <row r="1583" spans="1:9" x14ac:dyDescent="0.2">
      <c r="A1583" s="7">
        <v>127976</v>
      </c>
      <c r="B1583" s="7">
        <v>3.6274858374615401E-2</v>
      </c>
      <c r="C1583" s="7">
        <v>7.4974238972806501E-2</v>
      </c>
      <c r="D1583" s="7">
        <v>9600</v>
      </c>
      <c r="E1583" s="7" t="s">
        <v>8</v>
      </c>
      <c r="F1583" s="7">
        <v>12.12</v>
      </c>
      <c r="G1583" s="7">
        <v>0</v>
      </c>
      <c r="H1583" s="7">
        <v>11498.6700132936</v>
      </c>
      <c r="I1583" s="7">
        <v>0</v>
      </c>
    </row>
    <row r="1584" spans="1:9" x14ac:dyDescent="0.2">
      <c r="A1584" s="7">
        <v>11291</v>
      </c>
      <c r="B1584" s="7">
        <v>2.94378791993006E-2</v>
      </c>
      <c r="C1584" s="7">
        <v>8.1509172207196695E-2</v>
      </c>
      <c r="D1584" s="7">
        <v>10000</v>
      </c>
      <c r="E1584" s="7" t="s">
        <v>5</v>
      </c>
      <c r="F1584" s="7">
        <v>14.3</v>
      </c>
      <c r="G1584" s="7">
        <v>0</v>
      </c>
      <c r="H1584" s="7">
        <v>11286.219999999799</v>
      </c>
      <c r="I1584" s="7">
        <v>0</v>
      </c>
    </row>
    <row r="1585" spans="1:9" x14ac:dyDescent="0.2">
      <c r="A1585" s="7">
        <v>103968</v>
      </c>
      <c r="B1585" s="7">
        <v>1.6079191890261101E-2</v>
      </c>
      <c r="C1585" s="7">
        <v>7.4974238972806501E-2</v>
      </c>
      <c r="D1585" s="7">
        <v>10000</v>
      </c>
      <c r="E1585" s="7" t="s">
        <v>4</v>
      </c>
      <c r="F1585" s="7">
        <v>6.62</v>
      </c>
      <c r="G1585" s="7">
        <v>0</v>
      </c>
      <c r="H1585" s="7">
        <v>11053.301704564599</v>
      </c>
      <c r="I1585" s="7">
        <v>0</v>
      </c>
    </row>
    <row r="1586" spans="1:9" x14ac:dyDescent="0.2">
      <c r="A1586" s="7">
        <v>14935</v>
      </c>
      <c r="B1586" s="7">
        <v>2.8155898743286299E-2</v>
      </c>
      <c r="C1586" s="7">
        <v>8.1509172207196695E-2</v>
      </c>
      <c r="D1586" s="7">
        <v>8800</v>
      </c>
      <c r="E1586" s="7" t="s">
        <v>8</v>
      </c>
      <c r="F1586" s="7">
        <v>13.67</v>
      </c>
      <c r="G1586" s="7">
        <v>1</v>
      </c>
      <c r="H1586" s="7">
        <v>6016.31</v>
      </c>
      <c r="I1586" s="7">
        <v>912.19</v>
      </c>
    </row>
    <row r="1587" spans="1:9" x14ac:dyDescent="0.2">
      <c r="A1587" s="7">
        <v>81762</v>
      </c>
      <c r="B1587" s="7">
        <v>2.4354835701558199E-2</v>
      </c>
      <c r="C1587" s="7">
        <v>5.3944556304700297E-2</v>
      </c>
      <c r="D1587" s="7">
        <v>24000</v>
      </c>
      <c r="E1587" s="7" t="s">
        <v>4</v>
      </c>
      <c r="F1587" s="7">
        <v>8.9</v>
      </c>
      <c r="G1587" s="7">
        <v>0</v>
      </c>
      <c r="H1587" s="7">
        <v>25581.285155817899</v>
      </c>
      <c r="I1587" s="7">
        <v>0</v>
      </c>
    </row>
    <row r="1588" spans="1:9" x14ac:dyDescent="0.2">
      <c r="A1588" s="7">
        <v>49721</v>
      </c>
      <c r="B1588" s="7">
        <v>2.9033904469723999E-2</v>
      </c>
      <c r="C1588" s="7">
        <v>7.4974238972806501E-2</v>
      </c>
      <c r="D1588" s="7">
        <v>16000</v>
      </c>
      <c r="E1588" s="7" t="s">
        <v>5</v>
      </c>
      <c r="F1588" s="7">
        <v>14.33</v>
      </c>
      <c r="G1588" s="7">
        <v>0</v>
      </c>
      <c r="H1588" s="7">
        <v>18392.562805339701</v>
      </c>
      <c r="I1588" s="7">
        <v>0</v>
      </c>
    </row>
    <row r="1589" spans="1:9" x14ac:dyDescent="0.2">
      <c r="A1589" s="7">
        <v>53128</v>
      </c>
      <c r="B1589" s="7">
        <v>4.5738617048801201E-2</v>
      </c>
      <c r="C1589" s="7">
        <v>5.3944556304700297E-2</v>
      </c>
      <c r="D1589" s="7">
        <v>18000</v>
      </c>
      <c r="E1589" s="7" t="s">
        <v>8</v>
      </c>
      <c r="F1589" s="7">
        <v>13.11</v>
      </c>
      <c r="G1589" s="7">
        <v>0</v>
      </c>
      <c r="H1589" s="7">
        <v>21882.982077293</v>
      </c>
      <c r="I1589" s="7">
        <v>0</v>
      </c>
    </row>
    <row r="1590" spans="1:9" x14ac:dyDescent="0.2">
      <c r="A1590" s="7">
        <v>77434</v>
      </c>
      <c r="B1590" s="7">
        <v>3.5544490906851599E-2</v>
      </c>
      <c r="C1590" s="7">
        <v>8.1509172207196695E-2</v>
      </c>
      <c r="D1590" s="7">
        <v>4000</v>
      </c>
      <c r="E1590" s="7" t="s">
        <v>6</v>
      </c>
      <c r="F1590" s="7">
        <v>17.77</v>
      </c>
      <c r="G1590" s="7">
        <v>0</v>
      </c>
      <c r="H1590" s="7">
        <v>5189.3285723581002</v>
      </c>
      <c r="I1590" s="7">
        <v>0</v>
      </c>
    </row>
    <row r="1591" spans="1:9" x14ac:dyDescent="0.2">
      <c r="A1591" s="7">
        <v>93003</v>
      </c>
      <c r="B1591" s="7">
        <v>4.2095404463708401E-2</v>
      </c>
      <c r="C1591" s="7">
        <v>5.3944556304700297E-2</v>
      </c>
      <c r="D1591" s="7">
        <v>25000</v>
      </c>
      <c r="E1591" s="7" t="s">
        <v>5</v>
      </c>
      <c r="F1591" s="7">
        <v>15.8</v>
      </c>
      <c r="G1591" s="7">
        <v>1</v>
      </c>
      <c r="H1591" s="7">
        <v>29861.99</v>
      </c>
      <c r="I1591" s="7">
        <v>23.01</v>
      </c>
    </row>
    <row r="1592" spans="1:9" x14ac:dyDescent="0.2">
      <c r="A1592" s="7">
        <v>106552</v>
      </c>
      <c r="B1592" s="7">
        <v>3.0180656797228499E-2</v>
      </c>
      <c r="C1592" s="7">
        <v>7.4974238972806501E-2</v>
      </c>
      <c r="D1592" s="7">
        <v>7750</v>
      </c>
      <c r="E1592" s="7" t="s">
        <v>8</v>
      </c>
      <c r="F1592" s="7">
        <v>13.11</v>
      </c>
      <c r="G1592" s="7">
        <v>0</v>
      </c>
      <c r="H1592" s="7">
        <v>9386.5200008181</v>
      </c>
      <c r="I1592" s="7">
        <v>0</v>
      </c>
    </row>
    <row r="1593" spans="1:9" x14ac:dyDescent="0.2">
      <c r="A1593" s="7">
        <v>75334</v>
      </c>
      <c r="B1593" s="7">
        <v>2.23109026209686E-2</v>
      </c>
      <c r="C1593" s="7">
        <v>7.7054178620260594E-2</v>
      </c>
      <c r="D1593" s="7">
        <v>8875</v>
      </c>
      <c r="E1593" s="7" t="s">
        <v>8</v>
      </c>
      <c r="F1593" s="7">
        <v>14.09</v>
      </c>
      <c r="G1593" s="7">
        <v>0</v>
      </c>
      <c r="H1593" s="7">
        <v>10933.677739049501</v>
      </c>
      <c r="I1593" s="7">
        <v>0</v>
      </c>
    </row>
    <row r="1594" spans="1:9" x14ac:dyDescent="0.2">
      <c r="A1594" s="7">
        <v>82593</v>
      </c>
      <c r="B1594" s="7">
        <v>3.3021607781461501E-2</v>
      </c>
      <c r="C1594" s="7">
        <v>7.4974238972806501E-2</v>
      </c>
      <c r="D1594" s="7">
        <v>10000</v>
      </c>
      <c r="E1594" s="7" t="s">
        <v>6</v>
      </c>
      <c r="F1594" s="7">
        <v>19.05</v>
      </c>
      <c r="G1594" s="7">
        <v>0</v>
      </c>
      <c r="H1594" s="7">
        <v>13205.185866558</v>
      </c>
      <c r="I1594" s="7">
        <v>0</v>
      </c>
    </row>
    <row r="1595" spans="1:9" x14ac:dyDescent="0.2">
      <c r="A1595" s="7">
        <v>112994</v>
      </c>
      <c r="B1595" s="7">
        <v>2.75783466534926E-2</v>
      </c>
      <c r="C1595" s="7">
        <v>7.4974238972806501E-2</v>
      </c>
      <c r="D1595" s="7">
        <v>15000</v>
      </c>
      <c r="E1595" s="7" t="s">
        <v>6</v>
      </c>
      <c r="F1595" s="7">
        <v>18.489999999999998</v>
      </c>
      <c r="G1595" s="7">
        <v>1</v>
      </c>
      <c r="H1595" s="7">
        <v>18125.689999999999</v>
      </c>
      <c r="I1595" s="7">
        <v>1228.51</v>
      </c>
    </row>
    <row r="1596" spans="1:9" x14ac:dyDescent="0.2">
      <c r="A1596" s="7">
        <v>30822</v>
      </c>
      <c r="B1596" s="7">
        <v>3.0856862162415E-2</v>
      </c>
      <c r="C1596" s="7">
        <v>7.4974238972806501E-2</v>
      </c>
      <c r="D1596" s="7">
        <v>15000</v>
      </c>
      <c r="E1596" s="7" t="s">
        <v>8</v>
      </c>
      <c r="F1596" s="7">
        <v>10.64</v>
      </c>
      <c r="G1596" s="7">
        <v>0</v>
      </c>
      <c r="H1596" s="7">
        <v>16081.14</v>
      </c>
      <c r="I1596" s="7">
        <v>0</v>
      </c>
    </row>
    <row r="1597" spans="1:9" x14ac:dyDescent="0.2">
      <c r="A1597" s="7">
        <v>91680</v>
      </c>
      <c r="B1597" s="7">
        <v>3.6416717150678603E-2</v>
      </c>
      <c r="C1597" s="7">
        <v>8.4798680815203503E-2</v>
      </c>
      <c r="D1597" s="7">
        <v>31000</v>
      </c>
      <c r="E1597" s="7" t="s">
        <v>5</v>
      </c>
      <c r="F1597" s="7">
        <v>14.33</v>
      </c>
      <c r="G1597" s="7">
        <v>0</v>
      </c>
      <c r="H1597" s="7">
        <v>38493.359978913897</v>
      </c>
      <c r="I1597" s="7">
        <v>0</v>
      </c>
    </row>
    <row r="1598" spans="1:9" x14ac:dyDescent="0.2">
      <c r="A1598" s="7">
        <v>59858</v>
      </c>
      <c r="B1598" s="7">
        <v>2.59382459290073E-2</v>
      </c>
      <c r="C1598" s="7">
        <v>8.1509172207196695E-2</v>
      </c>
      <c r="D1598" s="7">
        <v>9900</v>
      </c>
      <c r="E1598" s="7" t="s">
        <v>8</v>
      </c>
      <c r="F1598" s="7">
        <v>13.11</v>
      </c>
      <c r="G1598" s="7">
        <v>0</v>
      </c>
      <c r="H1598" s="7">
        <v>12089.5199979258</v>
      </c>
      <c r="I1598" s="7">
        <v>0</v>
      </c>
    </row>
    <row r="1599" spans="1:9" x14ac:dyDescent="0.2">
      <c r="A1599" s="7">
        <v>48823</v>
      </c>
      <c r="B1599" s="7">
        <v>-6.6347600152737198E-3</v>
      </c>
      <c r="C1599" s="7">
        <v>8.4798680815203503E-2</v>
      </c>
      <c r="D1599" s="7">
        <v>16000</v>
      </c>
      <c r="E1599" s="7" t="s">
        <v>10</v>
      </c>
      <c r="F1599" s="7">
        <v>22.95</v>
      </c>
      <c r="G1599" s="7">
        <v>0</v>
      </c>
      <c r="H1599" s="7">
        <v>17502.916373808999</v>
      </c>
      <c r="I1599" s="7">
        <v>0</v>
      </c>
    </row>
    <row r="1600" spans="1:9" x14ac:dyDescent="0.2">
      <c r="A1600" s="7">
        <v>78472</v>
      </c>
      <c r="B1600" s="7">
        <v>2.6081737642560901E-2</v>
      </c>
      <c r="C1600" s="7">
        <v>8.4798680815203503E-2</v>
      </c>
      <c r="D1600" s="7">
        <v>20000</v>
      </c>
      <c r="E1600" s="7" t="s">
        <v>5</v>
      </c>
      <c r="F1600" s="7">
        <v>14.33</v>
      </c>
      <c r="G1600" s="7">
        <v>0</v>
      </c>
      <c r="H1600" s="7">
        <v>23142.239832746502</v>
      </c>
      <c r="I1600" s="7">
        <v>0</v>
      </c>
    </row>
    <row r="1601" spans="1:9" x14ac:dyDescent="0.2">
      <c r="A1601" s="7">
        <v>89427</v>
      </c>
      <c r="B1601" s="7">
        <v>2.3014438898411701E-2</v>
      </c>
      <c r="C1601" s="7">
        <v>8.4798680815203503E-2</v>
      </c>
      <c r="D1601" s="7">
        <v>21850</v>
      </c>
      <c r="E1601" s="7" t="s">
        <v>8</v>
      </c>
      <c r="F1601" s="7">
        <v>11.14</v>
      </c>
      <c r="G1601" s="7">
        <v>0</v>
      </c>
      <c r="H1601" s="7">
        <v>25804.394832713999</v>
      </c>
      <c r="I1601" s="7">
        <v>0</v>
      </c>
    </row>
    <row r="1602" spans="1:9" x14ac:dyDescent="0.2">
      <c r="A1602" s="7">
        <v>88162</v>
      </c>
      <c r="B1602" s="7">
        <v>3.8069697097408997E-2</v>
      </c>
      <c r="C1602" s="7">
        <v>7.7054178620260594E-2</v>
      </c>
      <c r="D1602" s="7">
        <v>8975</v>
      </c>
      <c r="E1602" s="7" t="s">
        <v>6</v>
      </c>
      <c r="F1602" s="7">
        <v>18.489999999999998</v>
      </c>
      <c r="G1602" s="7">
        <v>0</v>
      </c>
      <c r="H1602" s="7">
        <v>11457.6599995038</v>
      </c>
      <c r="I1602" s="7">
        <v>0</v>
      </c>
    </row>
    <row r="1603" spans="1:9" x14ac:dyDescent="0.2">
      <c r="A1603" s="7">
        <v>14948</v>
      </c>
      <c r="B1603" s="7">
        <v>2.55596184045431E-2</v>
      </c>
      <c r="C1603" s="7">
        <v>8.1509172207196695E-2</v>
      </c>
      <c r="D1603" s="7">
        <v>8000</v>
      </c>
      <c r="E1603" s="7" t="s">
        <v>5</v>
      </c>
      <c r="F1603" s="7">
        <v>14.3</v>
      </c>
      <c r="G1603" s="7">
        <v>0</v>
      </c>
      <c r="H1603" s="7">
        <v>8279.9185824025008</v>
      </c>
      <c r="I1603" s="7">
        <v>0</v>
      </c>
    </row>
    <row r="1604" spans="1:9" x14ac:dyDescent="0.2">
      <c r="A1604" s="7">
        <v>22382</v>
      </c>
      <c r="B1604" s="7">
        <v>3.68031633178015E-2</v>
      </c>
      <c r="C1604" s="7">
        <v>7.4974238972806501E-2</v>
      </c>
      <c r="D1604" s="7">
        <v>9000</v>
      </c>
      <c r="E1604" s="7" t="s">
        <v>6</v>
      </c>
      <c r="F1604" s="7">
        <v>17.760000000000002</v>
      </c>
      <c r="G1604" s="7">
        <v>0</v>
      </c>
      <c r="H1604" s="7">
        <v>11603.000002082401</v>
      </c>
      <c r="I1604" s="7">
        <v>0</v>
      </c>
    </row>
    <row r="1605" spans="1:9" x14ac:dyDescent="0.2">
      <c r="A1605" s="7">
        <v>102038</v>
      </c>
      <c r="B1605" s="7">
        <v>3.3592456005247698E-2</v>
      </c>
      <c r="C1605" s="7">
        <v>8.1509172207196695E-2</v>
      </c>
      <c r="D1605" s="7">
        <v>2400</v>
      </c>
      <c r="E1605" s="7" t="s">
        <v>8</v>
      </c>
      <c r="F1605" s="7">
        <v>14.09</v>
      </c>
      <c r="G1605" s="7">
        <v>0</v>
      </c>
      <c r="H1605" s="7">
        <v>2898.8400006953998</v>
      </c>
      <c r="I1605" s="7">
        <v>0</v>
      </c>
    </row>
    <row r="1606" spans="1:9" x14ac:dyDescent="0.2">
      <c r="A1606" s="7">
        <v>136434</v>
      </c>
      <c r="B1606" s="7">
        <v>3.2446343248823298E-2</v>
      </c>
      <c r="C1606" s="7">
        <v>8.1509172207196695E-2</v>
      </c>
      <c r="D1606" s="7">
        <v>10000</v>
      </c>
      <c r="E1606" s="7" t="s">
        <v>8</v>
      </c>
      <c r="F1606" s="7">
        <v>13.11</v>
      </c>
      <c r="G1606" s="7">
        <v>0</v>
      </c>
      <c r="H1606" s="7">
        <v>12148.9099999998</v>
      </c>
      <c r="I1606" s="7">
        <v>0</v>
      </c>
    </row>
    <row r="1607" spans="1:9" x14ac:dyDescent="0.2">
      <c r="A1607" s="7">
        <v>96779</v>
      </c>
      <c r="B1607" s="7">
        <v>3.0550874093436101E-2</v>
      </c>
      <c r="C1607" s="7">
        <v>8.1509172207196695E-2</v>
      </c>
      <c r="D1607" s="7">
        <v>7000</v>
      </c>
      <c r="E1607" s="7" t="s">
        <v>5</v>
      </c>
      <c r="F1607" s="7">
        <v>14.33</v>
      </c>
      <c r="G1607" s="7">
        <v>0</v>
      </c>
      <c r="H1607" s="7">
        <v>7748.9310173760996</v>
      </c>
      <c r="I1607" s="7">
        <v>0</v>
      </c>
    </row>
    <row r="1608" spans="1:9" x14ac:dyDescent="0.2">
      <c r="A1608" s="7">
        <v>128643</v>
      </c>
      <c r="B1608" s="7">
        <v>2.7116956930335799E-2</v>
      </c>
      <c r="C1608" s="7">
        <v>8.1509172207196695E-2</v>
      </c>
      <c r="D1608" s="7">
        <v>1400</v>
      </c>
      <c r="E1608" s="7" t="s">
        <v>5</v>
      </c>
      <c r="F1608" s="7">
        <v>14.65</v>
      </c>
      <c r="G1608" s="7">
        <v>0</v>
      </c>
      <c r="H1608" s="7">
        <v>1738.4342295890999</v>
      </c>
      <c r="I1608" s="7">
        <v>0</v>
      </c>
    </row>
    <row r="1609" spans="1:9" x14ac:dyDescent="0.2">
      <c r="A1609" s="7">
        <v>103471</v>
      </c>
      <c r="B1609" s="7">
        <v>2.9838512747688201E-2</v>
      </c>
      <c r="C1609" s="7">
        <v>8.1509172207196695E-2</v>
      </c>
      <c r="D1609" s="7">
        <v>15000</v>
      </c>
      <c r="E1609" s="7" t="s">
        <v>5</v>
      </c>
      <c r="F1609" s="7">
        <v>14.33</v>
      </c>
      <c r="G1609" s="7">
        <v>0</v>
      </c>
      <c r="H1609" s="7">
        <v>18434.680020199601</v>
      </c>
      <c r="I1609" s="7">
        <v>0</v>
      </c>
    </row>
    <row r="1610" spans="1:9" x14ac:dyDescent="0.2">
      <c r="A1610" s="7">
        <v>75940</v>
      </c>
      <c r="B1610" s="7">
        <v>2.10224316984415E-2</v>
      </c>
      <c r="C1610" s="7">
        <v>8.1509172207196695E-2</v>
      </c>
      <c r="D1610" s="7">
        <v>8000</v>
      </c>
      <c r="E1610" s="7" t="s">
        <v>4</v>
      </c>
      <c r="F1610" s="7">
        <v>7.9</v>
      </c>
      <c r="G1610" s="7">
        <v>0</v>
      </c>
      <c r="H1610" s="7">
        <v>8426.6713838151009</v>
      </c>
      <c r="I1610" s="7">
        <v>0</v>
      </c>
    </row>
    <row r="1611" spans="1:9" x14ac:dyDescent="0.2">
      <c r="A1611" s="7">
        <v>104502</v>
      </c>
      <c r="B1611" s="7">
        <v>5.0530274136412999E-2</v>
      </c>
      <c r="C1611" s="7">
        <v>5.3944556304700297E-2</v>
      </c>
      <c r="D1611" s="7">
        <v>14000</v>
      </c>
      <c r="E1611" s="7" t="s">
        <v>8</v>
      </c>
      <c r="F1611" s="7">
        <v>12.12</v>
      </c>
      <c r="G1611" s="7">
        <v>0</v>
      </c>
      <c r="H1611" s="7">
        <v>16048.547682590901</v>
      </c>
      <c r="I1611" s="7">
        <v>0</v>
      </c>
    </row>
    <row r="1612" spans="1:9" x14ac:dyDescent="0.2">
      <c r="A1612" s="7">
        <v>33146</v>
      </c>
      <c r="B1612" s="7">
        <v>1.6226889964955901E-2</v>
      </c>
      <c r="C1612" s="7">
        <v>8.1509172207196695E-2</v>
      </c>
      <c r="D1612" s="7">
        <v>6000</v>
      </c>
      <c r="E1612" s="7" t="s">
        <v>5</v>
      </c>
      <c r="F1612" s="7">
        <v>13.68</v>
      </c>
      <c r="G1612" s="7">
        <v>0</v>
      </c>
      <c r="H1612" s="7">
        <v>7105.88</v>
      </c>
      <c r="I1612" s="7">
        <v>0</v>
      </c>
    </row>
    <row r="1613" spans="1:9" x14ac:dyDescent="0.2">
      <c r="A1613" s="7">
        <v>137805</v>
      </c>
      <c r="B1613" s="7">
        <v>1.04050549616297E-2</v>
      </c>
      <c r="C1613" s="7">
        <v>8.1509172207196695E-2</v>
      </c>
      <c r="D1613" s="7">
        <v>7800</v>
      </c>
      <c r="E1613" s="7" t="s">
        <v>4</v>
      </c>
      <c r="F1613" s="7">
        <v>7.9</v>
      </c>
      <c r="G1613" s="7">
        <v>0</v>
      </c>
      <c r="H1613" s="7">
        <v>8782.3499995091006</v>
      </c>
      <c r="I1613" s="7">
        <v>0</v>
      </c>
    </row>
    <row r="1614" spans="1:9" x14ac:dyDescent="0.2">
      <c r="A1614" s="7">
        <v>52448</v>
      </c>
      <c r="B1614" s="7">
        <v>2.43719813230278E-2</v>
      </c>
      <c r="C1614" s="7">
        <v>5.3944556304700297E-2</v>
      </c>
      <c r="D1614" s="7">
        <v>25000</v>
      </c>
      <c r="E1614" s="7" t="s">
        <v>4</v>
      </c>
      <c r="F1614" s="7">
        <v>7.62</v>
      </c>
      <c r="G1614" s="7">
        <v>0</v>
      </c>
      <c r="H1614" s="7">
        <v>27797.469999998601</v>
      </c>
      <c r="I1614" s="7">
        <v>0</v>
      </c>
    </row>
    <row r="1615" spans="1:9" x14ac:dyDescent="0.2">
      <c r="A1615" s="7">
        <v>12615</v>
      </c>
      <c r="B1615" s="7">
        <v>3.43508817004749E-2</v>
      </c>
      <c r="C1615" s="7">
        <v>8.1509172207196695E-2</v>
      </c>
      <c r="D1615" s="7">
        <v>15000</v>
      </c>
      <c r="E1615" s="7" t="s">
        <v>8</v>
      </c>
      <c r="F1615" s="7">
        <v>13.67</v>
      </c>
      <c r="G1615" s="7">
        <v>0</v>
      </c>
      <c r="H1615" s="7">
        <v>17561.660003586301</v>
      </c>
      <c r="I1615" s="7">
        <v>0</v>
      </c>
    </row>
    <row r="1616" spans="1:9" x14ac:dyDescent="0.2">
      <c r="A1616" s="7">
        <v>6082</v>
      </c>
      <c r="B1616" s="7">
        <v>3.3698519084334203E-2</v>
      </c>
      <c r="C1616" s="7">
        <v>8.1509172207196695E-2</v>
      </c>
      <c r="D1616" s="7">
        <v>10000</v>
      </c>
      <c r="E1616" s="7" t="s">
        <v>8</v>
      </c>
      <c r="F1616" s="7">
        <v>12.99</v>
      </c>
      <c r="G1616" s="7">
        <v>0</v>
      </c>
      <c r="H1616" s="7">
        <v>10882.857510351099</v>
      </c>
      <c r="I1616" s="7">
        <v>0</v>
      </c>
    </row>
    <row r="1617" spans="1:9" x14ac:dyDescent="0.2">
      <c r="A1617" s="7">
        <v>25061</v>
      </c>
      <c r="B1617" s="7">
        <v>1.8680942781039302E-2</v>
      </c>
      <c r="C1617" s="7">
        <v>5.3944556304700297E-2</v>
      </c>
      <c r="D1617" s="7">
        <v>32000</v>
      </c>
      <c r="E1617" s="7" t="s">
        <v>5</v>
      </c>
      <c r="F1617" s="7">
        <v>17.100000000000001</v>
      </c>
      <c r="G1617" s="7">
        <v>0</v>
      </c>
      <c r="H1617" s="7">
        <v>39960.7500000004</v>
      </c>
      <c r="I1617" s="7">
        <v>0</v>
      </c>
    </row>
    <row r="1618" spans="1:9" x14ac:dyDescent="0.2">
      <c r="A1618" s="7">
        <v>127182</v>
      </c>
      <c r="B1618" s="7">
        <v>3.0966159039460199E-2</v>
      </c>
      <c r="C1618" s="7">
        <v>7.4974238972806501E-2</v>
      </c>
      <c r="D1618" s="7">
        <v>7200</v>
      </c>
      <c r="E1618" s="7" t="s">
        <v>8</v>
      </c>
      <c r="F1618" s="7">
        <v>13.67</v>
      </c>
      <c r="G1618" s="7">
        <v>0</v>
      </c>
      <c r="H1618" s="7">
        <v>8641.9331718190006</v>
      </c>
      <c r="I1618" s="7">
        <v>0</v>
      </c>
    </row>
    <row r="1619" spans="1:9" x14ac:dyDescent="0.2">
      <c r="A1619" s="7">
        <v>76976</v>
      </c>
      <c r="B1619" s="7">
        <v>2.4375255133968501E-2</v>
      </c>
      <c r="C1619" s="7">
        <v>8.4798680815203503E-2</v>
      </c>
      <c r="D1619" s="7">
        <v>21725</v>
      </c>
      <c r="E1619" s="7" t="s">
        <v>8</v>
      </c>
      <c r="F1619" s="7">
        <v>12.12</v>
      </c>
      <c r="G1619" s="7">
        <v>0</v>
      </c>
      <c r="H1619" s="7">
        <v>26022.700012032899</v>
      </c>
      <c r="I1619" s="7">
        <v>0</v>
      </c>
    </row>
    <row r="1620" spans="1:9" x14ac:dyDescent="0.2">
      <c r="A1620" s="7">
        <v>16451</v>
      </c>
      <c r="B1620" s="7">
        <v>3.82822357835663E-2</v>
      </c>
      <c r="C1620" s="7">
        <v>7.7054178620260594E-2</v>
      </c>
      <c r="D1620" s="7">
        <v>12200</v>
      </c>
      <c r="E1620" s="7" t="s">
        <v>6</v>
      </c>
      <c r="F1620" s="7">
        <v>17.760000000000002</v>
      </c>
      <c r="G1620" s="7">
        <v>0</v>
      </c>
      <c r="H1620" s="7">
        <v>15722.269997887901</v>
      </c>
      <c r="I1620" s="7">
        <v>0</v>
      </c>
    </row>
    <row r="1621" spans="1:9" x14ac:dyDescent="0.2">
      <c r="A1621" s="7">
        <v>129885</v>
      </c>
      <c r="B1621" s="7">
        <v>3.1899974048577702E-2</v>
      </c>
      <c r="C1621" s="7">
        <v>7.4974238972806501E-2</v>
      </c>
      <c r="D1621" s="7">
        <v>16000</v>
      </c>
      <c r="E1621" s="7" t="s">
        <v>6</v>
      </c>
      <c r="F1621" s="7">
        <v>17.989999999999998</v>
      </c>
      <c r="G1621" s="7">
        <v>0</v>
      </c>
      <c r="H1621" s="7">
        <v>20820.869999998999</v>
      </c>
      <c r="I1621" s="7">
        <v>0</v>
      </c>
    </row>
    <row r="1622" spans="1:9" x14ac:dyDescent="0.2">
      <c r="A1622" s="7">
        <v>41323</v>
      </c>
      <c r="B1622" s="7">
        <v>3.5267292383369502E-2</v>
      </c>
      <c r="C1622" s="7">
        <v>7.4974238972806501E-2</v>
      </c>
      <c r="D1622" s="7">
        <v>16450</v>
      </c>
      <c r="E1622" s="7" t="s">
        <v>8</v>
      </c>
      <c r="F1622" s="7">
        <v>12.35</v>
      </c>
      <c r="G1622" s="7">
        <v>0</v>
      </c>
      <c r="H1622" s="7">
        <v>18666.3720209243</v>
      </c>
      <c r="I1622" s="7">
        <v>0</v>
      </c>
    </row>
    <row r="1623" spans="1:9" x14ac:dyDescent="0.2">
      <c r="A1623" s="7">
        <v>23913</v>
      </c>
      <c r="B1623" s="7">
        <v>2.8426125700587501E-2</v>
      </c>
      <c r="C1623" s="7">
        <v>7.4974238972806501E-2</v>
      </c>
      <c r="D1623" s="7">
        <v>10000</v>
      </c>
      <c r="E1623" s="7" t="s">
        <v>8</v>
      </c>
      <c r="F1623" s="7">
        <v>9.99</v>
      </c>
      <c r="G1623" s="7">
        <v>1</v>
      </c>
      <c r="H1623" s="7">
        <v>643.9</v>
      </c>
      <c r="I1623" s="7">
        <v>0</v>
      </c>
    </row>
    <row r="1624" spans="1:9" x14ac:dyDescent="0.2">
      <c r="A1624" s="7">
        <v>73829</v>
      </c>
      <c r="B1624" s="7">
        <v>2.3039342981689501E-2</v>
      </c>
      <c r="C1624" s="7">
        <v>8.1509172207196695E-2</v>
      </c>
      <c r="D1624" s="7">
        <v>3000</v>
      </c>
      <c r="E1624" s="7" t="s">
        <v>4</v>
      </c>
      <c r="F1624" s="7">
        <v>7.62</v>
      </c>
      <c r="G1624" s="7">
        <v>0</v>
      </c>
      <c r="H1624" s="7">
        <v>3365.402948509</v>
      </c>
      <c r="I1624" s="7">
        <v>0</v>
      </c>
    </row>
    <row r="1625" spans="1:9" x14ac:dyDescent="0.2">
      <c r="A1625" s="7">
        <v>99632</v>
      </c>
      <c r="B1625" s="7">
        <v>1.65979419396356E-2</v>
      </c>
      <c r="C1625" s="7">
        <v>7.7054178620260594E-2</v>
      </c>
      <c r="D1625" s="7">
        <v>4500</v>
      </c>
      <c r="E1625" s="7" t="s">
        <v>10</v>
      </c>
      <c r="F1625" s="7">
        <v>23.63</v>
      </c>
      <c r="G1625" s="7">
        <v>0</v>
      </c>
      <c r="H1625" s="7">
        <v>6324.2114091343001</v>
      </c>
      <c r="I1625" s="7">
        <v>0</v>
      </c>
    </row>
    <row r="1626" spans="1:9" x14ac:dyDescent="0.2">
      <c r="A1626" s="7">
        <v>65421</v>
      </c>
      <c r="B1626" s="7">
        <v>1.5638522161175498E-2</v>
      </c>
      <c r="C1626" s="7">
        <v>7.4974238972806501E-2</v>
      </c>
      <c r="D1626" s="7">
        <v>22250</v>
      </c>
      <c r="E1626" s="7" t="s">
        <v>4</v>
      </c>
      <c r="F1626" s="7">
        <v>6.03</v>
      </c>
      <c r="G1626" s="7">
        <v>0</v>
      </c>
      <c r="H1626" s="7">
        <v>24321.639997303599</v>
      </c>
      <c r="I1626" s="7">
        <v>0</v>
      </c>
    </row>
    <row r="1627" spans="1:9" x14ac:dyDescent="0.2">
      <c r="A1627" s="7">
        <v>124586</v>
      </c>
      <c r="B1627" s="7">
        <v>2.9405247315005E-2</v>
      </c>
      <c r="C1627" s="7">
        <v>7.4974238972806501E-2</v>
      </c>
      <c r="D1627" s="7">
        <v>13000</v>
      </c>
      <c r="E1627" s="7" t="s">
        <v>8</v>
      </c>
      <c r="F1627" s="7">
        <v>13.11</v>
      </c>
      <c r="G1627" s="7">
        <v>0</v>
      </c>
      <c r="H1627" s="7">
        <v>15793.5099888272</v>
      </c>
      <c r="I1627" s="7">
        <v>0</v>
      </c>
    </row>
    <row r="1628" spans="1:9" x14ac:dyDescent="0.2">
      <c r="A1628" s="7">
        <v>2929</v>
      </c>
      <c r="B1628" s="7">
        <v>2.9990422438670301E-2</v>
      </c>
      <c r="C1628" s="7">
        <v>7.7054178620260594E-2</v>
      </c>
      <c r="D1628" s="7">
        <v>10000</v>
      </c>
      <c r="E1628" s="7" t="s">
        <v>8</v>
      </c>
      <c r="F1628" s="7">
        <v>10.99</v>
      </c>
      <c r="G1628" s="7">
        <v>1</v>
      </c>
      <c r="H1628" s="7">
        <v>7323.87</v>
      </c>
      <c r="I1628" s="7">
        <v>1104.47</v>
      </c>
    </row>
    <row r="1629" spans="1:9" x14ac:dyDescent="0.2">
      <c r="A1629" s="7">
        <v>131958</v>
      </c>
      <c r="B1629" s="7">
        <v>8.3390229951192298E-3</v>
      </c>
      <c r="C1629" s="7">
        <v>5.3944556304700297E-2</v>
      </c>
      <c r="D1629" s="7">
        <v>17000</v>
      </c>
      <c r="E1629" s="7" t="s">
        <v>8</v>
      </c>
      <c r="F1629" s="7">
        <v>12.12</v>
      </c>
      <c r="G1629" s="7">
        <v>0</v>
      </c>
      <c r="H1629" s="7">
        <v>17244.934654245098</v>
      </c>
      <c r="I1629" s="7">
        <v>0</v>
      </c>
    </row>
    <row r="1630" spans="1:9" x14ac:dyDescent="0.2">
      <c r="A1630" s="7">
        <v>80112</v>
      </c>
      <c r="B1630" s="7">
        <v>2.8493840606899998E-3</v>
      </c>
      <c r="C1630" s="7">
        <v>8.4798680815203503E-2</v>
      </c>
      <c r="D1630" s="7">
        <v>20000</v>
      </c>
      <c r="E1630" s="7" t="s">
        <v>7</v>
      </c>
      <c r="F1630" s="7">
        <v>21</v>
      </c>
      <c r="G1630" s="7">
        <v>0</v>
      </c>
      <c r="H1630" s="7">
        <v>28124.9900000005</v>
      </c>
      <c r="I1630" s="7">
        <v>0</v>
      </c>
    </row>
    <row r="1631" spans="1:9" x14ac:dyDescent="0.2">
      <c r="A1631" s="7">
        <v>60652</v>
      </c>
      <c r="B1631" s="7">
        <v>2.9371689164486899E-2</v>
      </c>
      <c r="C1631" s="7">
        <v>8.4798680815203503E-2</v>
      </c>
      <c r="D1631" s="7">
        <v>18600</v>
      </c>
      <c r="E1631" s="7" t="s">
        <v>5</v>
      </c>
      <c r="F1631" s="7">
        <v>15.31</v>
      </c>
      <c r="G1631" s="7">
        <v>0</v>
      </c>
      <c r="H1631" s="7">
        <v>23313.611998783399</v>
      </c>
      <c r="I1631" s="7">
        <v>0</v>
      </c>
    </row>
    <row r="1632" spans="1:9" x14ac:dyDescent="0.2">
      <c r="A1632" s="7">
        <v>40644</v>
      </c>
      <c r="B1632" s="7">
        <v>2.56541124798918E-2</v>
      </c>
      <c r="C1632" s="7">
        <v>8.1509172207196695E-2</v>
      </c>
      <c r="D1632" s="7">
        <v>6075</v>
      </c>
      <c r="E1632" s="7" t="s">
        <v>5</v>
      </c>
      <c r="F1632" s="7">
        <v>15.88</v>
      </c>
      <c r="G1632" s="7">
        <v>0</v>
      </c>
      <c r="H1632" s="7">
        <v>7333.1599964752004</v>
      </c>
      <c r="I1632" s="7">
        <v>0</v>
      </c>
    </row>
    <row r="1633" spans="1:9" x14ac:dyDescent="0.2">
      <c r="A1633" s="7">
        <v>143767</v>
      </c>
      <c r="B1633" s="7">
        <v>3.7773246120361897E-2</v>
      </c>
      <c r="C1633" s="7">
        <v>7.4974238972806501E-2</v>
      </c>
      <c r="D1633" s="7">
        <v>11000</v>
      </c>
      <c r="E1633" s="7" t="s">
        <v>8</v>
      </c>
      <c r="F1633" s="7">
        <v>11.71</v>
      </c>
      <c r="G1633" s="7">
        <v>0</v>
      </c>
      <c r="H1633" s="7">
        <v>12873.322329852999</v>
      </c>
      <c r="I1633" s="7">
        <v>0</v>
      </c>
    </row>
    <row r="1634" spans="1:9" x14ac:dyDescent="0.2">
      <c r="A1634" s="7">
        <v>36534</v>
      </c>
      <c r="B1634" s="7">
        <v>2.7744671296570999E-2</v>
      </c>
      <c r="C1634" s="7">
        <v>7.4974238972806501E-2</v>
      </c>
      <c r="D1634" s="7">
        <v>10000</v>
      </c>
      <c r="E1634" s="7" t="s">
        <v>8</v>
      </c>
      <c r="F1634" s="7">
        <v>10.64</v>
      </c>
      <c r="G1634" s="7">
        <v>0</v>
      </c>
      <c r="H1634" s="7">
        <v>11213.469999999599</v>
      </c>
      <c r="I1634" s="7">
        <v>0</v>
      </c>
    </row>
    <row r="1635" spans="1:9" x14ac:dyDescent="0.2">
      <c r="A1635" s="7">
        <v>14666</v>
      </c>
      <c r="B1635" s="7">
        <v>1.52994496216376E-2</v>
      </c>
      <c r="C1635" s="7">
        <v>8.4798680815203503E-2</v>
      </c>
      <c r="D1635" s="7">
        <v>24000</v>
      </c>
      <c r="E1635" s="7" t="s">
        <v>6</v>
      </c>
      <c r="F1635" s="7">
        <v>20.2</v>
      </c>
      <c r="G1635" s="7">
        <v>1</v>
      </c>
      <c r="H1635" s="7">
        <v>13581.04</v>
      </c>
      <c r="I1635" s="7">
        <v>172.45</v>
      </c>
    </row>
    <row r="1636" spans="1:9" x14ac:dyDescent="0.2">
      <c r="A1636" s="7">
        <v>101503</v>
      </c>
      <c r="B1636" s="7">
        <v>3.1066927623667698E-2</v>
      </c>
      <c r="C1636" s="7">
        <v>7.4974238972806501E-2</v>
      </c>
      <c r="D1636" s="7">
        <v>4000</v>
      </c>
      <c r="E1636" s="7" t="s">
        <v>8</v>
      </c>
      <c r="F1636" s="7">
        <v>13.11</v>
      </c>
      <c r="G1636" s="7">
        <v>0</v>
      </c>
      <c r="H1636" s="7">
        <v>4238.4946018201999</v>
      </c>
      <c r="I1636" s="7">
        <v>0</v>
      </c>
    </row>
    <row r="1637" spans="1:9" x14ac:dyDescent="0.2">
      <c r="A1637" s="7">
        <v>23755</v>
      </c>
      <c r="B1637" s="7">
        <v>-7.0706452112304103E-3</v>
      </c>
      <c r="C1637" s="7">
        <v>8.4798680815203503E-2</v>
      </c>
      <c r="D1637" s="7">
        <v>28500</v>
      </c>
      <c r="E1637" s="7" t="s">
        <v>10</v>
      </c>
      <c r="F1637" s="7">
        <v>23.7</v>
      </c>
      <c r="G1637" s="7">
        <v>0</v>
      </c>
      <c r="H1637" s="7">
        <v>31263.599213026999</v>
      </c>
      <c r="I1637" s="7">
        <v>0</v>
      </c>
    </row>
    <row r="1638" spans="1:9" x14ac:dyDescent="0.2">
      <c r="A1638" s="7">
        <v>103749</v>
      </c>
      <c r="B1638" s="7">
        <v>3.0878441838922601E-2</v>
      </c>
      <c r="C1638" s="7">
        <v>7.4974238972806501E-2</v>
      </c>
      <c r="D1638" s="7">
        <v>11000</v>
      </c>
      <c r="E1638" s="7" t="s">
        <v>8</v>
      </c>
      <c r="F1638" s="7">
        <v>11.14</v>
      </c>
      <c r="G1638" s="7">
        <v>0</v>
      </c>
      <c r="H1638" s="7">
        <v>12963.570002750999</v>
      </c>
      <c r="I1638" s="7">
        <v>0</v>
      </c>
    </row>
    <row r="1639" spans="1:9" x14ac:dyDescent="0.2">
      <c r="A1639" s="7">
        <v>135346</v>
      </c>
      <c r="B1639" s="7">
        <v>3.49277347339466E-2</v>
      </c>
      <c r="C1639" s="7">
        <v>7.4974238972806501E-2</v>
      </c>
      <c r="D1639" s="7">
        <v>16000</v>
      </c>
      <c r="E1639" s="7" t="s">
        <v>6</v>
      </c>
      <c r="F1639" s="7">
        <v>19.22</v>
      </c>
      <c r="G1639" s="7">
        <v>1</v>
      </c>
      <c r="H1639" s="7">
        <v>4327.59</v>
      </c>
      <c r="I1639" s="7">
        <v>800.91</v>
      </c>
    </row>
    <row r="1640" spans="1:9" x14ac:dyDescent="0.2">
      <c r="A1640" s="7">
        <v>127961</v>
      </c>
      <c r="B1640" s="7">
        <v>-3.9150420000476499E-3</v>
      </c>
      <c r="C1640" s="7">
        <v>8.1509172207196695E-2</v>
      </c>
      <c r="D1640" s="7">
        <v>16950</v>
      </c>
      <c r="E1640" s="7" t="s">
        <v>6</v>
      </c>
      <c r="F1640" s="7">
        <v>18.25</v>
      </c>
      <c r="G1640" s="7">
        <v>0</v>
      </c>
      <c r="H1640" s="7">
        <v>20941.8829276529</v>
      </c>
      <c r="I1640" s="7">
        <v>0</v>
      </c>
    </row>
    <row r="1641" spans="1:9" x14ac:dyDescent="0.2">
      <c r="A1641" s="7">
        <v>125258</v>
      </c>
      <c r="B1641" s="7">
        <v>6.0668255618532502E-3</v>
      </c>
      <c r="C1641" s="7">
        <v>8.4798680815203503E-2</v>
      </c>
      <c r="D1641" s="7">
        <v>18000</v>
      </c>
      <c r="E1641" s="7" t="s">
        <v>6</v>
      </c>
      <c r="F1641" s="7">
        <v>18.489999999999998</v>
      </c>
      <c r="G1641" s="7">
        <v>1</v>
      </c>
      <c r="H1641" s="7">
        <v>17503.02</v>
      </c>
      <c r="I1641" s="7">
        <v>1806.02</v>
      </c>
    </row>
    <row r="1642" spans="1:9" x14ac:dyDescent="0.2">
      <c r="A1642" s="7">
        <v>49750</v>
      </c>
      <c r="B1642" s="7">
        <v>3.2932705263911503E-2</v>
      </c>
      <c r="C1642" s="7">
        <v>7.7054178620260594E-2</v>
      </c>
      <c r="D1642" s="7">
        <v>10400</v>
      </c>
      <c r="E1642" s="7" t="s">
        <v>8</v>
      </c>
      <c r="F1642" s="7">
        <v>11.14</v>
      </c>
      <c r="G1642" s="7">
        <v>0</v>
      </c>
      <c r="H1642" s="7">
        <v>11965.4800043839</v>
      </c>
      <c r="I1642" s="7">
        <v>0</v>
      </c>
    </row>
    <row r="1643" spans="1:9" x14ac:dyDescent="0.2">
      <c r="A1643" s="7">
        <v>79615</v>
      </c>
      <c r="B1643" s="7">
        <v>3.0018531781997301E-2</v>
      </c>
      <c r="C1643" s="7">
        <v>7.4974238972806501E-2</v>
      </c>
      <c r="D1643" s="7">
        <v>2825</v>
      </c>
      <c r="E1643" s="7" t="s">
        <v>6</v>
      </c>
      <c r="F1643" s="7">
        <v>18.75</v>
      </c>
      <c r="G1643" s="7">
        <v>0</v>
      </c>
      <c r="H1643" s="7">
        <v>3715.04</v>
      </c>
      <c r="I1643" s="7">
        <v>0</v>
      </c>
    </row>
    <row r="1644" spans="1:9" x14ac:dyDescent="0.2">
      <c r="A1644" s="7">
        <v>6732</v>
      </c>
      <c r="B1644" s="7">
        <v>2.4126943913339301E-2</v>
      </c>
      <c r="C1644" s="7">
        <v>7.4974238972806501E-2</v>
      </c>
      <c r="D1644" s="7">
        <v>7450</v>
      </c>
      <c r="E1644" s="7" t="s">
        <v>8</v>
      </c>
      <c r="F1644" s="7">
        <v>12.99</v>
      </c>
      <c r="G1644" s="7">
        <v>0</v>
      </c>
      <c r="H1644" s="7">
        <v>8945.8600002978001</v>
      </c>
      <c r="I1644" s="7">
        <v>0</v>
      </c>
    </row>
    <row r="1645" spans="1:9" x14ac:dyDescent="0.2">
      <c r="A1645" s="7">
        <v>85917</v>
      </c>
      <c r="B1645" s="7">
        <v>2.7536187986443798E-2</v>
      </c>
      <c r="C1645" s="7">
        <v>8.1509172207196695E-2</v>
      </c>
      <c r="D1645" s="7">
        <v>7025</v>
      </c>
      <c r="E1645" s="7" t="s">
        <v>5</v>
      </c>
      <c r="F1645" s="7">
        <v>15.31</v>
      </c>
      <c r="G1645" s="7">
        <v>0</v>
      </c>
      <c r="H1645" s="7">
        <v>8805.2254476795006</v>
      </c>
      <c r="I1645" s="7">
        <v>0</v>
      </c>
    </row>
    <row r="1646" spans="1:9" x14ac:dyDescent="0.2">
      <c r="A1646" s="7">
        <v>31511</v>
      </c>
      <c r="B1646" s="7">
        <v>2.7391084460448301E-2</v>
      </c>
      <c r="C1646" s="7">
        <v>7.4974238972806501E-2</v>
      </c>
      <c r="D1646" s="7">
        <v>15000</v>
      </c>
      <c r="E1646" s="7" t="s">
        <v>8</v>
      </c>
      <c r="F1646" s="7">
        <v>12.35</v>
      </c>
      <c r="G1646" s="7">
        <v>0</v>
      </c>
      <c r="H1646" s="7">
        <v>16823.134813608998</v>
      </c>
      <c r="I1646" s="7">
        <v>0</v>
      </c>
    </row>
    <row r="1647" spans="1:9" x14ac:dyDescent="0.2">
      <c r="A1647" s="7">
        <v>88701</v>
      </c>
      <c r="B1647" s="7">
        <v>2.50288919123931E-2</v>
      </c>
      <c r="C1647" s="7">
        <v>5.3944556304700297E-2</v>
      </c>
      <c r="D1647" s="7">
        <v>21000</v>
      </c>
      <c r="E1647" s="7" t="s">
        <v>4</v>
      </c>
      <c r="F1647" s="7">
        <v>7.9</v>
      </c>
      <c r="G1647" s="7">
        <v>0</v>
      </c>
      <c r="H1647" s="7">
        <v>23504.170003507199</v>
      </c>
      <c r="I1647" s="7">
        <v>0</v>
      </c>
    </row>
    <row r="1648" spans="1:9" x14ac:dyDescent="0.2">
      <c r="A1648" s="7">
        <v>104843</v>
      </c>
      <c r="B1648" s="7">
        <v>2.7766633232077498E-2</v>
      </c>
      <c r="C1648" s="7">
        <v>8.1509172207196695E-2</v>
      </c>
      <c r="D1648" s="7">
        <v>10000</v>
      </c>
      <c r="E1648" s="7" t="s">
        <v>7</v>
      </c>
      <c r="F1648" s="7">
        <v>22.47</v>
      </c>
      <c r="G1648" s="7">
        <v>0</v>
      </c>
      <c r="H1648" s="7">
        <v>13057.025842016799</v>
      </c>
      <c r="I1648" s="7">
        <v>0</v>
      </c>
    </row>
    <row r="1649" spans="1:9" x14ac:dyDescent="0.2">
      <c r="A1649" s="7">
        <v>40556</v>
      </c>
      <c r="B1649" s="7">
        <v>2.67538646346261E-2</v>
      </c>
      <c r="C1649" s="7">
        <v>8.1509172207196695E-2</v>
      </c>
      <c r="D1649" s="7">
        <v>16000</v>
      </c>
      <c r="E1649" s="7" t="s">
        <v>8</v>
      </c>
      <c r="F1649" s="7">
        <v>10.64</v>
      </c>
      <c r="G1649" s="7">
        <v>0</v>
      </c>
      <c r="H1649" s="7">
        <v>18039.499999999302</v>
      </c>
      <c r="I1649" s="7">
        <v>0</v>
      </c>
    </row>
    <row r="1650" spans="1:9" x14ac:dyDescent="0.2">
      <c r="A1650" s="7">
        <v>61274</v>
      </c>
      <c r="B1650" s="7">
        <v>3.4916823838563801E-2</v>
      </c>
      <c r="C1650" s="7">
        <v>8.1509172207196695E-2</v>
      </c>
      <c r="D1650" s="7">
        <v>5500</v>
      </c>
      <c r="E1650" s="7" t="s">
        <v>6</v>
      </c>
      <c r="F1650" s="7">
        <v>19.05</v>
      </c>
      <c r="G1650" s="7">
        <v>0</v>
      </c>
      <c r="H1650" s="7">
        <v>7143.4299990136997</v>
      </c>
      <c r="I1650" s="7">
        <v>0</v>
      </c>
    </row>
    <row r="1651" spans="1:9" x14ac:dyDescent="0.2">
      <c r="A1651" s="7">
        <v>140339</v>
      </c>
      <c r="B1651" s="7">
        <v>2.54823369835675E-2</v>
      </c>
      <c r="C1651" s="7">
        <v>8.1509172207196695E-2</v>
      </c>
      <c r="D1651" s="7">
        <v>7500</v>
      </c>
      <c r="E1651" s="7" t="s">
        <v>4</v>
      </c>
      <c r="F1651" s="7">
        <v>7.62</v>
      </c>
      <c r="G1651" s="7">
        <v>0</v>
      </c>
      <c r="H1651" s="7">
        <v>8382.8934800811003</v>
      </c>
      <c r="I1651" s="7">
        <v>0</v>
      </c>
    </row>
    <row r="1652" spans="1:9" x14ac:dyDescent="0.2">
      <c r="A1652" s="7">
        <v>51747</v>
      </c>
      <c r="B1652" s="7">
        <v>3.8929333799813698E-2</v>
      </c>
      <c r="C1652" s="7">
        <v>7.4974238972806501E-2</v>
      </c>
      <c r="D1652" s="7">
        <v>1000</v>
      </c>
      <c r="E1652" s="7" t="s">
        <v>8</v>
      </c>
      <c r="F1652" s="7">
        <v>11.14</v>
      </c>
      <c r="G1652" s="7">
        <v>0</v>
      </c>
      <c r="H1652" s="7">
        <v>1179.7</v>
      </c>
      <c r="I1652" s="7">
        <v>0</v>
      </c>
    </row>
    <row r="1653" spans="1:9" x14ac:dyDescent="0.2">
      <c r="A1653" s="7">
        <v>19880</v>
      </c>
      <c r="B1653" s="7">
        <v>2.7986836534834199E-2</v>
      </c>
      <c r="C1653" s="7">
        <v>7.4974238972806501E-2</v>
      </c>
      <c r="D1653" s="7">
        <v>13500</v>
      </c>
      <c r="E1653" s="7" t="s">
        <v>8</v>
      </c>
      <c r="F1653" s="7">
        <v>11.99</v>
      </c>
      <c r="G1653" s="7">
        <v>0</v>
      </c>
      <c r="H1653" s="7">
        <v>15179.8</v>
      </c>
      <c r="I1653" s="7">
        <v>0</v>
      </c>
    </row>
    <row r="1654" spans="1:9" x14ac:dyDescent="0.2">
      <c r="A1654" s="7">
        <v>141274</v>
      </c>
      <c r="B1654" s="7">
        <v>2.5792395634744301E-2</v>
      </c>
      <c r="C1654" s="7">
        <v>7.7054178620260594E-2</v>
      </c>
      <c r="D1654" s="7">
        <v>14200</v>
      </c>
      <c r="E1654" s="7" t="s">
        <v>10</v>
      </c>
      <c r="F1654" s="7">
        <v>21.28</v>
      </c>
      <c r="G1654" s="7">
        <v>0</v>
      </c>
      <c r="H1654" s="7">
        <v>19333.060010780799</v>
      </c>
      <c r="I1654" s="7">
        <v>0</v>
      </c>
    </row>
    <row r="1655" spans="1:9" x14ac:dyDescent="0.2">
      <c r="A1655" s="7">
        <v>59748</v>
      </c>
      <c r="B1655" s="7">
        <v>4.2574307637365499E-2</v>
      </c>
      <c r="C1655" s="7">
        <v>8.4798680815203503E-2</v>
      </c>
      <c r="D1655" s="7">
        <v>24000</v>
      </c>
      <c r="E1655" s="7" t="s">
        <v>6</v>
      </c>
      <c r="F1655" s="7">
        <v>19.05</v>
      </c>
      <c r="G1655" s="7">
        <v>1</v>
      </c>
      <c r="H1655" s="7">
        <v>9858.08</v>
      </c>
      <c r="I1655" s="7">
        <v>2815.2</v>
      </c>
    </row>
    <row r="1656" spans="1:9" x14ac:dyDescent="0.2">
      <c r="A1656" s="7">
        <v>36476</v>
      </c>
      <c r="B1656" s="7">
        <v>3.3426883158473301E-2</v>
      </c>
      <c r="C1656" s="7">
        <v>5.3944556304700297E-2</v>
      </c>
      <c r="D1656" s="7">
        <v>15450</v>
      </c>
      <c r="E1656" s="7" t="s">
        <v>8</v>
      </c>
      <c r="F1656" s="7">
        <v>12.35</v>
      </c>
      <c r="G1656" s="7">
        <v>0</v>
      </c>
      <c r="H1656" s="7">
        <v>15915.97</v>
      </c>
      <c r="I1656" s="7">
        <v>0</v>
      </c>
    </row>
    <row r="1657" spans="1:9" x14ac:dyDescent="0.2">
      <c r="A1657" s="7">
        <v>15282</v>
      </c>
      <c r="B1657" s="7">
        <v>3.25811568718853E-2</v>
      </c>
      <c r="C1657" s="7">
        <v>5.3944556304700297E-2</v>
      </c>
      <c r="D1657" s="7">
        <v>20000</v>
      </c>
      <c r="E1657" s="7" t="s">
        <v>8</v>
      </c>
      <c r="F1657" s="7">
        <v>9.67</v>
      </c>
      <c r="G1657" s="7">
        <v>0</v>
      </c>
      <c r="H1657" s="7">
        <v>22174.869999996299</v>
      </c>
      <c r="I1657" s="7">
        <v>0</v>
      </c>
    </row>
    <row r="1658" spans="1:9" x14ac:dyDescent="0.2">
      <c r="A1658" s="7">
        <v>35803</v>
      </c>
      <c r="B1658" s="7">
        <v>-6.7154347784032396E-3</v>
      </c>
      <c r="C1658" s="7">
        <v>8.4798680815203503E-2</v>
      </c>
      <c r="D1658" s="7">
        <v>18000</v>
      </c>
      <c r="E1658" s="7" t="s">
        <v>6</v>
      </c>
      <c r="F1658" s="7">
        <v>17.559999999999999</v>
      </c>
      <c r="G1658" s="7">
        <v>0</v>
      </c>
      <c r="H1658" s="7">
        <v>21420.028160134701</v>
      </c>
      <c r="I1658" s="7">
        <v>0</v>
      </c>
    </row>
    <row r="1659" spans="1:9" x14ac:dyDescent="0.2">
      <c r="A1659" s="7">
        <v>97421</v>
      </c>
      <c r="B1659" s="7">
        <v>4.3067474402836599E-2</v>
      </c>
      <c r="C1659" s="7">
        <v>8.4798680815203503E-2</v>
      </c>
      <c r="D1659" s="7">
        <v>25000</v>
      </c>
      <c r="E1659" s="7" t="s">
        <v>5</v>
      </c>
      <c r="F1659" s="7">
        <v>17.27</v>
      </c>
      <c r="G1659" s="7">
        <v>0</v>
      </c>
      <c r="H1659" s="7">
        <v>32208.427530598699</v>
      </c>
      <c r="I1659" s="7">
        <v>0</v>
      </c>
    </row>
    <row r="1660" spans="1:9" x14ac:dyDescent="0.2">
      <c r="A1660" s="7">
        <v>112769</v>
      </c>
      <c r="B1660" s="7">
        <v>3.1661842812579999E-2</v>
      </c>
      <c r="C1660" s="7">
        <v>7.4974238972806501E-2</v>
      </c>
      <c r="D1660" s="7">
        <v>4400</v>
      </c>
      <c r="E1660" s="7" t="s">
        <v>8</v>
      </c>
      <c r="F1660" s="7">
        <v>13.11</v>
      </c>
      <c r="G1660" s="7">
        <v>1</v>
      </c>
      <c r="H1660" s="7">
        <v>4481.1000000000004</v>
      </c>
      <c r="I1660" s="7">
        <v>179.99</v>
      </c>
    </row>
    <row r="1661" spans="1:9" x14ac:dyDescent="0.2">
      <c r="A1661" s="7">
        <v>103529</v>
      </c>
      <c r="B1661" s="7">
        <v>1.04263537773891E-2</v>
      </c>
      <c r="C1661" s="7">
        <v>8.1509172207196695E-2</v>
      </c>
      <c r="D1661" s="7">
        <v>8400</v>
      </c>
      <c r="E1661" s="7" t="s">
        <v>4</v>
      </c>
      <c r="F1661" s="7">
        <v>7.62</v>
      </c>
      <c r="G1661" s="7">
        <v>0</v>
      </c>
      <c r="H1661" s="7">
        <v>9180.0161575946004</v>
      </c>
      <c r="I1661" s="7">
        <v>0</v>
      </c>
    </row>
    <row r="1662" spans="1:9" x14ac:dyDescent="0.2">
      <c r="A1662" s="7">
        <v>112278</v>
      </c>
      <c r="B1662" s="7">
        <v>1.40920288998329E-2</v>
      </c>
      <c r="C1662" s="7">
        <v>8.1509172207196695E-2</v>
      </c>
      <c r="D1662" s="7">
        <v>5050</v>
      </c>
      <c r="E1662" s="7" t="s">
        <v>4</v>
      </c>
      <c r="F1662" s="7">
        <v>6.03</v>
      </c>
      <c r="G1662" s="7">
        <v>0</v>
      </c>
      <c r="H1662" s="7">
        <v>5525.9339862009001</v>
      </c>
      <c r="I1662" s="7">
        <v>0</v>
      </c>
    </row>
    <row r="1663" spans="1:9" x14ac:dyDescent="0.2">
      <c r="A1663" s="7">
        <v>135797</v>
      </c>
      <c r="B1663" s="7">
        <v>2.9819674206342899E-2</v>
      </c>
      <c r="C1663" s="7">
        <v>8.1509172207196695E-2</v>
      </c>
      <c r="D1663" s="7">
        <v>3200</v>
      </c>
      <c r="E1663" s="7" t="s">
        <v>8</v>
      </c>
      <c r="F1663" s="7">
        <v>13.11</v>
      </c>
      <c r="G1663" s="7">
        <v>0</v>
      </c>
      <c r="H1663" s="7">
        <v>3485.22123625722</v>
      </c>
      <c r="I1663" s="7">
        <v>0</v>
      </c>
    </row>
    <row r="1664" spans="1:9" x14ac:dyDescent="0.2">
      <c r="A1664" s="7">
        <v>122607</v>
      </c>
      <c r="B1664" s="7">
        <v>2.27651260894986E-2</v>
      </c>
      <c r="C1664" s="7">
        <v>7.4974238972806501E-2</v>
      </c>
      <c r="D1664" s="7">
        <v>9525</v>
      </c>
      <c r="E1664" s="7" t="s">
        <v>8</v>
      </c>
      <c r="F1664" s="7">
        <v>12.12</v>
      </c>
      <c r="G1664" s="7">
        <v>0</v>
      </c>
      <c r="H1664" s="7">
        <v>9806.94</v>
      </c>
      <c r="I1664" s="7">
        <v>0</v>
      </c>
    </row>
    <row r="1665" spans="1:9" x14ac:dyDescent="0.2">
      <c r="A1665" s="7">
        <v>139305</v>
      </c>
      <c r="B1665" s="7">
        <v>3.65688065779129E-2</v>
      </c>
      <c r="C1665" s="7">
        <v>8.1509172207196695E-2</v>
      </c>
      <c r="D1665" s="7">
        <v>14000</v>
      </c>
      <c r="E1665" s="7" t="s">
        <v>8</v>
      </c>
      <c r="F1665" s="7">
        <v>12.12</v>
      </c>
      <c r="G1665" s="7">
        <v>0</v>
      </c>
      <c r="H1665" s="7">
        <v>16768.870010515999</v>
      </c>
      <c r="I1665" s="7">
        <v>0</v>
      </c>
    </row>
    <row r="1666" spans="1:9" x14ac:dyDescent="0.2">
      <c r="A1666" s="7">
        <v>60393</v>
      </c>
      <c r="B1666" s="7">
        <v>3.52301391948305E-2</v>
      </c>
      <c r="C1666" s="7">
        <v>7.4974238972806501E-2</v>
      </c>
      <c r="D1666" s="7">
        <v>8000</v>
      </c>
      <c r="E1666" s="7" t="s">
        <v>5</v>
      </c>
      <c r="F1666" s="7">
        <v>14.33</v>
      </c>
      <c r="G1666" s="7">
        <v>0</v>
      </c>
      <c r="H1666" s="7">
        <v>8702.91</v>
      </c>
      <c r="I1666" s="7">
        <v>0</v>
      </c>
    </row>
    <row r="1667" spans="1:9" x14ac:dyDescent="0.2">
      <c r="A1667" s="7">
        <v>121212</v>
      </c>
      <c r="B1667" s="7">
        <v>2.3608264969012201E-2</v>
      </c>
      <c r="C1667" s="7">
        <v>7.4974238972806501E-2</v>
      </c>
      <c r="D1667" s="7">
        <v>12800</v>
      </c>
      <c r="E1667" s="7" t="s">
        <v>8</v>
      </c>
      <c r="F1667" s="7">
        <v>11.14</v>
      </c>
      <c r="G1667" s="7">
        <v>0</v>
      </c>
      <c r="H1667" s="7">
        <v>12919.34</v>
      </c>
      <c r="I1667" s="7">
        <v>0</v>
      </c>
    </row>
    <row r="1668" spans="1:9" x14ac:dyDescent="0.2">
      <c r="A1668" s="7">
        <v>92994</v>
      </c>
      <c r="B1668" s="7">
        <v>2.5297614916062201E-2</v>
      </c>
      <c r="C1668" s="7">
        <v>7.7054178620260594E-2</v>
      </c>
      <c r="D1668" s="7">
        <v>10000</v>
      </c>
      <c r="E1668" s="7" t="s">
        <v>4</v>
      </c>
      <c r="F1668" s="7">
        <v>7.9</v>
      </c>
      <c r="G1668" s="7">
        <v>0</v>
      </c>
      <c r="H1668" s="7">
        <v>10890.5</v>
      </c>
      <c r="I1668" s="7">
        <v>0</v>
      </c>
    </row>
    <row r="1669" spans="1:9" x14ac:dyDescent="0.2">
      <c r="A1669" s="7">
        <v>15582</v>
      </c>
      <c r="B1669" s="7">
        <v>3.8073543670546203E-2</v>
      </c>
      <c r="C1669" s="7">
        <v>5.3944556304700297E-2</v>
      </c>
      <c r="D1669" s="7">
        <v>25000</v>
      </c>
      <c r="E1669" s="7" t="s">
        <v>4</v>
      </c>
      <c r="F1669" s="7">
        <v>7.62</v>
      </c>
      <c r="G1669" s="7">
        <v>0</v>
      </c>
      <c r="H1669" s="7">
        <v>25695.374458987801</v>
      </c>
      <c r="I1669" s="7">
        <v>0</v>
      </c>
    </row>
    <row r="1670" spans="1:9" x14ac:dyDescent="0.2">
      <c r="A1670" s="7">
        <v>39719</v>
      </c>
      <c r="B1670" s="7">
        <v>3.5912259624544897E-2</v>
      </c>
      <c r="C1670" s="7">
        <v>7.7054178620260594E-2</v>
      </c>
      <c r="D1670" s="7">
        <v>5000</v>
      </c>
      <c r="E1670" s="7" t="s">
        <v>8</v>
      </c>
      <c r="F1670" s="7">
        <v>12.35</v>
      </c>
      <c r="G1670" s="7">
        <v>0</v>
      </c>
      <c r="H1670" s="7">
        <v>5984.1</v>
      </c>
      <c r="I1670" s="7">
        <v>0</v>
      </c>
    </row>
    <row r="1671" spans="1:9" x14ac:dyDescent="0.2">
      <c r="A1671" s="7">
        <v>92614</v>
      </c>
      <c r="B1671" s="7">
        <v>2.66199750859735E-2</v>
      </c>
      <c r="C1671" s="7">
        <v>8.1509172207196695E-2</v>
      </c>
      <c r="D1671" s="7">
        <v>3500</v>
      </c>
      <c r="E1671" s="7" t="s">
        <v>6</v>
      </c>
      <c r="F1671" s="7">
        <v>17.77</v>
      </c>
      <c r="G1671" s="7">
        <v>0</v>
      </c>
      <c r="H1671" s="7">
        <v>4154.1552512742001</v>
      </c>
      <c r="I1671" s="7">
        <v>0</v>
      </c>
    </row>
    <row r="1672" spans="1:9" x14ac:dyDescent="0.2">
      <c r="A1672" s="7">
        <v>97950</v>
      </c>
      <c r="B1672" s="7">
        <v>2.5292220936581102E-2</v>
      </c>
      <c r="C1672" s="7">
        <v>8.1509172207196695E-2</v>
      </c>
      <c r="D1672" s="7">
        <v>12000</v>
      </c>
      <c r="E1672" s="7" t="s">
        <v>8</v>
      </c>
      <c r="F1672" s="7">
        <v>14.09</v>
      </c>
      <c r="G1672" s="7">
        <v>0</v>
      </c>
      <c r="H1672" s="7">
        <v>13036.671824257999</v>
      </c>
      <c r="I1672" s="7">
        <v>0</v>
      </c>
    </row>
    <row r="1673" spans="1:9" x14ac:dyDescent="0.2">
      <c r="A1673" s="7">
        <v>13625</v>
      </c>
      <c r="B1673" s="7">
        <v>3.0704514187607501E-2</v>
      </c>
      <c r="C1673" s="7">
        <v>7.4974238972806501E-2</v>
      </c>
      <c r="D1673" s="7">
        <v>7000</v>
      </c>
      <c r="E1673" s="7" t="s">
        <v>4</v>
      </c>
      <c r="F1673" s="7">
        <v>7.9</v>
      </c>
      <c r="G1673" s="7">
        <v>0</v>
      </c>
      <c r="H1673" s="7">
        <v>7522.9900004185001</v>
      </c>
      <c r="I1673" s="7">
        <v>0</v>
      </c>
    </row>
    <row r="1674" spans="1:9" x14ac:dyDescent="0.2">
      <c r="A1674" s="7">
        <v>95948</v>
      </c>
      <c r="B1674" s="7">
        <v>3.2773903111878798E-2</v>
      </c>
      <c r="C1674" s="7">
        <v>5.3944556304700297E-2</v>
      </c>
      <c r="D1674" s="7">
        <v>20000</v>
      </c>
      <c r="E1674" s="7" t="s">
        <v>8</v>
      </c>
      <c r="F1674" s="7">
        <v>12.12</v>
      </c>
      <c r="G1674" s="7">
        <v>0</v>
      </c>
      <c r="H1674" s="7">
        <v>22516.35</v>
      </c>
      <c r="I1674" s="7">
        <v>0</v>
      </c>
    </row>
    <row r="1675" spans="1:9" x14ac:dyDescent="0.2">
      <c r="A1675" s="7">
        <v>63816</v>
      </c>
      <c r="B1675" s="7">
        <v>2.3700227097884601E-2</v>
      </c>
      <c r="C1675" s="7">
        <v>5.3944556304700297E-2</v>
      </c>
      <c r="D1675" s="7">
        <v>24375</v>
      </c>
      <c r="E1675" s="7" t="s">
        <v>8</v>
      </c>
      <c r="F1675" s="7">
        <v>10.16</v>
      </c>
      <c r="G1675" s="7">
        <v>1</v>
      </c>
      <c r="H1675" s="7">
        <v>2385.2800000000002</v>
      </c>
      <c r="I1675" s="7">
        <v>20.23</v>
      </c>
    </row>
    <row r="1676" spans="1:9" x14ac:dyDescent="0.2">
      <c r="A1676" s="7">
        <v>29756</v>
      </c>
      <c r="B1676" s="7">
        <v>3.9415620009259099E-2</v>
      </c>
      <c r="C1676" s="7">
        <v>5.3944556304700297E-2</v>
      </c>
      <c r="D1676" s="7">
        <v>30225</v>
      </c>
      <c r="E1676" s="7" t="s">
        <v>6</v>
      </c>
      <c r="F1676" s="7">
        <v>18.850000000000001</v>
      </c>
      <c r="G1676" s="7">
        <v>0</v>
      </c>
      <c r="H1676" s="7">
        <v>37930.370015411499</v>
      </c>
      <c r="I1676" s="7">
        <v>0</v>
      </c>
    </row>
    <row r="1677" spans="1:9" x14ac:dyDescent="0.2">
      <c r="A1677" s="7">
        <v>59613</v>
      </c>
      <c r="B1677" s="7">
        <v>2.5768761753467401E-2</v>
      </c>
      <c r="C1677" s="7">
        <v>5.3944556304700297E-2</v>
      </c>
      <c r="D1677" s="7">
        <v>16000</v>
      </c>
      <c r="E1677" s="7" t="s">
        <v>4</v>
      </c>
      <c r="F1677" s="7">
        <v>6.62</v>
      </c>
      <c r="G1677" s="7">
        <v>1</v>
      </c>
      <c r="H1677" s="7">
        <v>10977.01</v>
      </c>
      <c r="I1677" s="7">
        <v>7545.19</v>
      </c>
    </row>
    <row r="1678" spans="1:9" x14ac:dyDescent="0.2">
      <c r="A1678" s="7">
        <v>39165</v>
      </c>
      <c r="B1678" s="7">
        <v>4.2250041220554903E-2</v>
      </c>
      <c r="C1678" s="7">
        <v>5.3944556304700297E-2</v>
      </c>
      <c r="D1678" s="7">
        <v>16000</v>
      </c>
      <c r="E1678" s="7" t="s">
        <v>4</v>
      </c>
      <c r="F1678" s="7">
        <v>8.9</v>
      </c>
      <c r="G1678" s="7">
        <v>0</v>
      </c>
      <c r="H1678" s="7">
        <v>18252.689999999999</v>
      </c>
      <c r="I1678" s="7">
        <v>0</v>
      </c>
    </row>
    <row r="1679" spans="1:9" x14ac:dyDescent="0.2">
      <c r="A1679" s="7">
        <v>120417</v>
      </c>
      <c r="B1679" s="7">
        <v>2.27279442207994E-2</v>
      </c>
      <c r="C1679" s="7">
        <v>7.4974238972806501E-2</v>
      </c>
      <c r="D1679" s="7">
        <v>14600</v>
      </c>
      <c r="E1679" s="7" t="s">
        <v>4</v>
      </c>
      <c r="F1679" s="7">
        <v>8.9</v>
      </c>
      <c r="G1679" s="7">
        <v>0</v>
      </c>
      <c r="H1679" s="7">
        <v>16689.480002923199</v>
      </c>
      <c r="I1679" s="7">
        <v>0</v>
      </c>
    </row>
    <row r="1680" spans="1:9" x14ac:dyDescent="0.2">
      <c r="A1680" s="7">
        <v>144187</v>
      </c>
      <c r="B1680" s="7">
        <v>2.7941418239866198E-3</v>
      </c>
      <c r="C1680" s="7">
        <v>8.4798680815203503E-2</v>
      </c>
      <c r="D1680" s="7">
        <v>26400</v>
      </c>
      <c r="E1680" s="7" t="s">
        <v>5</v>
      </c>
      <c r="F1680" s="7">
        <v>14.27</v>
      </c>
      <c r="G1680" s="7">
        <v>0</v>
      </c>
      <c r="H1680" s="7">
        <v>27337.083942336201</v>
      </c>
      <c r="I1680" s="7">
        <v>0</v>
      </c>
    </row>
    <row r="1681" spans="1:9" x14ac:dyDescent="0.2">
      <c r="A1681" s="7">
        <v>31956</v>
      </c>
      <c r="B1681" s="7">
        <v>4.0772507097532502E-2</v>
      </c>
      <c r="C1681" s="7">
        <v>8.4798680815203503E-2</v>
      </c>
      <c r="D1681" s="7">
        <v>35000</v>
      </c>
      <c r="E1681" s="7" t="s">
        <v>6</v>
      </c>
      <c r="F1681" s="7">
        <v>18.850000000000001</v>
      </c>
      <c r="G1681" s="7">
        <v>1</v>
      </c>
      <c r="H1681" s="7">
        <v>30233.85</v>
      </c>
      <c r="I1681" s="7">
        <v>3047.34</v>
      </c>
    </row>
    <row r="1682" spans="1:9" x14ac:dyDescent="0.2">
      <c r="A1682" s="7">
        <v>85413</v>
      </c>
      <c r="B1682" s="7">
        <v>2.90450469454047E-2</v>
      </c>
      <c r="C1682" s="7">
        <v>5.3944556304700297E-2</v>
      </c>
      <c r="D1682" s="7">
        <v>25600</v>
      </c>
      <c r="E1682" s="7" t="s">
        <v>4</v>
      </c>
      <c r="F1682" s="7">
        <v>7.9</v>
      </c>
      <c r="G1682" s="7">
        <v>0</v>
      </c>
      <c r="H1682" s="7">
        <v>28837.055573678401</v>
      </c>
      <c r="I1682" s="7">
        <v>0</v>
      </c>
    </row>
    <row r="1683" spans="1:9" x14ac:dyDescent="0.2">
      <c r="A1683" s="7">
        <v>101889</v>
      </c>
      <c r="B1683" s="7">
        <v>2.2894261940140999E-2</v>
      </c>
      <c r="C1683" s="7">
        <v>8.1509172207196695E-2</v>
      </c>
      <c r="D1683" s="7">
        <v>10525</v>
      </c>
      <c r="E1683" s="7" t="s">
        <v>5</v>
      </c>
      <c r="F1683" s="7">
        <v>16.29</v>
      </c>
      <c r="G1683" s="7">
        <v>0</v>
      </c>
      <c r="H1683" s="7">
        <v>11335.038752050899</v>
      </c>
      <c r="I1683" s="7">
        <v>0</v>
      </c>
    </row>
    <row r="1684" spans="1:9" x14ac:dyDescent="0.2">
      <c r="A1684" s="7">
        <v>21684</v>
      </c>
      <c r="B1684" s="7">
        <v>5.6181086356440297E-3</v>
      </c>
      <c r="C1684" s="7">
        <v>8.4798680815203503E-2</v>
      </c>
      <c r="D1684" s="7">
        <v>30000</v>
      </c>
      <c r="E1684" s="7" t="s">
        <v>6</v>
      </c>
      <c r="F1684" s="7">
        <v>20.2</v>
      </c>
      <c r="G1684" s="7">
        <v>1</v>
      </c>
      <c r="H1684" s="7">
        <v>17291.330000000002</v>
      </c>
      <c r="I1684" s="7">
        <v>4521.13</v>
      </c>
    </row>
    <row r="1685" spans="1:9" x14ac:dyDescent="0.2">
      <c r="A1685" s="7">
        <v>129543</v>
      </c>
      <c r="B1685" s="7">
        <v>3.6185859703261901E-2</v>
      </c>
      <c r="C1685" s="7">
        <v>8.1509172207196695E-2</v>
      </c>
      <c r="D1685" s="7">
        <v>10000</v>
      </c>
      <c r="E1685" s="7" t="s">
        <v>5</v>
      </c>
      <c r="F1685" s="7">
        <v>14.65</v>
      </c>
      <c r="G1685" s="7">
        <v>0</v>
      </c>
      <c r="H1685" s="7">
        <v>11205.0071543962</v>
      </c>
      <c r="I1685" s="7">
        <v>0</v>
      </c>
    </row>
    <row r="1686" spans="1:9" x14ac:dyDescent="0.2">
      <c r="A1686" s="7">
        <v>115282</v>
      </c>
      <c r="B1686" s="7">
        <v>2.93338652295883E-2</v>
      </c>
      <c r="C1686" s="7">
        <v>8.1509172207196695E-2</v>
      </c>
      <c r="D1686" s="7">
        <v>12000</v>
      </c>
      <c r="E1686" s="7" t="s">
        <v>8</v>
      </c>
      <c r="F1686" s="7">
        <v>12.12</v>
      </c>
      <c r="G1686" s="7">
        <v>0</v>
      </c>
      <c r="H1686" s="7">
        <v>14134.982045954201</v>
      </c>
      <c r="I1686" s="7">
        <v>0</v>
      </c>
    </row>
    <row r="1687" spans="1:9" x14ac:dyDescent="0.2">
      <c r="A1687" s="7">
        <v>44561</v>
      </c>
      <c r="B1687" s="7">
        <v>2.80855975805217E-2</v>
      </c>
      <c r="C1687" s="7">
        <v>7.4974238972806501E-2</v>
      </c>
      <c r="D1687" s="7">
        <v>5825</v>
      </c>
      <c r="E1687" s="7" t="s">
        <v>5</v>
      </c>
      <c r="F1687" s="7">
        <v>15.22</v>
      </c>
      <c r="G1687" s="7">
        <v>1</v>
      </c>
      <c r="H1687" s="7">
        <v>3016.99</v>
      </c>
      <c r="I1687" s="7">
        <v>586.27</v>
      </c>
    </row>
    <row r="1688" spans="1:9" x14ac:dyDescent="0.2">
      <c r="A1688" s="7">
        <v>86223</v>
      </c>
      <c r="B1688" s="7">
        <v>3.2177430676177302E-2</v>
      </c>
      <c r="C1688" s="7">
        <v>8.1509172207196695E-2</v>
      </c>
      <c r="D1688" s="7">
        <v>10000</v>
      </c>
      <c r="E1688" s="7" t="s">
        <v>6</v>
      </c>
      <c r="F1688" s="7">
        <v>18.75</v>
      </c>
      <c r="G1688" s="7">
        <v>0</v>
      </c>
      <c r="H1688" s="7">
        <v>12598.1856260399</v>
      </c>
      <c r="I1688" s="7">
        <v>0</v>
      </c>
    </row>
    <row r="1689" spans="1:9" x14ac:dyDescent="0.2">
      <c r="A1689" s="7">
        <v>124647</v>
      </c>
      <c r="B1689" s="7">
        <v>1.77257149393052E-2</v>
      </c>
      <c r="C1689" s="7">
        <v>8.1509172207196695E-2</v>
      </c>
      <c r="D1689" s="7">
        <v>5600</v>
      </c>
      <c r="E1689" s="7" t="s">
        <v>4</v>
      </c>
      <c r="F1689" s="7">
        <v>6.62</v>
      </c>
      <c r="G1689" s="7">
        <v>0</v>
      </c>
      <c r="H1689" s="7">
        <v>5992.5937589401001</v>
      </c>
      <c r="I1689" s="7">
        <v>0</v>
      </c>
    </row>
    <row r="1690" spans="1:9" x14ac:dyDescent="0.2">
      <c r="A1690" s="7">
        <v>51663</v>
      </c>
      <c r="B1690" s="7">
        <v>2.6679191912804101E-2</v>
      </c>
      <c r="C1690" s="7">
        <v>7.7054178620260594E-2</v>
      </c>
      <c r="D1690" s="7">
        <v>8500</v>
      </c>
      <c r="E1690" s="7" t="s">
        <v>5</v>
      </c>
      <c r="F1690" s="7">
        <v>16.29</v>
      </c>
      <c r="G1690" s="7">
        <v>0</v>
      </c>
      <c r="H1690" s="7">
        <v>9625.6200000000008</v>
      </c>
      <c r="I1690" s="7">
        <v>0</v>
      </c>
    </row>
    <row r="1691" spans="1:9" x14ac:dyDescent="0.2">
      <c r="A1691" s="7">
        <v>26758</v>
      </c>
      <c r="B1691" s="7">
        <v>2.2612628909464201E-2</v>
      </c>
      <c r="C1691" s="7">
        <v>5.3944556304700297E-2</v>
      </c>
      <c r="D1691" s="7">
        <v>20000</v>
      </c>
      <c r="E1691" s="7" t="s">
        <v>4</v>
      </c>
      <c r="F1691" s="7">
        <v>7.62</v>
      </c>
      <c r="G1691" s="7">
        <v>0</v>
      </c>
      <c r="H1691" s="7">
        <v>22078.124757227299</v>
      </c>
      <c r="I1691" s="7">
        <v>0</v>
      </c>
    </row>
    <row r="1692" spans="1:9" x14ac:dyDescent="0.2">
      <c r="A1692" s="7">
        <v>85778</v>
      </c>
      <c r="B1692" s="7">
        <v>3.82984576001167E-2</v>
      </c>
      <c r="C1692" s="7">
        <v>8.1509172207196695E-2</v>
      </c>
      <c r="D1692" s="7">
        <v>13200</v>
      </c>
      <c r="E1692" s="7" t="s">
        <v>5</v>
      </c>
      <c r="F1692" s="7">
        <v>16.29</v>
      </c>
      <c r="G1692" s="7">
        <v>1</v>
      </c>
      <c r="H1692" s="7">
        <v>3040.74</v>
      </c>
      <c r="I1692" s="7">
        <v>710.89</v>
      </c>
    </row>
    <row r="1693" spans="1:9" x14ac:dyDescent="0.2">
      <c r="A1693" s="7">
        <v>131865</v>
      </c>
      <c r="B1693" s="7">
        <v>2.1559838170552601E-2</v>
      </c>
      <c r="C1693" s="7">
        <v>8.1509172207196695E-2</v>
      </c>
      <c r="D1693" s="7">
        <v>10000</v>
      </c>
      <c r="E1693" s="7" t="s">
        <v>4</v>
      </c>
      <c r="F1693" s="7">
        <v>6.62</v>
      </c>
      <c r="G1693" s="7">
        <v>0</v>
      </c>
      <c r="H1693" s="7">
        <v>11048.489999999099</v>
      </c>
      <c r="I1693" s="7">
        <v>0</v>
      </c>
    </row>
    <row r="1694" spans="1:9" x14ac:dyDescent="0.2">
      <c r="A1694" s="7">
        <v>72386</v>
      </c>
      <c r="B1694" s="7">
        <v>2.8171944511069101E-2</v>
      </c>
      <c r="C1694" s="7">
        <v>7.4974238972806501E-2</v>
      </c>
      <c r="D1694" s="7">
        <v>19200</v>
      </c>
      <c r="E1694" s="7" t="s">
        <v>8</v>
      </c>
      <c r="F1694" s="7">
        <v>10.16</v>
      </c>
      <c r="G1694" s="7">
        <v>0</v>
      </c>
      <c r="H1694" s="7">
        <v>22010.429989880799</v>
      </c>
      <c r="I1694" s="7">
        <v>0</v>
      </c>
    </row>
    <row r="1695" spans="1:9" x14ac:dyDescent="0.2">
      <c r="A1695" s="7">
        <v>4740</v>
      </c>
      <c r="B1695" s="7">
        <v>3.3030487463233102E-2</v>
      </c>
      <c r="C1695" s="7">
        <v>8.1509172207196695E-2</v>
      </c>
      <c r="D1695" s="7">
        <v>8000</v>
      </c>
      <c r="E1695" s="7" t="s">
        <v>8</v>
      </c>
      <c r="F1695" s="7">
        <v>12.85</v>
      </c>
      <c r="G1695" s="7">
        <v>1</v>
      </c>
      <c r="H1695" s="7">
        <v>2151.84</v>
      </c>
      <c r="I1695" s="7">
        <v>0</v>
      </c>
    </row>
    <row r="1696" spans="1:9" x14ac:dyDescent="0.2">
      <c r="A1696" s="7">
        <v>64899</v>
      </c>
      <c r="B1696" s="7">
        <v>3.3457955265440903E-2</v>
      </c>
      <c r="C1696" s="7">
        <v>8.1509172207196695E-2</v>
      </c>
      <c r="D1696" s="7">
        <v>12000</v>
      </c>
      <c r="E1696" s="7" t="s">
        <v>8</v>
      </c>
      <c r="F1696" s="7">
        <v>13.11</v>
      </c>
      <c r="G1696" s="7">
        <v>1</v>
      </c>
      <c r="H1696" s="7">
        <v>3640.23</v>
      </c>
      <c r="I1696" s="7">
        <v>0</v>
      </c>
    </row>
    <row r="1697" spans="1:9" x14ac:dyDescent="0.2">
      <c r="A1697" s="7">
        <v>42028</v>
      </c>
      <c r="B1697" s="7">
        <v>5.85962785969113E-3</v>
      </c>
      <c r="C1697" s="7">
        <v>8.4798680815203503E-2</v>
      </c>
      <c r="D1697" s="7">
        <v>25000</v>
      </c>
      <c r="E1697" s="7" t="s">
        <v>6</v>
      </c>
      <c r="F1697" s="7">
        <v>17.559999999999999</v>
      </c>
      <c r="G1697" s="7">
        <v>0</v>
      </c>
      <c r="H1697" s="7">
        <v>34389.54</v>
      </c>
      <c r="I1697" s="7">
        <v>0</v>
      </c>
    </row>
    <row r="1698" spans="1:9" x14ac:dyDescent="0.2">
      <c r="A1698" s="7">
        <v>21243</v>
      </c>
      <c r="B1698" s="7">
        <v>3.24757341388393E-2</v>
      </c>
      <c r="C1698" s="7">
        <v>8.1509172207196695E-2</v>
      </c>
      <c r="D1698" s="7">
        <v>5000</v>
      </c>
      <c r="E1698" s="7" t="s">
        <v>5</v>
      </c>
      <c r="F1698" s="7">
        <v>14.3</v>
      </c>
      <c r="G1698" s="7">
        <v>1</v>
      </c>
      <c r="H1698" s="7">
        <v>5074.8599999999997</v>
      </c>
      <c r="I1698" s="7">
        <v>957.3</v>
      </c>
    </row>
    <row r="1699" spans="1:9" x14ac:dyDescent="0.2">
      <c r="A1699" s="7">
        <v>8572</v>
      </c>
      <c r="B1699" s="7">
        <v>3.46382792871908E-2</v>
      </c>
      <c r="C1699" s="7">
        <v>7.7054178620260594E-2</v>
      </c>
      <c r="D1699" s="7">
        <v>4000</v>
      </c>
      <c r="E1699" s="7" t="s">
        <v>5</v>
      </c>
      <c r="F1699" s="7">
        <v>16.2</v>
      </c>
      <c r="G1699" s="7">
        <v>1</v>
      </c>
      <c r="H1699" s="7">
        <v>3786.57</v>
      </c>
      <c r="I1699" s="7">
        <v>966.03</v>
      </c>
    </row>
    <row r="1700" spans="1:9" x14ac:dyDescent="0.2">
      <c r="A1700" s="7">
        <v>26237</v>
      </c>
      <c r="B1700" s="7">
        <v>2.3511676407532899E-2</v>
      </c>
      <c r="C1700" s="7">
        <v>8.1509172207196695E-2</v>
      </c>
      <c r="D1700" s="7">
        <v>11500</v>
      </c>
      <c r="E1700" s="7" t="s">
        <v>8</v>
      </c>
      <c r="F1700" s="7">
        <v>10.99</v>
      </c>
      <c r="G1700" s="7">
        <v>0</v>
      </c>
      <c r="H1700" s="7">
        <v>12936.789992529601</v>
      </c>
      <c r="I1700" s="7">
        <v>0</v>
      </c>
    </row>
    <row r="1701" spans="1:9" x14ac:dyDescent="0.2">
      <c r="A1701" s="7">
        <v>98108</v>
      </c>
      <c r="B1701" s="7">
        <v>3.8844000998599998E-2</v>
      </c>
      <c r="C1701" s="7">
        <v>5.3944556304700297E-2</v>
      </c>
      <c r="D1701" s="7">
        <v>20000</v>
      </c>
      <c r="E1701" s="7" t="s">
        <v>4</v>
      </c>
      <c r="F1701" s="7">
        <v>7.9</v>
      </c>
      <c r="G1701" s="7">
        <v>0</v>
      </c>
      <c r="H1701" s="7">
        <v>22217.2564977328</v>
      </c>
      <c r="I1701" s="7">
        <v>0</v>
      </c>
    </row>
    <row r="1702" spans="1:9" x14ac:dyDescent="0.2">
      <c r="A1702" s="7">
        <v>66858</v>
      </c>
      <c r="B1702" s="7">
        <v>3.0295653552657901E-2</v>
      </c>
      <c r="C1702" s="7">
        <v>7.4974238972806501E-2</v>
      </c>
      <c r="D1702" s="7">
        <v>8325</v>
      </c>
      <c r="E1702" s="7" t="s">
        <v>5</v>
      </c>
      <c r="F1702" s="7">
        <v>15.31</v>
      </c>
      <c r="G1702" s="7">
        <v>1</v>
      </c>
      <c r="H1702" s="7">
        <v>4318.09</v>
      </c>
      <c r="I1702" s="7">
        <v>840.47</v>
      </c>
    </row>
    <row r="1703" spans="1:9" x14ac:dyDescent="0.2">
      <c r="A1703" s="7">
        <v>118485</v>
      </c>
      <c r="B1703" s="7">
        <v>3.69693146908587E-2</v>
      </c>
      <c r="C1703" s="7">
        <v>7.4974238972806501E-2</v>
      </c>
      <c r="D1703" s="7">
        <v>12000</v>
      </c>
      <c r="E1703" s="7" t="s">
        <v>8</v>
      </c>
      <c r="F1703" s="7">
        <v>13.11</v>
      </c>
      <c r="G1703" s="7">
        <v>0</v>
      </c>
      <c r="H1703" s="7">
        <v>14578.6356736819</v>
      </c>
      <c r="I1703" s="7">
        <v>0</v>
      </c>
    </row>
    <row r="1704" spans="1:9" x14ac:dyDescent="0.2">
      <c r="A1704" s="7">
        <v>136264</v>
      </c>
      <c r="B1704" s="7">
        <v>3.3660376678037902E-2</v>
      </c>
      <c r="C1704" s="7">
        <v>8.1509172207196695E-2</v>
      </c>
      <c r="D1704" s="7">
        <v>10000</v>
      </c>
      <c r="E1704" s="7" t="s">
        <v>5</v>
      </c>
      <c r="F1704" s="7">
        <v>15.81</v>
      </c>
      <c r="G1704" s="7">
        <v>0</v>
      </c>
      <c r="H1704" s="7">
        <v>12041.6967383468</v>
      </c>
      <c r="I1704" s="7">
        <v>0</v>
      </c>
    </row>
    <row r="1705" spans="1:9" x14ac:dyDescent="0.2">
      <c r="A1705" s="7">
        <v>130009</v>
      </c>
      <c r="B1705" s="7">
        <v>-5.7401501205882203E-3</v>
      </c>
      <c r="C1705" s="7">
        <v>8.1509172207196695E-2</v>
      </c>
      <c r="D1705" s="7">
        <v>16000</v>
      </c>
      <c r="E1705" s="7" t="s">
        <v>5</v>
      </c>
      <c r="F1705" s="7">
        <v>13.99</v>
      </c>
      <c r="G1705" s="7">
        <v>1</v>
      </c>
      <c r="H1705" s="7">
        <v>4461.84</v>
      </c>
      <c r="I1705" s="7">
        <v>0</v>
      </c>
    </row>
    <row r="1706" spans="1:9" x14ac:dyDescent="0.2">
      <c r="A1706" s="7">
        <v>96157</v>
      </c>
      <c r="B1706" s="7">
        <v>1.8851061645613999E-2</v>
      </c>
      <c r="C1706" s="7">
        <v>8.1509172207196695E-2</v>
      </c>
      <c r="D1706" s="7">
        <v>3000</v>
      </c>
      <c r="E1706" s="7" t="s">
        <v>10</v>
      </c>
      <c r="F1706" s="7">
        <v>23.63</v>
      </c>
      <c r="G1706" s="7">
        <v>0</v>
      </c>
      <c r="H1706" s="7">
        <v>4216.1409331015002</v>
      </c>
      <c r="I1706" s="7">
        <v>0</v>
      </c>
    </row>
    <row r="1707" spans="1:9" x14ac:dyDescent="0.2">
      <c r="A1707" s="7">
        <v>96614</v>
      </c>
      <c r="B1707" s="7">
        <v>2.7349263376001999E-2</v>
      </c>
      <c r="C1707" s="7">
        <v>8.1509172207196695E-2</v>
      </c>
      <c r="D1707" s="7">
        <v>5500</v>
      </c>
      <c r="E1707" s="7" t="s">
        <v>6</v>
      </c>
      <c r="F1707" s="7">
        <v>18.489999999999998</v>
      </c>
      <c r="G1707" s="7">
        <v>0</v>
      </c>
      <c r="H1707" s="7">
        <v>7018.7029342435999</v>
      </c>
      <c r="I1707" s="7">
        <v>0</v>
      </c>
    </row>
    <row r="1708" spans="1:9" x14ac:dyDescent="0.2">
      <c r="A1708" s="7">
        <v>26714</v>
      </c>
      <c r="B1708" s="7">
        <v>2.9157101841068098E-2</v>
      </c>
      <c r="C1708" s="7">
        <v>8.1509172207196695E-2</v>
      </c>
      <c r="D1708" s="7">
        <v>5500</v>
      </c>
      <c r="E1708" s="7" t="s">
        <v>8</v>
      </c>
      <c r="F1708" s="7">
        <v>9.99</v>
      </c>
      <c r="G1708" s="7">
        <v>0</v>
      </c>
      <c r="H1708" s="7">
        <v>6292.7599988893999</v>
      </c>
      <c r="I1708" s="7">
        <v>0</v>
      </c>
    </row>
    <row r="1709" spans="1:9" x14ac:dyDescent="0.2">
      <c r="A1709" s="7">
        <v>93061</v>
      </c>
      <c r="B1709" s="7">
        <v>2.6784491629652799E-2</v>
      </c>
      <c r="C1709" s="7">
        <v>8.1509172207196695E-2</v>
      </c>
      <c r="D1709" s="7">
        <v>9000</v>
      </c>
      <c r="E1709" s="7" t="s">
        <v>8</v>
      </c>
      <c r="F1709" s="7">
        <v>12.12</v>
      </c>
      <c r="G1709" s="7">
        <v>0</v>
      </c>
      <c r="H1709" s="7">
        <v>10779.979040337899</v>
      </c>
      <c r="I1709" s="7">
        <v>0</v>
      </c>
    </row>
    <row r="1710" spans="1:9" x14ac:dyDescent="0.2">
      <c r="A1710" s="7">
        <v>124279</v>
      </c>
      <c r="B1710" s="7">
        <v>1.78094556974202E-2</v>
      </c>
      <c r="C1710" s="7">
        <v>8.1509172207196695E-2</v>
      </c>
      <c r="D1710" s="7">
        <v>5000</v>
      </c>
      <c r="E1710" s="7" t="s">
        <v>4</v>
      </c>
      <c r="F1710" s="7">
        <v>7.9</v>
      </c>
      <c r="G1710" s="7">
        <v>0</v>
      </c>
      <c r="H1710" s="7">
        <v>5554.2998156751</v>
      </c>
      <c r="I1710" s="7">
        <v>0</v>
      </c>
    </row>
    <row r="1711" spans="1:9" x14ac:dyDescent="0.2">
      <c r="A1711" s="7">
        <v>31237</v>
      </c>
      <c r="B1711" s="7">
        <v>1.3719679571433099E-3</v>
      </c>
      <c r="C1711" s="7">
        <v>7.7054178620260594E-2</v>
      </c>
      <c r="D1711" s="7">
        <v>17000</v>
      </c>
      <c r="E1711" s="7" t="s">
        <v>7</v>
      </c>
      <c r="F1711" s="7">
        <v>22.7</v>
      </c>
      <c r="G1711" s="7">
        <v>0</v>
      </c>
      <c r="H1711" s="7">
        <v>24301.759980281298</v>
      </c>
      <c r="I1711" s="7">
        <v>0</v>
      </c>
    </row>
    <row r="1712" spans="1:9" x14ac:dyDescent="0.2">
      <c r="A1712" s="7">
        <v>79070</v>
      </c>
      <c r="B1712" s="7">
        <v>2.6241026642852501E-2</v>
      </c>
      <c r="C1712" s="7">
        <v>5.3944556304700297E-2</v>
      </c>
      <c r="D1712" s="7">
        <v>20000</v>
      </c>
      <c r="E1712" s="7" t="s">
        <v>4</v>
      </c>
      <c r="F1712" s="7">
        <v>6.03</v>
      </c>
      <c r="G1712" s="7">
        <v>0</v>
      </c>
      <c r="H1712" s="7">
        <v>21916.3710259541</v>
      </c>
      <c r="I1712" s="7">
        <v>0</v>
      </c>
    </row>
    <row r="1713" spans="1:9" x14ac:dyDescent="0.2">
      <c r="A1713" s="7">
        <v>140092</v>
      </c>
      <c r="B1713" s="7">
        <v>3.2918632255435301E-2</v>
      </c>
      <c r="C1713" s="7">
        <v>7.4974238972806501E-2</v>
      </c>
      <c r="D1713" s="7">
        <v>6000</v>
      </c>
      <c r="E1713" s="7" t="s">
        <v>5</v>
      </c>
      <c r="F1713" s="7">
        <v>15.31</v>
      </c>
      <c r="G1713" s="7">
        <v>0</v>
      </c>
      <c r="H1713" s="7">
        <v>7299.0936332021001</v>
      </c>
      <c r="I1713" s="7">
        <v>0</v>
      </c>
    </row>
    <row r="1714" spans="1:9" x14ac:dyDescent="0.2">
      <c r="A1714" s="7">
        <v>33156</v>
      </c>
      <c r="B1714" s="7">
        <v>3.0660320991606201E-2</v>
      </c>
      <c r="C1714" s="7">
        <v>8.1509172207196695E-2</v>
      </c>
      <c r="D1714" s="7">
        <v>6000</v>
      </c>
      <c r="E1714" s="7" t="s">
        <v>8</v>
      </c>
      <c r="F1714" s="7">
        <v>11.55</v>
      </c>
      <c r="G1714" s="7">
        <v>1</v>
      </c>
      <c r="H1714" s="7">
        <v>2616.56</v>
      </c>
      <c r="I1714" s="7">
        <v>640.28</v>
      </c>
    </row>
    <row r="1715" spans="1:9" x14ac:dyDescent="0.2">
      <c r="A1715" s="7">
        <v>16380</v>
      </c>
      <c r="B1715" s="7">
        <v>2.57285505475684E-2</v>
      </c>
      <c r="C1715" s="7">
        <v>7.4974238972806501E-2</v>
      </c>
      <c r="D1715" s="7">
        <v>4200</v>
      </c>
      <c r="E1715" s="7" t="s">
        <v>7</v>
      </c>
      <c r="F1715" s="7">
        <v>23.4</v>
      </c>
      <c r="G1715" s="7">
        <v>1</v>
      </c>
      <c r="H1715" s="7">
        <v>1816.48</v>
      </c>
      <c r="I1715" s="7">
        <v>509.22</v>
      </c>
    </row>
    <row r="1716" spans="1:9" x14ac:dyDescent="0.2">
      <c r="A1716" s="7">
        <v>65953</v>
      </c>
      <c r="B1716" s="7">
        <v>2.7795475119517202E-2</v>
      </c>
      <c r="C1716" s="7">
        <v>7.4974238972806501E-2</v>
      </c>
      <c r="D1716" s="7">
        <v>15000</v>
      </c>
      <c r="E1716" s="7" t="s">
        <v>5</v>
      </c>
      <c r="F1716" s="7">
        <v>16.29</v>
      </c>
      <c r="G1716" s="7">
        <v>0</v>
      </c>
      <c r="H1716" s="7">
        <v>18284.75</v>
      </c>
      <c r="I1716" s="7">
        <v>0</v>
      </c>
    </row>
    <row r="1717" spans="1:9" x14ac:dyDescent="0.2">
      <c r="A1717" s="7">
        <v>117158</v>
      </c>
      <c r="B1717" s="7">
        <v>2.4002274027980702E-2</v>
      </c>
      <c r="C1717" s="7">
        <v>8.1509172207196695E-2</v>
      </c>
      <c r="D1717" s="7">
        <v>6000</v>
      </c>
      <c r="E1717" s="7" t="s">
        <v>8</v>
      </c>
      <c r="F1717" s="7">
        <v>12.12</v>
      </c>
      <c r="G1717" s="7">
        <v>0</v>
      </c>
      <c r="H1717" s="7">
        <v>6829.5500044620003</v>
      </c>
      <c r="I1717" s="7">
        <v>0</v>
      </c>
    </row>
    <row r="1718" spans="1:9" x14ac:dyDescent="0.2">
      <c r="A1718" s="7">
        <v>142435</v>
      </c>
      <c r="B1718" s="7">
        <v>2.17201673141205E-3</v>
      </c>
      <c r="C1718" s="7">
        <v>7.4974238972806501E-2</v>
      </c>
      <c r="D1718" s="7">
        <v>10000</v>
      </c>
      <c r="E1718" s="7" t="s">
        <v>5</v>
      </c>
      <c r="F1718" s="7">
        <v>14.65</v>
      </c>
      <c r="G1718" s="7">
        <v>0</v>
      </c>
      <c r="H1718" s="7">
        <v>11264.2046577644</v>
      </c>
      <c r="I1718" s="7">
        <v>0</v>
      </c>
    </row>
    <row r="1719" spans="1:9" x14ac:dyDescent="0.2">
      <c r="A1719" s="7">
        <v>42420</v>
      </c>
      <c r="B1719" s="7">
        <v>4.1175461256321703E-2</v>
      </c>
      <c r="C1719" s="7">
        <v>5.3944556304700297E-2</v>
      </c>
      <c r="D1719" s="7">
        <v>18000</v>
      </c>
      <c r="E1719" s="7" t="s">
        <v>8</v>
      </c>
      <c r="F1719" s="7">
        <v>11.55</v>
      </c>
      <c r="G1719" s="7">
        <v>0</v>
      </c>
      <c r="H1719" s="7">
        <v>20931.740000000002</v>
      </c>
      <c r="I1719" s="7">
        <v>0</v>
      </c>
    </row>
    <row r="1720" spans="1:9" x14ac:dyDescent="0.2">
      <c r="A1720" s="7">
        <v>36875</v>
      </c>
      <c r="B1720" s="7">
        <v>2.2322551147137899E-2</v>
      </c>
      <c r="C1720" s="7">
        <v>8.1509172207196695E-2</v>
      </c>
      <c r="D1720" s="7">
        <v>16000</v>
      </c>
      <c r="E1720" s="7" t="s">
        <v>7</v>
      </c>
      <c r="F1720" s="7">
        <v>22.2</v>
      </c>
      <c r="G1720" s="7">
        <v>0</v>
      </c>
      <c r="H1720" s="7">
        <v>16795.62</v>
      </c>
      <c r="I1720" s="7">
        <v>0</v>
      </c>
    </row>
    <row r="1721" spans="1:9" x14ac:dyDescent="0.2">
      <c r="A1721" s="7">
        <v>137845</v>
      </c>
      <c r="B1721" s="7">
        <v>3.3780062573294099E-2</v>
      </c>
      <c r="C1721" s="7">
        <v>8.4798680815203503E-2</v>
      </c>
      <c r="D1721" s="7">
        <v>25000</v>
      </c>
      <c r="E1721" s="7" t="s">
        <v>8</v>
      </c>
      <c r="F1721" s="7">
        <v>13.11</v>
      </c>
      <c r="G1721" s="7">
        <v>0</v>
      </c>
      <c r="H1721" s="7">
        <v>28583.361066529</v>
      </c>
      <c r="I1721" s="7">
        <v>0</v>
      </c>
    </row>
    <row r="1722" spans="1:9" x14ac:dyDescent="0.2">
      <c r="A1722" s="7">
        <v>90345</v>
      </c>
      <c r="B1722" s="7">
        <v>2.3251031660446599E-2</v>
      </c>
      <c r="C1722" s="7">
        <v>7.7054178620260594E-2</v>
      </c>
      <c r="D1722" s="7">
        <v>8875</v>
      </c>
      <c r="E1722" s="7" t="s">
        <v>5</v>
      </c>
      <c r="F1722" s="7">
        <v>17.27</v>
      </c>
      <c r="G1722" s="7">
        <v>1</v>
      </c>
      <c r="H1722" s="7">
        <v>5853.32</v>
      </c>
      <c r="I1722" s="7">
        <v>778.68</v>
      </c>
    </row>
    <row r="1723" spans="1:9" x14ac:dyDescent="0.2">
      <c r="A1723" s="7">
        <v>52395</v>
      </c>
      <c r="B1723" s="7">
        <v>3.1763539010120197E-2</v>
      </c>
      <c r="C1723" s="7">
        <v>7.4974238972806501E-2</v>
      </c>
      <c r="D1723" s="7">
        <v>9450</v>
      </c>
      <c r="E1723" s="7" t="s">
        <v>8</v>
      </c>
      <c r="F1723" s="7">
        <v>12.12</v>
      </c>
      <c r="G1723" s="7">
        <v>0</v>
      </c>
      <c r="H1723" s="7">
        <v>11318.9958790662</v>
      </c>
      <c r="I1723" s="7">
        <v>0</v>
      </c>
    </row>
    <row r="1724" spans="1:9" x14ac:dyDescent="0.2">
      <c r="A1724" s="7">
        <v>128526</v>
      </c>
      <c r="B1724" s="7">
        <v>3.3211481401429502E-2</v>
      </c>
      <c r="C1724" s="7">
        <v>8.1509172207196695E-2</v>
      </c>
      <c r="D1724" s="7">
        <v>14000</v>
      </c>
      <c r="E1724" s="7" t="s">
        <v>5</v>
      </c>
      <c r="F1724" s="7">
        <v>13.99</v>
      </c>
      <c r="G1724" s="7">
        <v>0</v>
      </c>
      <c r="H1724" s="7">
        <v>16872.817832124099</v>
      </c>
      <c r="I1724" s="7">
        <v>0</v>
      </c>
    </row>
    <row r="1725" spans="1:9" x14ac:dyDescent="0.2">
      <c r="A1725" s="7">
        <v>13474</v>
      </c>
      <c r="B1725" s="7">
        <v>3.42936888108386E-2</v>
      </c>
      <c r="C1725" s="7">
        <v>5.3944556304700297E-2</v>
      </c>
      <c r="D1725" s="7">
        <v>18250</v>
      </c>
      <c r="E1725" s="7" t="s">
        <v>4</v>
      </c>
      <c r="F1725" s="7">
        <v>8.9</v>
      </c>
      <c r="G1725" s="7">
        <v>0</v>
      </c>
      <c r="H1725" s="7">
        <v>20650.199994479499</v>
      </c>
      <c r="I1725" s="7">
        <v>0</v>
      </c>
    </row>
    <row r="1726" spans="1:9" x14ac:dyDescent="0.2">
      <c r="A1726" s="7">
        <v>106239</v>
      </c>
      <c r="B1726" s="7">
        <v>2.6750989871859299E-2</v>
      </c>
      <c r="C1726" s="7">
        <v>8.1509172207196695E-2</v>
      </c>
      <c r="D1726" s="7">
        <v>3600</v>
      </c>
      <c r="E1726" s="7" t="s">
        <v>8</v>
      </c>
      <c r="F1726" s="7">
        <v>14.09</v>
      </c>
      <c r="G1726" s="7">
        <v>0</v>
      </c>
      <c r="H1726" s="7">
        <v>3946.0011201327002</v>
      </c>
      <c r="I1726" s="7">
        <v>0</v>
      </c>
    </row>
    <row r="1727" spans="1:9" x14ac:dyDescent="0.2">
      <c r="A1727" s="7">
        <v>22562</v>
      </c>
      <c r="B1727" s="7">
        <v>3.1137153335445599E-2</v>
      </c>
      <c r="C1727" s="7">
        <v>8.1509172207196695E-2</v>
      </c>
      <c r="D1727" s="7">
        <v>16800</v>
      </c>
      <c r="E1727" s="7" t="s">
        <v>8</v>
      </c>
      <c r="F1727" s="7">
        <v>10.99</v>
      </c>
      <c r="G1727" s="7">
        <v>0</v>
      </c>
      <c r="H1727" s="7">
        <v>19526.839985007002</v>
      </c>
      <c r="I1727" s="7">
        <v>0</v>
      </c>
    </row>
    <row r="1728" spans="1:9" x14ac:dyDescent="0.2">
      <c r="A1728" s="7">
        <v>16075</v>
      </c>
      <c r="B1728" s="7">
        <v>3.0512045800465199E-2</v>
      </c>
      <c r="C1728" s="7">
        <v>8.1509172207196695E-2</v>
      </c>
      <c r="D1728" s="7">
        <v>15000</v>
      </c>
      <c r="E1728" s="7" t="s">
        <v>8</v>
      </c>
      <c r="F1728" s="7">
        <v>11.99</v>
      </c>
      <c r="G1728" s="7">
        <v>0</v>
      </c>
      <c r="H1728" s="7">
        <v>15974.8190377676</v>
      </c>
      <c r="I1728" s="7">
        <v>0</v>
      </c>
    </row>
    <row r="1729" spans="1:9" x14ac:dyDescent="0.2">
      <c r="A1729" s="7">
        <v>83979</v>
      </c>
      <c r="B1729" s="7">
        <v>2.99436104025021E-2</v>
      </c>
      <c r="C1729" s="7">
        <v>8.4798680815203503E-2</v>
      </c>
      <c r="D1729" s="7">
        <v>20000</v>
      </c>
      <c r="E1729" s="7" t="s">
        <v>5</v>
      </c>
      <c r="F1729" s="7">
        <v>17.27</v>
      </c>
      <c r="G1729" s="7">
        <v>1</v>
      </c>
      <c r="H1729" s="7">
        <v>12558.55</v>
      </c>
      <c r="I1729" s="7">
        <v>1829.86</v>
      </c>
    </row>
    <row r="1730" spans="1:9" x14ac:dyDescent="0.2">
      <c r="A1730" s="7">
        <v>38582</v>
      </c>
      <c r="B1730" s="7">
        <v>2.9274247750207701E-2</v>
      </c>
      <c r="C1730" s="7">
        <v>7.4974238972806501E-2</v>
      </c>
      <c r="D1730" s="7">
        <v>15000</v>
      </c>
      <c r="E1730" s="7" t="s">
        <v>8</v>
      </c>
      <c r="F1730" s="7">
        <v>10.64</v>
      </c>
      <c r="G1730" s="7">
        <v>0</v>
      </c>
      <c r="H1730" s="7">
        <v>16738.873917758701</v>
      </c>
      <c r="I1730" s="7">
        <v>0</v>
      </c>
    </row>
    <row r="1731" spans="1:9" x14ac:dyDescent="0.2">
      <c r="A1731" s="7">
        <v>117860</v>
      </c>
      <c r="B1731" s="7">
        <v>2.8983458925775599E-2</v>
      </c>
      <c r="C1731" s="7">
        <v>8.1509172207196695E-2</v>
      </c>
      <c r="D1731" s="7">
        <v>14000</v>
      </c>
      <c r="E1731" s="7" t="s">
        <v>5</v>
      </c>
      <c r="F1731" s="7">
        <v>14.33</v>
      </c>
      <c r="G1731" s="7">
        <v>0</v>
      </c>
      <c r="H1731" s="7">
        <v>15750.5816098175</v>
      </c>
      <c r="I1731" s="7">
        <v>0</v>
      </c>
    </row>
    <row r="1732" spans="1:9" x14ac:dyDescent="0.2">
      <c r="A1732" s="7">
        <v>134183</v>
      </c>
      <c r="B1732" s="7">
        <v>3.02681406876034E-2</v>
      </c>
      <c r="C1732" s="7">
        <v>8.1509172207196695E-2</v>
      </c>
      <c r="D1732" s="7">
        <v>10000</v>
      </c>
      <c r="E1732" s="7" t="s">
        <v>6</v>
      </c>
      <c r="F1732" s="7">
        <v>17.989999999999998</v>
      </c>
      <c r="G1732" s="7">
        <v>0</v>
      </c>
      <c r="H1732" s="7">
        <v>13012.9900000003</v>
      </c>
      <c r="I1732" s="7">
        <v>0</v>
      </c>
    </row>
    <row r="1733" spans="1:9" x14ac:dyDescent="0.2">
      <c r="A1733" s="7">
        <v>16165</v>
      </c>
      <c r="B1733" s="7">
        <v>4.5721079099014803E-3</v>
      </c>
      <c r="C1733" s="7">
        <v>8.4798680815203503E-2</v>
      </c>
      <c r="D1733" s="7">
        <v>22000</v>
      </c>
      <c r="E1733" s="7" t="s">
        <v>5</v>
      </c>
      <c r="F1733" s="7">
        <v>16.2</v>
      </c>
      <c r="G1733" s="7">
        <v>0</v>
      </c>
      <c r="H1733" s="7">
        <v>26623.589964399202</v>
      </c>
      <c r="I1733" s="7">
        <v>0</v>
      </c>
    </row>
    <row r="1734" spans="1:9" x14ac:dyDescent="0.2">
      <c r="A1734" s="7">
        <v>127776</v>
      </c>
      <c r="B1734" s="7">
        <v>1.67715764353654E-2</v>
      </c>
      <c r="C1734" s="7">
        <v>8.1509172207196695E-2</v>
      </c>
      <c r="D1734" s="7">
        <v>4375</v>
      </c>
      <c r="E1734" s="7" t="s">
        <v>4</v>
      </c>
      <c r="F1734" s="7">
        <v>8.9</v>
      </c>
      <c r="G1734" s="7">
        <v>0</v>
      </c>
      <c r="H1734" s="7">
        <v>5001.0899990583002</v>
      </c>
      <c r="I1734" s="7">
        <v>0</v>
      </c>
    </row>
    <row r="1735" spans="1:9" x14ac:dyDescent="0.2">
      <c r="A1735" s="7">
        <v>80375</v>
      </c>
      <c r="B1735" s="7">
        <v>2.7274374471250099E-2</v>
      </c>
      <c r="C1735" s="7">
        <v>8.1509172207196695E-2</v>
      </c>
      <c r="D1735" s="7">
        <v>17000</v>
      </c>
      <c r="E1735" s="7" t="s">
        <v>8</v>
      </c>
      <c r="F1735" s="7">
        <v>12.12</v>
      </c>
      <c r="G1735" s="7">
        <v>0</v>
      </c>
      <c r="H1735" s="7">
        <v>20362.238284527801</v>
      </c>
      <c r="I1735" s="7">
        <v>0</v>
      </c>
    </row>
    <row r="1736" spans="1:9" x14ac:dyDescent="0.2">
      <c r="A1736" s="7">
        <v>59365</v>
      </c>
      <c r="B1736" s="7">
        <v>2.33006329716079E-2</v>
      </c>
      <c r="C1736" s="7">
        <v>5.3944556304700297E-2</v>
      </c>
      <c r="D1736" s="7">
        <v>16000</v>
      </c>
      <c r="E1736" s="7" t="s">
        <v>4</v>
      </c>
      <c r="F1736" s="7">
        <v>6.62</v>
      </c>
      <c r="G1736" s="7">
        <v>0</v>
      </c>
      <c r="H1736" s="7">
        <v>17558.506691971099</v>
      </c>
      <c r="I1736" s="7">
        <v>0</v>
      </c>
    </row>
    <row r="1737" spans="1:9" x14ac:dyDescent="0.2">
      <c r="A1737" s="7">
        <v>128807</v>
      </c>
      <c r="B1737" s="7">
        <v>-1.5848088783326499E-3</v>
      </c>
      <c r="C1737" s="7">
        <v>8.4798680815203503E-2</v>
      </c>
      <c r="D1737" s="7">
        <v>28000</v>
      </c>
      <c r="E1737" s="7" t="s">
        <v>7</v>
      </c>
      <c r="F1737" s="7">
        <v>19.989999999999998</v>
      </c>
      <c r="G1737" s="7">
        <v>0</v>
      </c>
      <c r="H1737" s="7">
        <v>41796.349907570802</v>
      </c>
      <c r="I1737" s="7">
        <v>0</v>
      </c>
    </row>
    <row r="1738" spans="1:9" x14ac:dyDescent="0.2">
      <c r="A1738" s="7">
        <v>142154</v>
      </c>
      <c r="B1738" s="7">
        <v>3.0873992452213402E-2</v>
      </c>
      <c r="C1738" s="7">
        <v>8.4798680815203503E-2</v>
      </c>
      <c r="D1738" s="7">
        <v>20050</v>
      </c>
      <c r="E1738" s="7" t="s">
        <v>5</v>
      </c>
      <c r="F1738" s="7">
        <v>15.27</v>
      </c>
      <c r="G1738" s="7">
        <v>0</v>
      </c>
      <c r="H1738" s="7">
        <v>25116.9200076005</v>
      </c>
      <c r="I1738" s="7">
        <v>0</v>
      </c>
    </row>
    <row r="1739" spans="1:9" x14ac:dyDescent="0.2">
      <c r="A1739" s="7">
        <v>75032</v>
      </c>
      <c r="B1739" s="7">
        <v>4.7150401964284596E-3</v>
      </c>
      <c r="C1739" s="7">
        <v>8.4798680815203503E-2</v>
      </c>
      <c r="D1739" s="7">
        <v>19000</v>
      </c>
      <c r="E1739" s="7" t="s">
        <v>5</v>
      </c>
      <c r="F1739" s="7">
        <v>17.27</v>
      </c>
      <c r="G1739" s="7">
        <v>0</v>
      </c>
      <c r="H1739" s="7">
        <v>23457.750004903501</v>
      </c>
      <c r="I1739" s="7">
        <v>0</v>
      </c>
    </row>
    <row r="1740" spans="1:9" x14ac:dyDescent="0.2">
      <c r="A1740" s="7">
        <v>16434</v>
      </c>
      <c r="B1740" s="7">
        <v>3.3967616496539899E-2</v>
      </c>
      <c r="C1740" s="7">
        <v>7.7054178620260594E-2</v>
      </c>
      <c r="D1740" s="7">
        <v>10925</v>
      </c>
      <c r="E1740" s="7" t="s">
        <v>5</v>
      </c>
      <c r="F1740" s="7">
        <v>14.3</v>
      </c>
      <c r="G1740" s="7">
        <v>0</v>
      </c>
      <c r="H1740" s="7">
        <v>11882.8589024098</v>
      </c>
      <c r="I1740" s="7">
        <v>0</v>
      </c>
    </row>
    <row r="1741" spans="1:9" x14ac:dyDescent="0.2">
      <c r="A1741" s="7">
        <v>32684</v>
      </c>
      <c r="B1741" s="7">
        <v>2.9122250891528902E-2</v>
      </c>
      <c r="C1741" s="7">
        <v>8.1509172207196695E-2</v>
      </c>
      <c r="D1741" s="7">
        <v>17625</v>
      </c>
      <c r="E1741" s="7" t="s">
        <v>7</v>
      </c>
      <c r="F1741" s="7">
        <v>21.6</v>
      </c>
      <c r="G1741" s="7">
        <v>1</v>
      </c>
      <c r="H1741" s="7">
        <v>9840.91</v>
      </c>
      <c r="I1741" s="7">
        <v>1137.8</v>
      </c>
    </row>
    <row r="1742" spans="1:9" x14ac:dyDescent="0.2">
      <c r="A1742" s="7">
        <v>14801</v>
      </c>
      <c r="B1742" s="7">
        <v>2.35294204912537E-2</v>
      </c>
      <c r="C1742" s="7">
        <v>8.1509172207196695E-2</v>
      </c>
      <c r="D1742" s="7">
        <v>4750</v>
      </c>
      <c r="E1742" s="7" t="s">
        <v>5</v>
      </c>
      <c r="F1742" s="7">
        <v>15.1</v>
      </c>
      <c r="G1742" s="7">
        <v>0</v>
      </c>
      <c r="H1742" s="7">
        <v>5526.4500001556999</v>
      </c>
      <c r="I1742" s="7">
        <v>0</v>
      </c>
    </row>
    <row r="1743" spans="1:9" x14ac:dyDescent="0.2">
      <c r="A1743" s="7">
        <v>130712</v>
      </c>
      <c r="B1743" s="7">
        <v>3.00618655421299E-2</v>
      </c>
      <c r="C1743" s="7">
        <v>7.4974238972806501E-2</v>
      </c>
      <c r="D1743" s="7">
        <v>10000</v>
      </c>
      <c r="E1743" s="7" t="s">
        <v>8</v>
      </c>
      <c r="F1743" s="7">
        <v>9.76</v>
      </c>
      <c r="G1743" s="7">
        <v>0</v>
      </c>
      <c r="H1743" s="7">
        <v>11575.650000001</v>
      </c>
      <c r="I1743" s="7">
        <v>0</v>
      </c>
    </row>
    <row r="1744" spans="1:9" x14ac:dyDescent="0.2">
      <c r="A1744" s="7">
        <v>115603</v>
      </c>
      <c r="B1744" s="7">
        <v>3.093401572961E-2</v>
      </c>
      <c r="C1744" s="7">
        <v>7.4974238972806501E-2</v>
      </c>
      <c r="D1744" s="7">
        <v>14300</v>
      </c>
      <c r="E1744" s="7" t="s">
        <v>8</v>
      </c>
      <c r="F1744" s="7">
        <v>13.11</v>
      </c>
      <c r="G1744" s="7">
        <v>0</v>
      </c>
      <c r="H1744" s="7">
        <v>17372.8699751155</v>
      </c>
      <c r="I1744" s="7">
        <v>0</v>
      </c>
    </row>
    <row r="1745" spans="1:9" x14ac:dyDescent="0.2">
      <c r="A1745" s="7">
        <v>130704</v>
      </c>
      <c r="B1745" s="7">
        <v>3.3436754853396798E-3</v>
      </c>
      <c r="C1745" s="7">
        <v>8.1509172207196695E-2</v>
      </c>
      <c r="D1745" s="7">
        <v>15000</v>
      </c>
      <c r="E1745" s="7" t="s">
        <v>6</v>
      </c>
      <c r="F1745" s="7">
        <v>19.22</v>
      </c>
      <c r="G1745" s="7">
        <v>0</v>
      </c>
      <c r="H1745" s="7">
        <v>18331.946899131101</v>
      </c>
      <c r="I1745" s="7">
        <v>0</v>
      </c>
    </row>
    <row r="1746" spans="1:9" x14ac:dyDescent="0.2">
      <c r="A1746" s="7">
        <v>110518</v>
      </c>
      <c r="B1746" s="7">
        <v>1.28891516082847E-2</v>
      </c>
      <c r="C1746" s="7">
        <v>8.1509172207196695E-2</v>
      </c>
      <c r="D1746" s="7">
        <v>11500</v>
      </c>
      <c r="E1746" s="7" t="s">
        <v>4</v>
      </c>
      <c r="F1746" s="7">
        <v>8.9</v>
      </c>
      <c r="G1746" s="7">
        <v>1</v>
      </c>
      <c r="H1746" s="7">
        <v>9129.25</v>
      </c>
      <c r="I1746" s="7">
        <v>11.2</v>
      </c>
    </row>
    <row r="1747" spans="1:9" x14ac:dyDescent="0.2">
      <c r="A1747" s="7">
        <v>21277</v>
      </c>
      <c r="B1747" s="7">
        <v>3.2499075587142601E-2</v>
      </c>
      <c r="C1747" s="7">
        <v>5.3944556304700297E-2</v>
      </c>
      <c r="D1747" s="7">
        <v>24000</v>
      </c>
      <c r="E1747" s="7" t="s">
        <v>8</v>
      </c>
      <c r="F1747" s="7">
        <v>11.99</v>
      </c>
      <c r="G1747" s="7">
        <v>0</v>
      </c>
      <c r="H1747" s="7">
        <v>27380.8300226717</v>
      </c>
      <c r="I1747" s="7">
        <v>0</v>
      </c>
    </row>
    <row r="1748" spans="1:9" x14ac:dyDescent="0.2">
      <c r="A1748" s="7">
        <v>68802</v>
      </c>
      <c r="B1748" s="7">
        <v>3.65029262321276E-2</v>
      </c>
      <c r="C1748" s="7">
        <v>7.7054178620260594E-2</v>
      </c>
      <c r="D1748" s="7">
        <v>14000</v>
      </c>
      <c r="E1748" s="7" t="s">
        <v>8</v>
      </c>
      <c r="F1748" s="7">
        <v>13.11</v>
      </c>
      <c r="G1748" s="7">
        <v>0</v>
      </c>
      <c r="H1748" s="7">
        <v>17008.4473864393</v>
      </c>
      <c r="I1748" s="7">
        <v>0</v>
      </c>
    </row>
    <row r="1749" spans="1:9" x14ac:dyDescent="0.2">
      <c r="A1749" s="7">
        <v>47419</v>
      </c>
      <c r="B1749" s="7">
        <v>2.8390788222701E-2</v>
      </c>
      <c r="C1749" s="7">
        <v>5.3944556304700297E-2</v>
      </c>
      <c r="D1749" s="7">
        <v>16000</v>
      </c>
      <c r="E1749" s="7" t="s">
        <v>4</v>
      </c>
      <c r="F1749" s="7">
        <v>8.9</v>
      </c>
      <c r="G1749" s="7">
        <v>0</v>
      </c>
      <c r="H1749" s="7">
        <v>18289.8061740948</v>
      </c>
      <c r="I1749" s="7">
        <v>0</v>
      </c>
    </row>
    <row r="1750" spans="1:9" x14ac:dyDescent="0.2">
      <c r="A1750" s="7">
        <v>120855</v>
      </c>
      <c r="B1750" s="7">
        <v>2.37973216678374E-2</v>
      </c>
      <c r="C1750" s="7">
        <v>7.4974238972806501E-2</v>
      </c>
      <c r="D1750" s="7">
        <v>14400</v>
      </c>
      <c r="E1750" s="7" t="s">
        <v>4</v>
      </c>
      <c r="F1750" s="7">
        <v>8.9</v>
      </c>
      <c r="G1750" s="7">
        <v>1</v>
      </c>
      <c r="H1750" s="7">
        <v>13802.25</v>
      </c>
      <c r="I1750" s="7">
        <v>4203.42</v>
      </c>
    </row>
    <row r="1751" spans="1:9" x14ac:dyDescent="0.2">
      <c r="A1751" s="7">
        <v>41417</v>
      </c>
      <c r="B1751" s="7">
        <v>2.7214406909651899E-2</v>
      </c>
      <c r="C1751" s="7">
        <v>5.3944556304700297E-2</v>
      </c>
      <c r="D1751" s="7">
        <v>19000</v>
      </c>
      <c r="E1751" s="7" t="s">
        <v>4</v>
      </c>
      <c r="F1751" s="7">
        <v>6.03</v>
      </c>
      <c r="G1751" s="7">
        <v>0</v>
      </c>
      <c r="H1751" s="7">
        <v>20730.93</v>
      </c>
      <c r="I1751" s="7">
        <v>0</v>
      </c>
    </row>
    <row r="1752" spans="1:9" x14ac:dyDescent="0.2">
      <c r="A1752" s="7">
        <v>35857</v>
      </c>
      <c r="B1752" s="7">
        <v>-1.9574343643749E-4</v>
      </c>
      <c r="C1752" s="7">
        <v>7.4974238972806501E-2</v>
      </c>
      <c r="D1752" s="7">
        <v>5600</v>
      </c>
      <c r="E1752" s="7" t="s">
        <v>10</v>
      </c>
      <c r="F1752" s="7">
        <v>24.5</v>
      </c>
      <c r="G1752" s="7">
        <v>1</v>
      </c>
      <c r="H1752" s="7">
        <v>4575.22</v>
      </c>
      <c r="I1752" s="7">
        <v>669.7</v>
      </c>
    </row>
    <row r="1753" spans="1:9" x14ac:dyDescent="0.2">
      <c r="A1753" s="7">
        <v>14367</v>
      </c>
      <c r="B1753" s="7">
        <v>3.2907506361928497E-2</v>
      </c>
      <c r="C1753" s="7">
        <v>7.7054178620260594E-2</v>
      </c>
      <c r="D1753" s="7">
        <v>11700</v>
      </c>
      <c r="E1753" s="7" t="s">
        <v>7</v>
      </c>
      <c r="F1753" s="7">
        <v>22.4</v>
      </c>
      <c r="G1753" s="7">
        <v>0</v>
      </c>
      <c r="H1753" s="7">
        <v>14017.9172824789</v>
      </c>
      <c r="I1753" s="7">
        <v>0</v>
      </c>
    </row>
    <row r="1754" spans="1:9" x14ac:dyDescent="0.2">
      <c r="A1754" s="7">
        <v>38529</v>
      </c>
      <c r="B1754" s="7">
        <v>1.07520515316528E-2</v>
      </c>
      <c r="C1754" s="7">
        <v>8.4798680815203503E-2</v>
      </c>
      <c r="D1754" s="7">
        <v>28000</v>
      </c>
      <c r="E1754" s="7" t="s">
        <v>6</v>
      </c>
      <c r="F1754" s="7">
        <v>20.309999999999999</v>
      </c>
      <c r="G1754" s="7">
        <v>0</v>
      </c>
      <c r="H1754" s="7">
        <v>36244.979978566298</v>
      </c>
      <c r="I1754" s="7">
        <v>0</v>
      </c>
    </row>
    <row r="1755" spans="1:9" x14ac:dyDescent="0.2">
      <c r="A1755" s="7">
        <v>4525</v>
      </c>
      <c r="B1755" s="7">
        <v>3.0014978501709699E-2</v>
      </c>
      <c r="C1755" s="7">
        <v>5.3944556304700297E-2</v>
      </c>
      <c r="D1755" s="7">
        <v>20000</v>
      </c>
      <c r="E1755" s="7" t="s">
        <v>4</v>
      </c>
      <c r="F1755" s="7">
        <v>7.9</v>
      </c>
      <c r="G1755" s="7">
        <v>0</v>
      </c>
      <c r="H1755" s="7">
        <v>22317.5</v>
      </c>
      <c r="I1755" s="7">
        <v>0</v>
      </c>
    </row>
    <row r="1756" spans="1:9" x14ac:dyDescent="0.2">
      <c r="A1756" s="7">
        <v>55132</v>
      </c>
      <c r="B1756" s="7">
        <v>1.7807198666417101E-3</v>
      </c>
      <c r="C1756" s="7">
        <v>8.4798680815203503E-2</v>
      </c>
      <c r="D1756" s="7">
        <v>20000</v>
      </c>
      <c r="E1756" s="7" t="s">
        <v>5</v>
      </c>
      <c r="F1756" s="7">
        <v>15.8</v>
      </c>
      <c r="G1756" s="7">
        <v>1</v>
      </c>
      <c r="H1756" s="7">
        <v>13708.98</v>
      </c>
      <c r="I1756" s="7">
        <v>2547.25</v>
      </c>
    </row>
    <row r="1757" spans="1:9" x14ac:dyDescent="0.2">
      <c r="A1757" s="7">
        <v>58155</v>
      </c>
      <c r="B1757" s="7">
        <v>1.69757100094961E-2</v>
      </c>
      <c r="C1757" s="7">
        <v>8.1509172207196695E-2</v>
      </c>
      <c r="D1757" s="7">
        <v>10800</v>
      </c>
      <c r="E1757" s="7" t="s">
        <v>4</v>
      </c>
      <c r="F1757" s="7">
        <v>7.62</v>
      </c>
      <c r="G1757" s="7">
        <v>0</v>
      </c>
      <c r="H1757" s="7">
        <v>12112.6799982963</v>
      </c>
      <c r="I1757" s="7">
        <v>0</v>
      </c>
    </row>
    <row r="1758" spans="1:9" x14ac:dyDescent="0.2">
      <c r="A1758" s="7">
        <v>55867</v>
      </c>
      <c r="B1758" s="7">
        <v>2.7195159007751001E-2</v>
      </c>
      <c r="C1758" s="7">
        <v>7.7054178620260594E-2</v>
      </c>
      <c r="D1758" s="7">
        <v>8000</v>
      </c>
      <c r="E1758" s="7" t="s">
        <v>8</v>
      </c>
      <c r="F1758" s="7">
        <v>10.16</v>
      </c>
      <c r="G1758" s="7">
        <v>0</v>
      </c>
      <c r="H1758" s="7">
        <v>9274.7199999999993</v>
      </c>
      <c r="I1758" s="7">
        <v>0</v>
      </c>
    </row>
    <row r="1759" spans="1:9" x14ac:dyDescent="0.2">
      <c r="A1759" s="7">
        <v>81569</v>
      </c>
      <c r="B1759" s="7">
        <v>5.8350079783186598E-2</v>
      </c>
      <c r="C1759" s="7">
        <v>5.3944556304700297E-2</v>
      </c>
      <c r="D1759" s="7">
        <v>6000</v>
      </c>
      <c r="E1759" s="7" t="s">
        <v>7</v>
      </c>
      <c r="F1759" s="7">
        <v>21</v>
      </c>
      <c r="G1759" s="7">
        <v>0</v>
      </c>
      <c r="H1759" s="7">
        <v>8137.6843642722997</v>
      </c>
      <c r="I1759" s="7">
        <v>0</v>
      </c>
    </row>
    <row r="1760" spans="1:9" x14ac:dyDescent="0.2">
      <c r="A1760" s="7">
        <v>134682</v>
      </c>
      <c r="B1760" s="7">
        <v>3.2807370220934003E-2</v>
      </c>
      <c r="C1760" s="7">
        <v>7.4974238972806501E-2</v>
      </c>
      <c r="D1760" s="7">
        <v>3200</v>
      </c>
      <c r="E1760" s="7" t="s">
        <v>8</v>
      </c>
      <c r="F1760" s="7">
        <v>13.11</v>
      </c>
      <c r="G1760" s="7">
        <v>0</v>
      </c>
      <c r="H1760" s="7">
        <v>3887.5736420646099</v>
      </c>
      <c r="I1760" s="7">
        <v>0</v>
      </c>
    </row>
    <row r="1761" spans="1:9" x14ac:dyDescent="0.2">
      <c r="A1761" s="7">
        <v>879</v>
      </c>
      <c r="B1761" s="7">
        <v>3.16966434751405E-2</v>
      </c>
      <c r="C1761" s="7">
        <v>7.7054178620260594E-2</v>
      </c>
      <c r="D1761" s="7">
        <v>18000</v>
      </c>
      <c r="E1761" s="7" t="s">
        <v>8</v>
      </c>
      <c r="F1761" s="7">
        <v>13.53</v>
      </c>
      <c r="G1761" s="7">
        <v>0</v>
      </c>
      <c r="H1761" s="7">
        <v>21483.630005224499</v>
      </c>
      <c r="I1761" s="7">
        <v>0</v>
      </c>
    </row>
    <row r="1762" spans="1:9" x14ac:dyDescent="0.2">
      <c r="A1762" s="7">
        <v>15004</v>
      </c>
      <c r="B1762" s="7">
        <v>3.6074540664767701E-2</v>
      </c>
      <c r="C1762" s="7">
        <v>7.4974238972806501E-2</v>
      </c>
      <c r="D1762" s="7">
        <v>7550</v>
      </c>
      <c r="E1762" s="7" t="s">
        <v>8</v>
      </c>
      <c r="F1762" s="7">
        <v>12.99</v>
      </c>
      <c r="G1762" s="7">
        <v>0</v>
      </c>
      <c r="H1762" s="7">
        <v>9029.7600028108009</v>
      </c>
      <c r="I1762" s="7">
        <v>0</v>
      </c>
    </row>
    <row r="1763" spans="1:9" x14ac:dyDescent="0.2">
      <c r="A1763" s="7">
        <v>96113</v>
      </c>
      <c r="B1763" s="7">
        <v>3.59074564199433E-2</v>
      </c>
      <c r="C1763" s="7">
        <v>7.4974238972806501E-2</v>
      </c>
      <c r="D1763" s="7">
        <v>12000</v>
      </c>
      <c r="E1763" s="7" t="s">
        <v>8</v>
      </c>
      <c r="F1763" s="7">
        <v>12.12</v>
      </c>
      <c r="G1763" s="7">
        <v>0</v>
      </c>
      <c r="H1763" s="7">
        <v>12988.2334945151</v>
      </c>
      <c r="I1763" s="7">
        <v>0</v>
      </c>
    </row>
    <row r="1764" spans="1:9" x14ac:dyDescent="0.2">
      <c r="A1764" s="7">
        <v>52899</v>
      </c>
      <c r="B1764" s="7">
        <v>2.7026352884091599E-2</v>
      </c>
      <c r="C1764" s="7">
        <v>7.4974238972806501E-2</v>
      </c>
      <c r="D1764" s="7">
        <v>8000</v>
      </c>
      <c r="E1764" s="7" t="s">
        <v>4</v>
      </c>
      <c r="F1764" s="7">
        <v>6.62</v>
      </c>
      <c r="G1764" s="7">
        <v>0</v>
      </c>
      <c r="H1764" s="7">
        <v>8834.73</v>
      </c>
      <c r="I1764" s="7">
        <v>0</v>
      </c>
    </row>
    <row r="1765" spans="1:9" x14ac:dyDescent="0.2">
      <c r="A1765" s="7">
        <v>84887</v>
      </c>
      <c r="B1765" s="7">
        <v>3.2227266356210899E-2</v>
      </c>
      <c r="C1765" s="7">
        <v>7.4974238972806501E-2</v>
      </c>
      <c r="D1765" s="7">
        <v>5250</v>
      </c>
      <c r="E1765" s="7" t="s">
        <v>8</v>
      </c>
      <c r="F1765" s="7">
        <v>13.11</v>
      </c>
      <c r="G1765" s="7">
        <v>0</v>
      </c>
      <c r="H1765" s="7">
        <v>5764.0668958513997</v>
      </c>
      <c r="I1765" s="7">
        <v>0</v>
      </c>
    </row>
    <row r="1766" spans="1:9" x14ac:dyDescent="0.2">
      <c r="A1766" s="7">
        <v>46424</v>
      </c>
      <c r="B1766" s="7">
        <v>1.8820451327423798E-2</v>
      </c>
      <c r="C1766" s="7">
        <v>7.4974238972806501E-2</v>
      </c>
      <c r="D1766" s="7">
        <v>9600</v>
      </c>
      <c r="E1766" s="7" t="s">
        <v>4</v>
      </c>
      <c r="F1766" s="7">
        <v>7.9</v>
      </c>
      <c r="G1766" s="7">
        <v>0</v>
      </c>
      <c r="H1766" s="7">
        <v>10669.5900020385</v>
      </c>
      <c r="I1766" s="7">
        <v>0</v>
      </c>
    </row>
    <row r="1767" spans="1:9" x14ac:dyDescent="0.2">
      <c r="A1767" s="7">
        <v>56599</v>
      </c>
      <c r="B1767" s="7">
        <v>1.64670386991707E-2</v>
      </c>
      <c r="C1767" s="7">
        <v>7.4974238972806501E-2</v>
      </c>
      <c r="D1767" s="7">
        <v>15000</v>
      </c>
      <c r="E1767" s="7" t="s">
        <v>4</v>
      </c>
      <c r="F1767" s="7">
        <v>6.62</v>
      </c>
      <c r="G1767" s="7">
        <v>0</v>
      </c>
      <c r="H1767" s="7">
        <v>15852.878587909599</v>
      </c>
      <c r="I1767" s="7">
        <v>0</v>
      </c>
    </row>
    <row r="1768" spans="1:9" x14ac:dyDescent="0.2">
      <c r="A1768" s="7">
        <v>144192</v>
      </c>
      <c r="B1768" s="7">
        <v>1.9344518180272E-2</v>
      </c>
      <c r="C1768" s="7">
        <v>8.1509172207196695E-2</v>
      </c>
      <c r="D1768" s="7">
        <v>7800</v>
      </c>
      <c r="E1768" s="7" t="s">
        <v>4</v>
      </c>
      <c r="F1768" s="7">
        <v>8.9</v>
      </c>
      <c r="G1768" s="7">
        <v>0</v>
      </c>
      <c r="H1768" s="7">
        <v>8916.2799992209002</v>
      </c>
      <c r="I1768" s="7">
        <v>0</v>
      </c>
    </row>
    <row r="1769" spans="1:9" x14ac:dyDescent="0.2">
      <c r="A1769" s="7">
        <v>68809</v>
      </c>
      <c r="B1769" s="7">
        <v>2.9277604781861099E-2</v>
      </c>
      <c r="C1769" s="7">
        <v>8.1509172207196695E-2</v>
      </c>
      <c r="D1769" s="7">
        <v>12000</v>
      </c>
      <c r="E1769" s="7" t="s">
        <v>4</v>
      </c>
      <c r="F1769" s="7">
        <v>7.9</v>
      </c>
      <c r="G1769" s="7">
        <v>0</v>
      </c>
      <c r="H1769" s="7">
        <v>13517.358605899501</v>
      </c>
      <c r="I1769" s="7">
        <v>0</v>
      </c>
    </row>
    <row r="1770" spans="1:9" x14ac:dyDescent="0.2">
      <c r="A1770" s="7">
        <v>25480</v>
      </c>
      <c r="B1770" s="7">
        <v>-3.2167557594554001E-4</v>
      </c>
      <c r="C1770" s="7">
        <v>7.7054178620260594E-2</v>
      </c>
      <c r="D1770" s="7">
        <v>21850</v>
      </c>
      <c r="E1770" s="7" t="s">
        <v>5</v>
      </c>
      <c r="F1770" s="7">
        <v>17.100000000000001</v>
      </c>
      <c r="G1770" s="7">
        <v>0</v>
      </c>
      <c r="H1770" s="7">
        <v>28899.63</v>
      </c>
      <c r="I1770" s="7">
        <v>0</v>
      </c>
    </row>
    <row r="1771" spans="1:9" x14ac:dyDescent="0.2">
      <c r="A1771" s="7">
        <v>139914</v>
      </c>
      <c r="B1771" s="7">
        <v>3.7000352505739201E-2</v>
      </c>
      <c r="C1771" s="7">
        <v>8.1509172207196695E-2</v>
      </c>
      <c r="D1771" s="7">
        <v>10000</v>
      </c>
      <c r="E1771" s="7" t="s">
        <v>5</v>
      </c>
      <c r="F1771" s="7">
        <v>14.65</v>
      </c>
      <c r="G1771" s="7">
        <v>0</v>
      </c>
      <c r="H1771" s="7">
        <v>12236.544167566301</v>
      </c>
      <c r="I1771" s="7">
        <v>0</v>
      </c>
    </row>
    <row r="1772" spans="1:9" x14ac:dyDescent="0.2">
      <c r="A1772" s="7">
        <v>119064</v>
      </c>
      <c r="B1772" s="7">
        <v>2.7055286829365099E-2</v>
      </c>
      <c r="C1772" s="7">
        <v>8.1509172207196695E-2</v>
      </c>
      <c r="D1772" s="7">
        <v>10000</v>
      </c>
      <c r="E1772" s="7" t="s">
        <v>5</v>
      </c>
      <c r="F1772" s="7">
        <v>15.31</v>
      </c>
      <c r="G1772" s="7">
        <v>1</v>
      </c>
      <c r="H1772" s="7">
        <v>5820.58</v>
      </c>
      <c r="I1772" s="7">
        <v>946.62</v>
      </c>
    </row>
    <row r="1773" spans="1:9" x14ac:dyDescent="0.2">
      <c r="A1773" s="7">
        <v>40508</v>
      </c>
      <c r="B1773" s="7">
        <v>1.54200262606433E-2</v>
      </c>
      <c r="C1773" s="7">
        <v>8.1509172207196695E-2</v>
      </c>
      <c r="D1773" s="7">
        <v>6000</v>
      </c>
      <c r="E1773" s="7" t="s">
        <v>4</v>
      </c>
      <c r="F1773" s="7">
        <v>6.62</v>
      </c>
      <c r="G1773" s="7">
        <v>0</v>
      </c>
      <c r="H1773" s="7">
        <v>6157.3016624978</v>
      </c>
      <c r="I1773" s="7">
        <v>0</v>
      </c>
    </row>
    <row r="1774" spans="1:9" x14ac:dyDescent="0.2">
      <c r="A1774" s="7">
        <v>52454</v>
      </c>
      <c r="B1774" s="7">
        <v>3.4389328179059202E-2</v>
      </c>
      <c r="C1774" s="7">
        <v>7.4974238972806501E-2</v>
      </c>
      <c r="D1774" s="7">
        <v>19400</v>
      </c>
      <c r="E1774" s="7" t="s">
        <v>8</v>
      </c>
      <c r="F1774" s="7">
        <v>12.12</v>
      </c>
      <c r="G1774" s="7">
        <v>0</v>
      </c>
      <c r="H1774" s="7">
        <v>20837.79</v>
      </c>
      <c r="I1774" s="7">
        <v>0</v>
      </c>
    </row>
    <row r="1775" spans="1:9" x14ac:dyDescent="0.2">
      <c r="A1775" s="7">
        <v>58477</v>
      </c>
      <c r="B1775" s="7">
        <v>2.4643325765024399E-2</v>
      </c>
      <c r="C1775" s="7">
        <v>5.3944556304700297E-2</v>
      </c>
      <c r="D1775" s="7">
        <v>18000</v>
      </c>
      <c r="E1775" s="7" t="s">
        <v>4</v>
      </c>
      <c r="F1775" s="7">
        <v>6.03</v>
      </c>
      <c r="G1775" s="7">
        <v>0</v>
      </c>
      <c r="H1775" s="7">
        <v>19722.223564297099</v>
      </c>
      <c r="I1775" s="7">
        <v>0</v>
      </c>
    </row>
    <row r="1776" spans="1:9" x14ac:dyDescent="0.2">
      <c r="A1776" s="7">
        <v>66191</v>
      </c>
      <c r="B1776" s="7">
        <v>2.3344553864250599E-2</v>
      </c>
      <c r="C1776" s="7">
        <v>8.1509172207196695E-2</v>
      </c>
      <c r="D1776" s="7">
        <v>5875</v>
      </c>
      <c r="E1776" s="7" t="s">
        <v>8</v>
      </c>
      <c r="F1776" s="7">
        <v>13.11</v>
      </c>
      <c r="G1776" s="7">
        <v>0</v>
      </c>
      <c r="H1776" s="7">
        <v>6398.6709942645002</v>
      </c>
      <c r="I1776" s="7">
        <v>0</v>
      </c>
    </row>
    <row r="1777" spans="1:9" x14ac:dyDescent="0.2">
      <c r="A1777" s="7">
        <v>63181</v>
      </c>
      <c r="B1777" s="7">
        <v>2.9003677398550899E-2</v>
      </c>
      <c r="C1777" s="7">
        <v>7.4974238972806501E-2</v>
      </c>
      <c r="D1777" s="7">
        <v>4000</v>
      </c>
      <c r="E1777" s="7" t="s">
        <v>8</v>
      </c>
      <c r="F1777" s="7">
        <v>14.09</v>
      </c>
      <c r="G1777" s="7">
        <v>0</v>
      </c>
      <c r="H1777" s="7">
        <v>4927.8368312615003</v>
      </c>
      <c r="I1777" s="7">
        <v>0</v>
      </c>
    </row>
    <row r="1778" spans="1:9" x14ac:dyDescent="0.2">
      <c r="A1778" s="7">
        <v>111702</v>
      </c>
      <c r="B1778" s="7">
        <v>4.01178774855954E-2</v>
      </c>
      <c r="C1778" s="7">
        <v>8.1509172207196695E-2</v>
      </c>
      <c r="D1778" s="7">
        <v>10625</v>
      </c>
      <c r="E1778" s="7" t="s">
        <v>6</v>
      </c>
      <c r="F1778" s="7">
        <v>18.489999999999998</v>
      </c>
      <c r="G1778" s="7">
        <v>0</v>
      </c>
      <c r="H1778" s="7">
        <v>13419.542847438899</v>
      </c>
      <c r="I1778" s="7">
        <v>0</v>
      </c>
    </row>
    <row r="1779" spans="1:9" x14ac:dyDescent="0.2">
      <c r="A1779" s="7">
        <v>104120</v>
      </c>
      <c r="B1779" s="7">
        <v>4.52716149669714E-2</v>
      </c>
      <c r="C1779" s="7">
        <v>5.3944556304700297E-2</v>
      </c>
      <c r="D1779" s="7">
        <v>10000</v>
      </c>
      <c r="E1779" s="7" t="s">
        <v>6</v>
      </c>
      <c r="F1779" s="7">
        <v>18.489999999999998</v>
      </c>
      <c r="G1779" s="7">
        <v>0</v>
      </c>
      <c r="H1779" s="7">
        <v>12485.4167272248</v>
      </c>
      <c r="I1779" s="7">
        <v>0</v>
      </c>
    </row>
    <row r="1780" spans="1:9" x14ac:dyDescent="0.2">
      <c r="A1780" s="7">
        <v>30805</v>
      </c>
      <c r="B1780" s="7">
        <v>4.0799734638633102E-2</v>
      </c>
      <c r="C1780" s="7">
        <v>8.1509172207196695E-2</v>
      </c>
      <c r="D1780" s="7">
        <v>10775</v>
      </c>
      <c r="E1780" s="7" t="s">
        <v>5</v>
      </c>
      <c r="F1780" s="7">
        <v>16.78</v>
      </c>
      <c r="G1780" s="7">
        <v>0</v>
      </c>
      <c r="H1780" s="7">
        <v>13327.669998470599</v>
      </c>
      <c r="I1780" s="7">
        <v>0</v>
      </c>
    </row>
    <row r="1781" spans="1:9" x14ac:dyDescent="0.2">
      <c r="A1781" s="7">
        <v>103106</v>
      </c>
      <c r="B1781" s="7">
        <v>6.2827841535482596E-3</v>
      </c>
      <c r="C1781" s="7">
        <v>8.4798680815203503E-2</v>
      </c>
      <c r="D1781" s="7">
        <v>30000</v>
      </c>
      <c r="E1781" s="7" t="s">
        <v>10</v>
      </c>
      <c r="F1781" s="7">
        <v>23.28</v>
      </c>
      <c r="G1781" s="7">
        <v>1</v>
      </c>
      <c r="H1781" s="7">
        <v>22047.89</v>
      </c>
      <c r="I1781" s="7">
        <v>3376.29</v>
      </c>
    </row>
    <row r="1782" spans="1:9" x14ac:dyDescent="0.2">
      <c r="A1782" s="7">
        <v>34342</v>
      </c>
      <c r="B1782" s="7">
        <v>1.45629645797646E-2</v>
      </c>
      <c r="C1782" s="7">
        <v>8.1509172207196695E-2</v>
      </c>
      <c r="D1782" s="7">
        <v>1500</v>
      </c>
      <c r="E1782" s="7" t="s">
        <v>10</v>
      </c>
      <c r="F1782" s="7">
        <v>24.08</v>
      </c>
      <c r="G1782" s="7">
        <v>0</v>
      </c>
      <c r="H1782" s="7">
        <v>1797.4551681370001</v>
      </c>
      <c r="I1782" s="7">
        <v>0</v>
      </c>
    </row>
    <row r="1783" spans="1:9" x14ac:dyDescent="0.2">
      <c r="A1783" s="7">
        <v>27877</v>
      </c>
      <c r="B1783" s="7">
        <v>3.11136326877074E-2</v>
      </c>
      <c r="C1783" s="7">
        <v>5.3944556304700297E-2</v>
      </c>
      <c r="D1783" s="7">
        <v>30000</v>
      </c>
      <c r="E1783" s="7" t="s">
        <v>4</v>
      </c>
      <c r="F1783" s="7">
        <v>8.9</v>
      </c>
      <c r="G1783" s="7">
        <v>0</v>
      </c>
      <c r="H1783" s="7">
        <v>33871.519999999997</v>
      </c>
      <c r="I1783" s="7">
        <v>0</v>
      </c>
    </row>
    <row r="1784" spans="1:9" x14ac:dyDescent="0.2">
      <c r="A1784" s="7">
        <v>134008</v>
      </c>
      <c r="B1784" s="7">
        <v>2.24918964028809E-2</v>
      </c>
      <c r="C1784" s="7">
        <v>7.4974238972806501E-2</v>
      </c>
      <c r="D1784" s="7">
        <v>6350</v>
      </c>
      <c r="E1784" s="7" t="s">
        <v>4</v>
      </c>
      <c r="F1784" s="7">
        <v>7.9</v>
      </c>
      <c r="G1784" s="7">
        <v>0</v>
      </c>
      <c r="H1784" s="7">
        <v>6432.7226036253996</v>
      </c>
      <c r="I1784" s="7">
        <v>0</v>
      </c>
    </row>
    <row r="1785" spans="1:9" x14ac:dyDescent="0.2">
      <c r="A1785" s="7">
        <v>60262</v>
      </c>
      <c r="B1785" s="7">
        <v>-3.7030894522116302E-4</v>
      </c>
      <c r="C1785" s="7">
        <v>8.4798680815203503E-2</v>
      </c>
      <c r="D1785" s="7">
        <v>22000</v>
      </c>
      <c r="E1785" s="7" t="s">
        <v>5</v>
      </c>
      <c r="F1785" s="7">
        <v>17.27</v>
      </c>
      <c r="G1785" s="7">
        <v>0</v>
      </c>
      <c r="H1785" s="7">
        <v>30787.79</v>
      </c>
      <c r="I1785" s="7">
        <v>0</v>
      </c>
    </row>
    <row r="1786" spans="1:9" x14ac:dyDescent="0.2">
      <c r="A1786" s="7">
        <v>70248</v>
      </c>
      <c r="B1786" s="7">
        <v>3.2753512964055598E-2</v>
      </c>
      <c r="C1786" s="7">
        <v>7.4974238972806501E-2</v>
      </c>
      <c r="D1786" s="7">
        <v>12250</v>
      </c>
      <c r="E1786" s="7" t="s">
        <v>5</v>
      </c>
      <c r="F1786" s="7">
        <v>15.8</v>
      </c>
      <c r="G1786" s="7">
        <v>0</v>
      </c>
      <c r="H1786" s="7">
        <v>12411.3</v>
      </c>
      <c r="I1786" s="7">
        <v>0</v>
      </c>
    </row>
    <row r="1787" spans="1:9" x14ac:dyDescent="0.2">
      <c r="A1787" s="7">
        <v>102714</v>
      </c>
      <c r="B1787" s="7">
        <v>3.2744186112073102E-2</v>
      </c>
      <c r="C1787" s="7">
        <v>7.4974238972806501E-2</v>
      </c>
      <c r="D1787" s="7">
        <v>15850</v>
      </c>
      <c r="E1787" s="7" t="s">
        <v>8</v>
      </c>
      <c r="F1787" s="7">
        <v>13.11</v>
      </c>
      <c r="G1787" s="7">
        <v>1</v>
      </c>
      <c r="H1787" s="7">
        <v>5604.46</v>
      </c>
      <c r="I1787" s="7">
        <v>3466.54</v>
      </c>
    </row>
    <row r="1788" spans="1:9" x14ac:dyDescent="0.2">
      <c r="A1788" s="7">
        <v>22020</v>
      </c>
      <c r="B1788" s="7">
        <v>6.1838027102957403E-2</v>
      </c>
      <c r="C1788" s="7">
        <v>5.3944556304700297E-2</v>
      </c>
      <c r="D1788" s="7">
        <v>30000</v>
      </c>
      <c r="E1788" s="7" t="s">
        <v>8</v>
      </c>
      <c r="F1788" s="7">
        <v>13.67</v>
      </c>
      <c r="G1788" s="7">
        <v>0</v>
      </c>
      <c r="H1788" s="7">
        <v>32226.76</v>
      </c>
      <c r="I1788" s="7">
        <v>0</v>
      </c>
    </row>
    <row r="1789" spans="1:9" x14ac:dyDescent="0.2">
      <c r="A1789" s="7">
        <v>113491</v>
      </c>
      <c r="B1789" s="7">
        <v>3.7583138471006597E-2</v>
      </c>
      <c r="C1789" s="7">
        <v>7.4974238972806501E-2</v>
      </c>
      <c r="D1789" s="7">
        <v>14100</v>
      </c>
      <c r="E1789" s="7" t="s">
        <v>8</v>
      </c>
      <c r="F1789" s="7">
        <v>12.12</v>
      </c>
      <c r="G1789" s="7">
        <v>0</v>
      </c>
      <c r="H1789" s="7">
        <v>15684.6470324526</v>
      </c>
      <c r="I1789" s="7">
        <v>0</v>
      </c>
    </row>
    <row r="1790" spans="1:9" x14ac:dyDescent="0.2">
      <c r="A1790" s="7">
        <v>46202</v>
      </c>
      <c r="B1790" s="7">
        <v>4.25890168595306E-2</v>
      </c>
      <c r="C1790" s="7">
        <v>5.3944556304700297E-2</v>
      </c>
      <c r="D1790" s="7">
        <v>12000</v>
      </c>
      <c r="E1790" s="7" t="s">
        <v>8</v>
      </c>
      <c r="F1790" s="7">
        <v>9.7100000000000009</v>
      </c>
      <c r="G1790" s="7">
        <v>0</v>
      </c>
      <c r="H1790" s="7">
        <v>13338.269998396599</v>
      </c>
      <c r="I1790" s="7">
        <v>0</v>
      </c>
    </row>
    <row r="1791" spans="1:9" x14ac:dyDescent="0.2">
      <c r="A1791" s="7">
        <v>105575</v>
      </c>
      <c r="B1791" s="7">
        <v>3.3306888910930997E-2</v>
      </c>
      <c r="C1791" s="7">
        <v>8.1509172207196695E-2</v>
      </c>
      <c r="D1791" s="7">
        <v>12000</v>
      </c>
      <c r="E1791" s="7" t="s">
        <v>5</v>
      </c>
      <c r="F1791" s="7">
        <v>14.33</v>
      </c>
      <c r="G1791" s="7">
        <v>0</v>
      </c>
      <c r="H1791" s="7">
        <v>14834.0492063898</v>
      </c>
      <c r="I1791" s="7">
        <v>0</v>
      </c>
    </row>
    <row r="1792" spans="1:9" x14ac:dyDescent="0.2">
      <c r="A1792" s="7">
        <v>121478</v>
      </c>
      <c r="B1792" s="7">
        <v>4.75272266381127E-2</v>
      </c>
      <c r="C1792" s="7">
        <v>7.4974238972806501E-2</v>
      </c>
      <c r="D1792" s="7">
        <v>5000</v>
      </c>
      <c r="E1792" s="7" t="s">
        <v>5</v>
      </c>
      <c r="F1792" s="7">
        <v>15.8</v>
      </c>
      <c r="G1792" s="7">
        <v>0</v>
      </c>
      <c r="H1792" s="7">
        <v>6310.4300000003004</v>
      </c>
      <c r="I1792" s="7">
        <v>0</v>
      </c>
    </row>
    <row r="1793" spans="1:9" x14ac:dyDescent="0.2">
      <c r="A1793" s="7">
        <v>110291</v>
      </c>
      <c r="B1793" s="7">
        <v>3.3744570082215701E-2</v>
      </c>
      <c r="C1793" s="7">
        <v>8.1509172207196695E-2</v>
      </c>
      <c r="D1793" s="7">
        <v>14000</v>
      </c>
      <c r="E1793" s="7" t="s">
        <v>8</v>
      </c>
      <c r="F1793" s="7">
        <v>13.11</v>
      </c>
      <c r="G1793" s="7">
        <v>0</v>
      </c>
      <c r="H1793" s="7">
        <v>16388.410002389799</v>
      </c>
      <c r="I1793" s="7">
        <v>0</v>
      </c>
    </row>
    <row r="1794" spans="1:9" x14ac:dyDescent="0.2">
      <c r="A1794" s="7">
        <v>27994</v>
      </c>
      <c r="B1794" s="7">
        <v>3.8108645721811801E-2</v>
      </c>
      <c r="C1794" s="7">
        <v>7.4974238972806501E-2</v>
      </c>
      <c r="D1794" s="7">
        <v>4100</v>
      </c>
      <c r="E1794" s="7" t="s">
        <v>8</v>
      </c>
      <c r="F1794" s="7">
        <v>11.55</v>
      </c>
      <c r="G1794" s="7">
        <v>1</v>
      </c>
      <c r="H1794" s="7">
        <v>3546.65</v>
      </c>
      <c r="I1794" s="7">
        <v>0</v>
      </c>
    </row>
    <row r="1795" spans="1:9" x14ac:dyDescent="0.2">
      <c r="A1795" s="7">
        <v>79367</v>
      </c>
      <c r="B1795" s="7">
        <v>3.2557785531048399E-2</v>
      </c>
      <c r="C1795" s="7">
        <v>7.4974238972806501E-2</v>
      </c>
      <c r="D1795" s="7">
        <v>18000</v>
      </c>
      <c r="E1795" s="7" t="s">
        <v>8</v>
      </c>
      <c r="F1795" s="7">
        <v>12.12</v>
      </c>
      <c r="G1795" s="7">
        <v>1</v>
      </c>
      <c r="H1795" s="7">
        <v>9487.8700000000008</v>
      </c>
      <c r="I1795" s="7">
        <v>1708.13</v>
      </c>
    </row>
    <row r="1796" spans="1:9" x14ac:dyDescent="0.2">
      <c r="A1796" s="7">
        <v>69283</v>
      </c>
      <c r="B1796" s="7">
        <v>2.5947852630478899E-2</v>
      </c>
      <c r="C1796" s="7">
        <v>8.1509172207196695E-2</v>
      </c>
      <c r="D1796" s="7">
        <v>2600</v>
      </c>
      <c r="E1796" s="7" t="s">
        <v>6</v>
      </c>
      <c r="F1796" s="7">
        <v>18.75</v>
      </c>
      <c r="G1796" s="7">
        <v>0</v>
      </c>
      <c r="H1796" s="7">
        <v>3419.1524803100001</v>
      </c>
      <c r="I1796" s="7">
        <v>0</v>
      </c>
    </row>
    <row r="1797" spans="1:9" x14ac:dyDescent="0.2">
      <c r="A1797" s="7">
        <v>21968</v>
      </c>
      <c r="B1797" s="7">
        <v>2.7412516581397199E-2</v>
      </c>
      <c r="C1797" s="7">
        <v>7.7054178620260594E-2</v>
      </c>
      <c r="D1797" s="7">
        <v>12875</v>
      </c>
      <c r="E1797" s="7" t="s">
        <v>8</v>
      </c>
      <c r="F1797" s="7">
        <v>11.99</v>
      </c>
      <c r="G1797" s="7">
        <v>1</v>
      </c>
      <c r="H1797" s="7">
        <v>5287.94</v>
      </c>
      <c r="I1797" s="7">
        <v>1418.35</v>
      </c>
    </row>
    <row r="1798" spans="1:9" x14ac:dyDescent="0.2">
      <c r="A1798" s="7">
        <v>7480</v>
      </c>
      <c r="B1798" s="7">
        <v>2.7918666270415199E-2</v>
      </c>
      <c r="C1798" s="7">
        <v>8.1509172207196695E-2</v>
      </c>
      <c r="D1798" s="7">
        <v>8400</v>
      </c>
      <c r="E1798" s="7" t="s">
        <v>8</v>
      </c>
      <c r="F1798" s="7">
        <v>9.67</v>
      </c>
      <c r="G1798" s="7">
        <v>0</v>
      </c>
      <c r="H1798" s="7">
        <v>9416.34</v>
      </c>
      <c r="I1798" s="7">
        <v>0</v>
      </c>
    </row>
    <row r="1799" spans="1:9" x14ac:dyDescent="0.2">
      <c r="A1799" s="7">
        <v>128437</v>
      </c>
      <c r="B1799" s="7">
        <v>2.44690652278549E-2</v>
      </c>
      <c r="C1799" s="7">
        <v>8.1509172207196695E-2</v>
      </c>
      <c r="D1799" s="7">
        <v>9000</v>
      </c>
      <c r="E1799" s="7" t="s">
        <v>4</v>
      </c>
      <c r="F1799" s="7">
        <v>7.62</v>
      </c>
      <c r="G1799" s="7">
        <v>0</v>
      </c>
      <c r="H1799" s="7">
        <v>10096.2500046143</v>
      </c>
      <c r="I1799" s="7">
        <v>0</v>
      </c>
    </row>
    <row r="1800" spans="1:9" x14ac:dyDescent="0.2">
      <c r="A1800" s="7">
        <v>4022</v>
      </c>
      <c r="B1800" s="7">
        <v>4.3164917496895501E-2</v>
      </c>
      <c r="C1800" s="7">
        <v>7.7054178620260594E-2</v>
      </c>
      <c r="D1800" s="7">
        <v>35000</v>
      </c>
      <c r="E1800" s="7" t="s">
        <v>6</v>
      </c>
      <c r="F1800" s="7">
        <v>19.22</v>
      </c>
      <c r="G1800" s="7">
        <v>0</v>
      </c>
      <c r="H1800" s="7">
        <v>41364.899982177099</v>
      </c>
      <c r="I1800" s="7">
        <v>0</v>
      </c>
    </row>
    <row r="1801" spans="1:9" x14ac:dyDescent="0.2">
      <c r="A1801" s="7">
        <v>105965</v>
      </c>
      <c r="B1801" s="7">
        <v>3.1394092252070398E-2</v>
      </c>
      <c r="C1801" s="7">
        <v>8.4798680815203503E-2</v>
      </c>
      <c r="D1801" s="7">
        <v>21175</v>
      </c>
      <c r="E1801" s="7" t="s">
        <v>6</v>
      </c>
      <c r="F1801" s="7">
        <v>19.72</v>
      </c>
      <c r="G1801" s="7">
        <v>1</v>
      </c>
      <c r="H1801" s="7">
        <v>6167.57</v>
      </c>
      <c r="I1801" s="7">
        <v>1072.5</v>
      </c>
    </row>
    <row r="1802" spans="1:9" x14ac:dyDescent="0.2">
      <c r="A1802" s="7">
        <v>102943</v>
      </c>
      <c r="B1802" s="7">
        <v>2.82247138747528E-2</v>
      </c>
      <c r="C1802" s="7">
        <v>8.1509172207196695E-2</v>
      </c>
      <c r="D1802" s="7">
        <v>8000</v>
      </c>
      <c r="E1802" s="7" t="s">
        <v>8</v>
      </c>
      <c r="F1802" s="7">
        <v>12.12</v>
      </c>
      <c r="G1802" s="7">
        <v>0</v>
      </c>
      <c r="H1802" s="7">
        <v>8783.1555783144995</v>
      </c>
      <c r="I1802" s="7">
        <v>0</v>
      </c>
    </row>
    <row r="1803" spans="1:9" x14ac:dyDescent="0.2">
      <c r="A1803" s="7">
        <v>49752</v>
      </c>
      <c r="B1803" s="7">
        <v>3.49360302048973E-2</v>
      </c>
      <c r="C1803" s="7">
        <v>8.1509172207196695E-2</v>
      </c>
      <c r="D1803" s="7">
        <v>10000</v>
      </c>
      <c r="E1803" s="7" t="s">
        <v>6</v>
      </c>
      <c r="F1803" s="7">
        <v>18.75</v>
      </c>
      <c r="G1803" s="7">
        <v>0</v>
      </c>
      <c r="H1803" s="7">
        <v>13030.8520078375</v>
      </c>
      <c r="I1803" s="7">
        <v>0</v>
      </c>
    </row>
    <row r="1804" spans="1:9" x14ac:dyDescent="0.2">
      <c r="A1804" s="7">
        <v>12808</v>
      </c>
      <c r="B1804" s="7">
        <v>3.2268805423538903E-2</v>
      </c>
      <c r="C1804" s="7">
        <v>8.4798680815203503E-2</v>
      </c>
      <c r="D1804" s="7">
        <v>16750</v>
      </c>
      <c r="E1804" s="7" t="s">
        <v>6</v>
      </c>
      <c r="F1804" s="7">
        <v>19.52</v>
      </c>
      <c r="G1804" s="7">
        <v>0</v>
      </c>
      <c r="H1804" s="7">
        <v>21163.611126789201</v>
      </c>
      <c r="I1804" s="7">
        <v>0</v>
      </c>
    </row>
    <row r="1805" spans="1:9" x14ac:dyDescent="0.2">
      <c r="A1805" s="7">
        <v>133156</v>
      </c>
      <c r="B1805" s="7">
        <v>9.4667833390715394E-3</v>
      </c>
      <c r="C1805" s="7">
        <v>7.4974238972806501E-2</v>
      </c>
      <c r="D1805" s="7">
        <v>6000</v>
      </c>
      <c r="E1805" s="7" t="s">
        <v>4</v>
      </c>
      <c r="F1805" s="7">
        <v>6.62</v>
      </c>
      <c r="G1805" s="7">
        <v>0</v>
      </c>
      <c r="H1805" s="7">
        <v>6631.9600011350003</v>
      </c>
      <c r="I1805" s="7">
        <v>0</v>
      </c>
    </row>
    <row r="1806" spans="1:9" x14ac:dyDescent="0.2">
      <c r="A1806" s="7">
        <v>68831</v>
      </c>
      <c r="B1806" s="7">
        <v>2.361415633757E-2</v>
      </c>
      <c r="C1806" s="7">
        <v>7.4974238972806501E-2</v>
      </c>
      <c r="D1806" s="7">
        <v>8000</v>
      </c>
      <c r="E1806" s="7" t="s">
        <v>4</v>
      </c>
      <c r="F1806" s="7">
        <v>6.03</v>
      </c>
      <c r="G1806" s="7">
        <v>0</v>
      </c>
      <c r="H1806" s="7">
        <v>8517.6940211536003</v>
      </c>
      <c r="I1806" s="7">
        <v>0</v>
      </c>
    </row>
    <row r="1807" spans="1:9" x14ac:dyDescent="0.2">
      <c r="A1807" s="7">
        <v>20229</v>
      </c>
      <c r="B1807" s="7">
        <v>3.2138641939759002E-2</v>
      </c>
      <c r="C1807" s="7">
        <v>8.1509172207196695E-2</v>
      </c>
      <c r="D1807" s="7">
        <v>8000</v>
      </c>
      <c r="E1807" s="7" t="s">
        <v>8</v>
      </c>
      <c r="F1807" s="7">
        <v>9.99</v>
      </c>
      <c r="G1807" s="7">
        <v>0</v>
      </c>
      <c r="H1807" s="7">
        <v>9270.1200000000008</v>
      </c>
      <c r="I1807" s="7">
        <v>0</v>
      </c>
    </row>
    <row r="1808" spans="1:9" x14ac:dyDescent="0.2">
      <c r="A1808" s="7">
        <v>66172</v>
      </c>
      <c r="B1808" s="7">
        <v>2.7617067188458501E-2</v>
      </c>
      <c r="C1808" s="7">
        <v>8.1509172207196695E-2</v>
      </c>
      <c r="D1808" s="7">
        <v>11500</v>
      </c>
      <c r="E1808" s="7" t="s">
        <v>5</v>
      </c>
      <c r="F1808" s="7">
        <v>15.8</v>
      </c>
      <c r="G1808" s="7">
        <v>0</v>
      </c>
      <c r="H1808" s="7">
        <v>14514.0817980716</v>
      </c>
      <c r="I1808" s="7">
        <v>0</v>
      </c>
    </row>
    <row r="1809" spans="1:9" x14ac:dyDescent="0.2">
      <c r="A1809" s="7">
        <v>110529</v>
      </c>
      <c r="B1809" s="7">
        <v>2.35061770334321E-2</v>
      </c>
      <c r="C1809" s="7">
        <v>5.3944556304700297E-2</v>
      </c>
      <c r="D1809" s="7">
        <v>20000</v>
      </c>
      <c r="E1809" s="7" t="s">
        <v>4</v>
      </c>
      <c r="F1809" s="7">
        <v>7.62</v>
      </c>
      <c r="G1809" s="7">
        <v>1</v>
      </c>
      <c r="H1809" s="7">
        <v>4120.93</v>
      </c>
      <c r="I1809" s="7">
        <v>1013.78</v>
      </c>
    </row>
    <row r="1810" spans="1:9" x14ac:dyDescent="0.2">
      <c r="A1810" s="7">
        <v>88013</v>
      </c>
      <c r="B1810" s="7">
        <v>3.8661591096169699E-2</v>
      </c>
      <c r="C1810" s="7">
        <v>8.4798680815203503E-2</v>
      </c>
      <c r="D1810" s="7">
        <v>24000</v>
      </c>
      <c r="E1810" s="7" t="s">
        <v>8</v>
      </c>
      <c r="F1810" s="7">
        <v>12.12</v>
      </c>
      <c r="G1810" s="7">
        <v>0</v>
      </c>
      <c r="H1810" s="7">
        <v>28747.340012356399</v>
      </c>
      <c r="I1810" s="7">
        <v>0</v>
      </c>
    </row>
    <row r="1811" spans="1:9" x14ac:dyDescent="0.2">
      <c r="A1811" s="7">
        <v>80205</v>
      </c>
      <c r="B1811" s="7">
        <v>1.38649298160388E-3</v>
      </c>
      <c r="C1811" s="7">
        <v>8.1509172207196695E-2</v>
      </c>
      <c r="D1811" s="7">
        <v>19400</v>
      </c>
      <c r="E1811" s="7" t="s">
        <v>5</v>
      </c>
      <c r="F1811" s="7">
        <v>14.33</v>
      </c>
      <c r="G1811" s="7">
        <v>0</v>
      </c>
      <c r="H1811" s="7">
        <v>20312.964103419999</v>
      </c>
      <c r="I1811" s="7">
        <v>0</v>
      </c>
    </row>
    <row r="1812" spans="1:9" x14ac:dyDescent="0.2">
      <c r="A1812" s="7">
        <v>42504</v>
      </c>
      <c r="B1812" s="7">
        <v>2.8069595299544399E-2</v>
      </c>
      <c r="C1812" s="7">
        <v>8.1509172207196695E-2</v>
      </c>
      <c r="D1812" s="7">
        <v>15000</v>
      </c>
      <c r="E1812" s="7" t="s">
        <v>8</v>
      </c>
      <c r="F1812" s="7">
        <v>9.7100000000000009</v>
      </c>
      <c r="G1812" s="7">
        <v>0</v>
      </c>
      <c r="H1812" s="7">
        <v>16079.5746404575</v>
      </c>
      <c r="I1812" s="7">
        <v>0</v>
      </c>
    </row>
    <row r="1813" spans="1:9" x14ac:dyDescent="0.2">
      <c r="A1813" s="7">
        <v>139424</v>
      </c>
      <c r="B1813" s="7">
        <v>-4.8592797473262402E-3</v>
      </c>
      <c r="C1813" s="7">
        <v>8.4798680815203503E-2</v>
      </c>
      <c r="D1813" s="7">
        <v>20000</v>
      </c>
      <c r="E1813" s="7" t="s">
        <v>5</v>
      </c>
      <c r="F1813" s="7">
        <v>15.31</v>
      </c>
      <c r="G1813" s="7">
        <v>1</v>
      </c>
      <c r="H1813" s="7">
        <v>13885.7</v>
      </c>
      <c r="I1813" s="7">
        <v>1909.2</v>
      </c>
    </row>
    <row r="1814" spans="1:9" x14ac:dyDescent="0.2">
      <c r="A1814" s="7">
        <v>96945</v>
      </c>
      <c r="B1814" s="7">
        <v>3.6800232447492399E-2</v>
      </c>
      <c r="C1814" s="7">
        <v>8.4798680815203503E-2</v>
      </c>
      <c r="D1814" s="7">
        <v>35000</v>
      </c>
      <c r="E1814" s="7" t="s">
        <v>6</v>
      </c>
      <c r="F1814" s="7">
        <v>18.489999999999998</v>
      </c>
      <c r="G1814" s="7">
        <v>0</v>
      </c>
      <c r="H1814" s="7">
        <v>44041.409948449204</v>
      </c>
      <c r="I1814" s="7">
        <v>0</v>
      </c>
    </row>
    <row r="1815" spans="1:9" x14ac:dyDescent="0.2">
      <c r="A1815" s="7">
        <v>123259</v>
      </c>
      <c r="B1815" s="7">
        <v>3.1256864262301502E-2</v>
      </c>
      <c r="C1815" s="7">
        <v>7.4974238972806501E-2</v>
      </c>
      <c r="D1815" s="7">
        <v>5150</v>
      </c>
      <c r="E1815" s="7" t="s">
        <v>8</v>
      </c>
      <c r="F1815" s="7">
        <v>13.11</v>
      </c>
      <c r="G1815" s="7">
        <v>1</v>
      </c>
      <c r="H1815" s="7">
        <v>2773.44</v>
      </c>
      <c r="I1815" s="7">
        <v>0</v>
      </c>
    </row>
    <row r="1816" spans="1:9" x14ac:dyDescent="0.2">
      <c r="A1816" s="7">
        <v>90298</v>
      </c>
      <c r="B1816" s="7">
        <v>2.1163765496781901E-2</v>
      </c>
      <c r="C1816" s="7">
        <v>8.1509172207196695E-2</v>
      </c>
      <c r="D1816" s="7">
        <v>18875</v>
      </c>
      <c r="E1816" s="7" t="s">
        <v>6</v>
      </c>
      <c r="F1816" s="7">
        <v>18.489999999999998</v>
      </c>
      <c r="G1816" s="7">
        <v>0</v>
      </c>
      <c r="H1816" s="7">
        <v>19730.800451458501</v>
      </c>
      <c r="I1816" s="7">
        <v>0</v>
      </c>
    </row>
    <row r="1817" spans="1:9" x14ac:dyDescent="0.2">
      <c r="A1817" s="7">
        <v>119876</v>
      </c>
      <c r="B1817" s="7">
        <v>2.3630349596552701E-2</v>
      </c>
      <c r="C1817" s="7">
        <v>7.4974238972806501E-2</v>
      </c>
      <c r="D1817" s="7">
        <v>2500</v>
      </c>
      <c r="E1817" s="7" t="s">
        <v>5</v>
      </c>
      <c r="F1817" s="7">
        <v>15.8</v>
      </c>
      <c r="G1817" s="7">
        <v>0</v>
      </c>
      <c r="H1817" s="7">
        <v>3155.22</v>
      </c>
      <c r="I1817" s="7">
        <v>0</v>
      </c>
    </row>
    <row r="1818" spans="1:9" x14ac:dyDescent="0.2">
      <c r="A1818" s="7">
        <v>66353</v>
      </c>
      <c r="B1818" s="7">
        <v>2.4907910895746298E-2</v>
      </c>
      <c r="C1818" s="7">
        <v>7.7054178620260594E-2</v>
      </c>
      <c r="D1818" s="7">
        <v>10000</v>
      </c>
      <c r="E1818" s="7" t="s">
        <v>8</v>
      </c>
      <c r="F1818" s="7">
        <v>11.14</v>
      </c>
      <c r="G1818" s="7">
        <v>0</v>
      </c>
      <c r="H1818" s="7">
        <v>11809.758589025299</v>
      </c>
      <c r="I1818" s="7">
        <v>0</v>
      </c>
    </row>
    <row r="1819" spans="1:9" x14ac:dyDescent="0.2">
      <c r="A1819" s="7">
        <v>110275</v>
      </c>
      <c r="B1819" s="7">
        <v>3.4355567174109002E-2</v>
      </c>
      <c r="C1819" s="7">
        <v>8.1509172207196695E-2</v>
      </c>
      <c r="D1819" s="7">
        <v>12000</v>
      </c>
      <c r="E1819" s="7" t="s">
        <v>8</v>
      </c>
      <c r="F1819" s="7">
        <v>14.09</v>
      </c>
      <c r="G1819" s="7">
        <v>0</v>
      </c>
      <c r="H1819" s="7">
        <v>14171.5963158011</v>
      </c>
      <c r="I1819" s="7">
        <v>0</v>
      </c>
    </row>
    <row r="1820" spans="1:9" x14ac:dyDescent="0.2">
      <c r="A1820" s="7">
        <v>23185</v>
      </c>
      <c r="B1820" s="7">
        <v>2.9500065267031399E-2</v>
      </c>
      <c r="C1820" s="7">
        <v>5.3944556304700297E-2</v>
      </c>
      <c r="D1820" s="7">
        <v>18225</v>
      </c>
      <c r="E1820" s="7" t="s">
        <v>8</v>
      </c>
      <c r="F1820" s="7">
        <v>9.99</v>
      </c>
      <c r="G1820" s="7">
        <v>0</v>
      </c>
      <c r="H1820" s="7">
        <v>20694.810000000001</v>
      </c>
      <c r="I1820" s="7">
        <v>0</v>
      </c>
    </row>
    <row r="1821" spans="1:9" x14ac:dyDescent="0.2">
      <c r="A1821" s="7">
        <v>62002</v>
      </c>
      <c r="B1821" s="7">
        <v>2.02772993740017E-2</v>
      </c>
      <c r="C1821" s="7">
        <v>7.4974238972806501E-2</v>
      </c>
      <c r="D1821" s="7">
        <v>12000</v>
      </c>
      <c r="E1821" s="7" t="s">
        <v>4</v>
      </c>
      <c r="F1821" s="7">
        <v>6.03</v>
      </c>
      <c r="G1821" s="7">
        <v>0</v>
      </c>
      <c r="H1821" s="7">
        <v>12876.068381282001</v>
      </c>
      <c r="I1821" s="7">
        <v>0</v>
      </c>
    </row>
    <row r="1822" spans="1:9" x14ac:dyDescent="0.2">
      <c r="A1822" s="7">
        <v>105361</v>
      </c>
      <c r="B1822" s="7">
        <v>3.2669320686722299E-2</v>
      </c>
      <c r="C1822" s="7">
        <v>8.4798680815203503E-2</v>
      </c>
      <c r="D1822" s="7">
        <v>35000</v>
      </c>
      <c r="E1822" s="7" t="s">
        <v>5</v>
      </c>
      <c r="F1822" s="7">
        <v>17.27</v>
      </c>
      <c r="G1822" s="7">
        <v>0</v>
      </c>
      <c r="H1822" s="7">
        <v>45091.862954398297</v>
      </c>
      <c r="I1822" s="7">
        <v>0</v>
      </c>
    </row>
    <row r="1823" spans="1:9" x14ac:dyDescent="0.2">
      <c r="A1823" s="7">
        <v>4992</v>
      </c>
      <c r="B1823" s="7">
        <v>2.2513939522799502E-3</v>
      </c>
      <c r="C1823" s="7">
        <v>8.4798680815203503E-2</v>
      </c>
      <c r="D1823" s="7">
        <v>21250</v>
      </c>
      <c r="E1823" s="7" t="s">
        <v>7</v>
      </c>
      <c r="F1823" s="7">
        <v>23.4</v>
      </c>
      <c r="G1823" s="7">
        <v>0</v>
      </c>
      <c r="H1823" s="7">
        <v>28613.5600000001</v>
      </c>
      <c r="I1823" s="7">
        <v>0</v>
      </c>
    </row>
    <row r="1824" spans="1:9" x14ac:dyDescent="0.2">
      <c r="A1824" s="7">
        <v>57196</v>
      </c>
      <c r="B1824" s="7">
        <v>3.6931407923834498E-3</v>
      </c>
      <c r="C1824" s="7">
        <v>8.4798680815203503E-2</v>
      </c>
      <c r="D1824" s="7">
        <v>15550</v>
      </c>
      <c r="E1824" s="7" t="s">
        <v>10</v>
      </c>
      <c r="F1824" s="7">
        <v>23.28</v>
      </c>
      <c r="G1824" s="7">
        <v>0</v>
      </c>
      <c r="H1824" s="7">
        <v>22132.46</v>
      </c>
      <c r="I1824" s="7">
        <v>0</v>
      </c>
    </row>
    <row r="1825" spans="1:9" x14ac:dyDescent="0.2">
      <c r="A1825" s="7">
        <v>63798</v>
      </c>
      <c r="B1825" s="7">
        <v>1.19627435462452E-4</v>
      </c>
      <c r="C1825" s="7">
        <v>7.4974238972806501E-2</v>
      </c>
      <c r="D1825" s="7">
        <v>19200</v>
      </c>
      <c r="E1825" s="7" t="s">
        <v>8</v>
      </c>
      <c r="F1825" s="7">
        <v>13.11</v>
      </c>
      <c r="G1825" s="7">
        <v>0</v>
      </c>
      <c r="H1825" s="7">
        <v>23229.21</v>
      </c>
      <c r="I1825" s="7">
        <v>0</v>
      </c>
    </row>
    <row r="1826" spans="1:9" x14ac:dyDescent="0.2">
      <c r="A1826" s="7">
        <v>20295</v>
      </c>
      <c r="B1826" s="7">
        <v>3.0543474458822599E-2</v>
      </c>
      <c r="C1826" s="7">
        <v>5.3944556304700297E-2</v>
      </c>
      <c r="D1826" s="7">
        <v>24000</v>
      </c>
      <c r="E1826" s="7" t="s">
        <v>8</v>
      </c>
      <c r="F1826" s="7">
        <v>10.99</v>
      </c>
      <c r="G1826" s="7">
        <v>0</v>
      </c>
      <c r="H1826" s="7">
        <v>27893.010024142801</v>
      </c>
      <c r="I1826" s="7">
        <v>0</v>
      </c>
    </row>
    <row r="1827" spans="1:9" x14ac:dyDescent="0.2">
      <c r="A1827" s="7">
        <v>101192</v>
      </c>
      <c r="B1827" s="7">
        <v>-3.3757694577593199E-3</v>
      </c>
      <c r="C1827" s="7">
        <v>8.4798680815203503E-2</v>
      </c>
      <c r="D1827" s="7">
        <v>30750</v>
      </c>
      <c r="E1827" s="7" t="s">
        <v>10</v>
      </c>
      <c r="F1827" s="7">
        <v>23.76</v>
      </c>
      <c r="G1827" s="7">
        <v>1</v>
      </c>
      <c r="H1827" s="7">
        <v>23654.52</v>
      </c>
      <c r="I1827" s="7">
        <v>3415.49</v>
      </c>
    </row>
    <row r="1828" spans="1:9" x14ac:dyDescent="0.2">
      <c r="A1828" s="7">
        <v>134971</v>
      </c>
      <c r="B1828" s="7">
        <v>2.6924081034294299E-2</v>
      </c>
      <c r="C1828" s="7">
        <v>8.1509172207196695E-2</v>
      </c>
      <c r="D1828" s="7">
        <v>14000</v>
      </c>
      <c r="E1828" s="7" t="s">
        <v>5</v>
      </c>
      <c r="F1828" s="7">
        <v>13.99</v>
      </c>
      <c r="G1828" s="7">
        <v>0</v>
      </c>
      <c r="H1828" s="7">
        <v>17223.070007089002</v>
      </c>
      <c r="I1828" s="7">
        <v>0</v>
      </c>
    </row>
    <row r="1829" spans="1:9" x14ac:dyDescent="0.2">
      <c r="A1829" s="7">
        <v>13869</v>
      </c>
      <c r="B1829" s="7">
        <v>3.0907004910765899E-2</v>
      </c>
      <c r="C1829" s="7">
        <v>7.4974238972806501E-2</v>
      </c>
      <c r="D1829" s="7">
        <v>6000</v>
      </c>
      <c r="E1829" s="7" t="s">
        <v>8</v>
      </c>
      <c r="F1829" s="7">
        <v>9.67</v>
      </c>
      <c r="G1829" s="7">
        <v>0</v>
      </c>
      <c r="H1829" s="7">
        <v>6801.78</v>
      </c>
      <c r="I1829" s="7">
        <v>0</v>
      </c>
    </row>
    <row r="1830" spans="1:9" x14ac:dyDescent="0.2">
      <c r="A1830" s="7">
        <v>81325</v>
      </c>
      <c r="B1830" s="7">
        <v>3.0765958909827602E-2</v>
      </c>
      <c r="C1830" s="7">
        <v>8.1509172207196695E-2</v>
      </c>
      <c r="D1830" s="7">
        <v>9000</v>
      </c>
      <c r="E1830" s="7" t="s">
        <v>8</v>
      </c>
      <c r="F1830" s="7">
        <v>11.14</v>
      </c>
      <c r="G1830" s="7">
        <v>0</v>
      </c>
      <c r="H1830" s="7">
        <v>10628.808785703801</v>
      </c>
      <c r="I1830" s="7">
        <v>0</v>
      </c>
    </row>
    <row r="1831" spans="1:9" x14ac:dyDescent="0.2">
      <c r="A1831" s="7">
        <v>65096</v>
      </c>
      <c r="B1831" s="7">
        <v>3.25816676960601E-2</v>
      </c>
      <c r="C1831" s="7">
        <v>8.1509172207196695E-2</v>
      </c>
      <c r="D1831" s="7">
        <v>12500</v>
      </c>
      <c r="E1831" s="7" t="s">
        <v>5</v>
      </c>
      <c r="F1831" s="7">
        <v>15.31</v>
      </c>
      <c r="G1831" s="7">
        <v>0</v>
      </c>
      <c r="H1831" s="7">
        <v>15566.72</v>
      </c>
      <c r="I1831" s="7">
        <v>0</v>
      </c>
    </row>
    <row r="1832" spans="1:9" x14ac:dyDescent="0.2">
      <c r="A1832" s="7">
        <v>103907</v>
      </c>
      <c r="B1832" s="7">
        <v>1.9431512645621901E-2</v>
      </c>
      <c r="C1832" s="7">
        <v>8.1509172207196695E-2</v>
      </c>
      <c r="D1832" s="7">
        <v>8000</v>
      </c>
      <c r="E1832" s="7" t="s">
        <v>4</v>
      </c>
      <c r="F1832" s="7">
        <v>8.9</v>
      </c>
      <c r="G1832" s="7">
        <v>0</v>
      </c>
      <c r="H1832" s="7">
        <v>9144.9030870445004</v>
      </c>
      <c r="I1832" s="7">
        <v>0</v>
      </c>
    </row>
    <row r="1833" spans="1:9" x14ac:dyDescent="0.2">
      <c r="A1833" s="7">
        <v>125393</v>
      </c>
      <c r="B1833" s="7">
        <v>3.3786936935785501E-2</v>
      </c>
      <c r="C1833" s="7">
        <v>7.4974238972806501E-2</v>
      </c>
      <c r="D1833" s="7">
        <v>15600</v>
      </c>
      <c r="E1833" s="7" t="s">
        <v>5</v>
      </c>
      <c r="F1833" s="7">
        <v>16.29</v>
      </c>
      <c r="G1833" s="7">
        <v>0</v>
      </c>
      <c r="H1833" s="7">
        <v>19373.803414132901</v>
      </c>
      <c r="I1833" s="7">
        <v>0</v>
      </c>
    </row>
    <row r="1834" spans="1:9" x14ac:dyDescent="0.2">
      <c r="A1834" s="7">
        <v>18324</v>
      </c>
      <c r="B1834" s="7">
        <v>2.4459910316636101E-2</v>
      </c>
      <c r="C1834" s="7">
        <v>7.4974238972806501E-2</v>
      </c>
      <c r="D1834" s="7">
        <v>20000</v>
      </c>
      <c r="E1834" s="7" t="s">
        <v>8</v>
      </c>
      <c r="F1834" s="7">
        <v>11.99</v>
      </c>
      <c r="G1834" s="7">
        <v>0</v>
      </c>
      <c r="H1834" s="7">
        <v>23822.14</v>
      </c>
      <c r="I1834" s="7">
        <v>0</v>
      </c>
    </row>
    <row r="1835" spans="1:9" x14ac:dyDescent="0.2">
      <c r="A1835" s="7">
        <v>66777</v>
      </c>
      <c r="B1835" s="7">
        <v>2.1390914669164901E-2</v>
      </c>
      <c r="C1835" s="7">
        <v>5.3944556304700297E-2</v>
      </c>
      <c r="D1835" s="7">
        <v>24000</v>
      </c>
      <c r="E1835" s="7" t="s">
        <v>4</v>
      </c>
      <c r="F1835" s="7">
        <v>7.9</v>
      </c>
      <c r="G1835" s="7">
        <v>0</v>
      </c>
      <c r="H1835" s="7">
        <v>27034.761972761</v>
      </c>
      <c r="I1835" s="7">
        <v>0</v>
      </c>
    </row>
    <row r="1836" spans="1:9" x14ac:dyDescent="0.2">
      <c r="A1836" s="7">
        <v>126603</v>
      </c>
      <c r="B1836" s="7">
        <v>3.41655898745159E-2</v>
      </c>
      <c r="C1836" s="7">
        <v>8.1509172207196695E-2</v>
      </c>
      <c r="D1836" s="7">
        <v>8500</v>
      </c>
      <c r="E1836" s="7" t="s">
        <v>6</v>
      </c>
      <c r="F1836" s="7">
        <v>18.75</v>
      </c>
      <c r="G1836" s="7">
        <v>0</v>
      </c>
      <c r="H1836" s="7">
        <v>10349.110960739999</v>
      </c>
      <c r="I1836" s="7">
        <v>0</v>
      </c>
    </row>
    <row r="1837" spans="1:9" x14ac:dyDescent="0.2">
      <c r="A1837" s="7">
        <v>2544</v>
      </c>
      <c r="B1837" s="7">
        <v>1.06406925191456E-2</v>
      </c>
      <c r="C1837" s="7">
        <v>5.3944556304700297E-2</v>
      </c>
      <c r="D1837" s="7">
        <v>16000</v>
      </c>
      <c r="E1837" s="7" t="s">
        <v>8</v>
      </c>
      <c r="F1837" s="7">
        <v>12.85</v>
      </c>
      <c r="G1837" s="7">
        <v>0</v>
      </c>
      <c r="H1837" s="7">
        <v>19034.91</v>
      </c>
      <c r="I1837" s="7">
        <v>0</v>
      </c>
    </row>
    <row r="1838" spans="1:9" x14ac:dyDescent="0.2">
      <c r="A1838" s="7">
        <v>6373</v>
      </c>
      <c r="B1838" s="7">
        <v>4.6088411461160103E-4</v>
      </c>
      <c r="C1838" s="7">
        <v>8.4798680815203503E-2</v>
      </c>
      <c r="D1838" s="7">
        <v>30000</v>
      </c>
      <c r="E1838" s="7" t="s">
        <v>7</v>
      </c>
      <c r="F1838" s="7">
        <v>21</v>
      </c>
      <c r="G1838" s="7">
        <v>0</v>
      </c>
      <c r="H1838" s="7">
        <v>43187.549963073601</v>
      </c>
      <c r="I1838" s="7">
        <v>0</v>
      </c>
    </row>
    <row r="1839" spans="1:9" x14ac:dyDescent="0.2">
      <c r="A1839" s="7">
        <v>94805</v>
      </c>
      <c r="B1839" s="7">
        <v>2.24435865600962E-2</v>
      </c>
      <c r="C1839" s="7">
        <v>8.1509172207196695E-2</v>
      </c>
      <c r="D1839" s="7">
        <v>5500</v>
      </c>
      <c r="E1839" s="7" t="s">
        <v>4</v>
      </c>
      <c r="F1839" s="7">
        <v>6.03</v>
      </c>
      <c r="G1839" s="7">
        <v>0</v>
      </c>
      <c r="H1839" s="7">
        <v>6026.2200690579002</v>
      </c>
      <c r="I1839" s="7">
        <v>0</v>
      </c>
    </row>
    <row r="1840" spans="1:9" x14ac:dyDescent="0.2">
      <c r="A1840" s="7">
        <v>143011</v>
      </c>
      <c r="B1840" s="7">
        <v>2.4910380436000798E-3</v>
      </c>
      <c r="C1840" s="7">
        <v>7.4974238972806501E-2</v>
      </c>
      <c r="D1840" s="7">
        <v>16000</v>
      </c>
      <c r="E1840" s="7" t="s">
        <v>6</v>
      </c>
      <c r="F1840" s="7">
        <v>17.579999999999998</v>
      </c>
      <c r="G1840" s="7">
        <v>0</v>
      </c>
      <c r="H1840" s="7">
        <v>22784.5299999983</v>
      </c>
      <c r="I1840" s="7">
        <v>0</v>
      </c>
    </row>
    <row r="1841" spans="1:9" x14ac:dyDescent="0.2">
      <c r="A1841" s="7">
        <v>117521</v>
      </c>
      <c r="B1841" s="7">
        <v>3.9596277001494401E-2</v>
      </c>
      <c r="C1841" s="7">
        <v>7.4974238972806501E-2</v>
      </c>
      <c r="D1841" s="7">
        <v>3000</v>
      </c>
      <c r="E1841" s="7" t="s">
        <v>8</v>
      </c>
      <c r="F1841" s="7">
        <v>14.09</v>
      </c>
      <c r="G1841" s="7">
        <v>0</v>
      </c>
      <c r="H1841" s="7">
        <v>3692.5399984792002</v>
      </c>
      <c r="I1841" s="7">
        <v>0</v>
      </c>
    </row>
    <row r="1842" spans="1:9" x14ac:dyDescent="0.2">
      <c r="A1842" s="7">
        <v>95369</v>
      </c>
      <c r="B1842" s="7">
        <v>-1.8644449124513001E-3</v>
      </c>
      <c r="C1842" s="7">
        <v>8.1509172207196695E-2</v>
      </c>
      <c r="D1842" s="7">
        <v>8600</v>
      </c>
      <c r="E1842" s="7" t="s">
        <v>5</v>
      </c>
      <c r="F1842" s="7">
        <v>15.8</v>
      </c>
      <c r="G1842" s="7">
        <v>0</v>
      </c>
      <c r="H1842" s="7">
        <v>11395.439982379999</v>
      </c>
      <c r="I1842" s="7">
        <v>0</v>
      </c>
    </row>
    <row r="1843" spans="1:9" x14ac:dyDescent="0.2">
      <c r="A1843" s="7">
        <v>27063</v>
      </c>
      <c r="B1843" s="7">
        <v>2.8090904237142101E-2</v>
      </c>
      <c r="C1843" s="7">
        <v>8.1509172207196695E-2</v>
      </c>
      <c r="D1843" s="7">
        <v>5000</v>
      </c>
      <c r="E1843" s="7" t="s">
        <v>8</v>
      </c>
      <c r="F1843" s="7">
        <v>12.99</v>
      </c>
      <c r="G1843" s="7">
        <v>0</v>
      </c>
      <c r="H1843" s="7">
        <v>5960.41</v>
      </c>
      <c r="I1843" s="7">
        <v>0</v>
      </c>
    </row>
    <row r="1844" spans="1:9" x14ac:dyDescent="0.2">
      <c r="A1844" s="7">
        <v>54638</v>
      </c>
      <c r="B1844" s="7">
        <v>3.6412106906908999E-2</v>
      </c>
      <c r="C1844" s="7">
        <v>7.4974238972806501E-2</v>
      </c>
      <c r="D1844" s="7">
        <v>10000</v>
      </c>
      <c r="E1844" s="7" t="s">
        <v>5</v>
      </c>
      <c r="F1844" s="7">
        <v>15.31</v>
      </c>
      <c r="G1844" s="7">
        <v>0</v>
      </c>
      <c r="H1844" s="7">
        <v>11712.149999999599</v>
      </c>
      <c r="I1844" s="7">
        <v>0</v>
      </c>
    </row>
    <row r="1845" spans="1:9" x14ac:dyDescent="0.2">
      <c r="A1845" s="7">
        <v>10762</v>
      </c>
      <c r="B1845" s="7">
        <v>3.90860539320931E-2</v>
      </c>
      <c r="C1845" s="7">
        <v>8.1509172207196695E-2</v>
      </c>
      <c r="D1845" s="7">
        <v>2500</v>
      </c>
      <c r="E1845" s="7" t="s">
        <v>5</v>
      </c>
      <c r="F1845" s="7">
        <v>15.1</v>
      </c>
      <c r="G1845" s="7">
        <v>0</v>
      </c>
      <c r="H1845" s="7">
        <v>2829.5638933783998</v>
      </c>
      <c r="I1845" s="7">
        <v>0</v>
      </c>
    </row>
    <row r="1846" spans="1:9" x14ac:dyDescent="0.2">
      <c r="A1846" s="7">
        <v>65622</v>
      </c>
      <c r="B1846" s="7">
        <v>1.72558527577426E-2</v>
      </c>
      <c r="C1846" s="7">
        <v>7.7054178620260594E-2</v>
      </c>
      <c r="D1846" s="7">
        <v>6000</v>
      </c>
      <c r="E1846" s="7" t="s">
        <v>8</v>
      </c>
      <c r="F1846" s="7">
        <v>10.16</v>
      </c>
      <c r="G1846" s="7">
        <v>0</v>
      </c>
      <c r="H1846" s="7">
        <v>6490.3650884076997</v>
      </c>
      <c r="I1846" s="7">
        <v>0</v>
      </c>
    </row>
    <row r="1847" spans="1:9" x14ac:dyDescent="0.2">
      <c r="A1847" s="7">
        <v>89656</v>
      </c>
      <c r="B1847" s="7">
        <v>3.7807144566145798E-2</v>
      </c>
      <c r="C1847" s="7">
        <v>7.4974238972806501E-2</v>
      </c>
      <c r="D1847" s="7">
        <v>10000</v>
      </c>
      <c r="E1847" s="7" t="s">
        <v>8</v>
      </c>
      <c r="F1847" s="7">
        <v>13.11</v>
      </c>
      <c r="G1847" s="7">
        <v>0</v>
      </c>
      <c r="H1847" s="7">
        <v>12148.902154868299</v>
      </c>
      <c r="I1847" s="7">
        <v>0</v>
      </c>
    </row>
    <row r="1848" spans="1:9" x14ac:dyDescent="0.2">
      <c r="A1848" s="7">
        <v>18353</v>
      </c>
      <c r="B1848" s="7">
        <v>1.6427656098257099E-2</v>
      </c>
      <c r="C1848" s="7">
        <v>8.4798680815203503E-2</v>
      </c>
      <c r="D1848" s="7">
        <v>35000</v>
      </c>
      <c r="E1848" s="7" t="s">
        <v>7</v>
      </c>
      <c r="F1848" s="7">
        <v>23.4</v>
      </c>
      <c r="G1848" s="7">
        <v>0</v>
      </c>
      <c r="H1848" s="7">
        <v>40282.709151091003</v>
      </c>
      <c r="I1848" s="7">
        <v>0</v>
      </c>
    </row>
    <row r="1849" spans="1:9" x14ac:dyDescent="0.2">
      <c r="A1849" s="7">
        <v>71387</v>
      </c>
      <c r="B1849" s="7">
        <v>2.8240728040517402E-2</v>
      </c>
      <c r="C1849" s="7">
        <v>8.1509172207196695E-2</v>
      </c>
      <c r="D1849" s="7">
        <v>4750</v>
      </c>
      <c r="E1849" s="7" t="s">
        <v>7</v>
      </c>
      <c r="F1849" s="7">
        <v>21</v>
      </c>
      <c r="G1849" s="7">
        <v>0</v>
      </c>
      <c r="H1849" s="7">
        <v>6207.2200001454003</v>
      </c>
      <c r="I1849" s="7">
        <v>0</v>
      </c>
    </row>
    <row r="1850" spans="1:9" x14ac:dyDescent="0.2">
      <c r="A1850" s="7">
        <v>60205</v>
      </c>
      <c r="B1850" s="7">
        <v>4.5141332370408599E-2</v>
      </c>
      <c r="C1850" s="7">
        <v>7.7054178620260594E-2</v>
      </c>
      <c r="D1850" s="7">
        <v>11000</v>
      </c>
      <c r="E1850" s="7" t="s">
        <v>8</v>
      </c>
      <c r="F1850" s="7">
        <v>14.09</v>
      </c>
      <c r="G1850" s="7">
        <v>0</v>
      </c>
      <c r="H1850" s="7">
        <v>13122.6600053071</v>
      </c>
      <c r="I1850" s="7">
        <v>0</v>
      </c>
    </row>
    <row r="1851" spans="1:9" x14ac:dyDescent="0.2">
      <c r="A1851" s="7">
        <v>93505</v>
      </c>
      <c r="B1851" s="7">
        <v>3.1862489948013002E-2</v>
      </c>
      <c r="C1851" s="7">
        <v>7.7054178620260594E-2</v>
      </c>
      <c r="D1851" s="7">
        <v>14400</v>
      </c>
      <c r="E1851" s="7" t="s">
        <v>5</v>
      </c>
      <c r="F1851" s="7">
        <v>14.33</v>
      </c>
      <c r="G1851" s="7">
        <v>0</v>
      </c>
      <c r="H1851" s="7">
        <v>17800.876345449698</v>
      </c>
      <c r="I1851" s="7">
        <v>0</v>
      </c>
    </row>
    <row r="1852" spans="1:9" x14ac:dyDescent="0.2">
      <c r="A1852" s="7">
        <v>9069</v>
      </c>
      <c r="B1852" s="7">
        <v>3.6340245738303099E-2</v>
      </c>
      <c r="C1852" s="7">
        <v>5.3944556304700297E-2</v>
      </c>
      <c r="D1852" s="7">
        <v>12000</v>
      </c>
      <c r="E1852" s="7" t="s">
        <v>8</v>
      </c>
      <c r="F1852" s="7">
        <v>9.67</v>
      </c>
      <c r="G1852" s="7">
        <v>0</v>
      </c>
      <c r="H1852" s="7">
        <v>13635.91</v>
      </c>
      <c r="I1852" s="7">
        <v>0</v>
      </c>
    </row>
    <row r="1853" spans="1:9" x14ac:dyDescent="0.2">
      <c r="A1853" s="7">
        <v>71177</v>
      </c>
      <c r="B1853" s="7">
        <v>3.0721248291534001E-2</v>
      </c>
      <c r="C1853" s="7">
        <v>7.4974238972806501E-2</v>
      </c>
      <c r="D1853" s="7">
        <v>10000</v>
      </c>
      <c r="E1853" s="7" t="s">
        <v>5</v>
      </c>
      <c r="F1853" s="7">
        <v>15.8</v>
      </c>
      <c r="G1853" s="7">
        <v>0</v>
      </c>
      <c r="H1853" s="7">
        <v>12620.953324251001</v>
      </c>
      <c r="I1853" s="7">
        <v>0</v>
      </c>
    </row>
    <row r="1854" spans="1:9" x14ac:dyDescent="0.2">
      <c r="A1854" s="7">
        <v>4380</v>
      </c>
      <c r="B1854" s="7">
        <v>3.2641687596213401E-2</v>
      </c>
      <c r="C1854" s="7">
        <v>8.1509172207196695E-2</v>
      </c>
      <c r="D1854" s="7">
        <v>8000</v>
      </c>
      <c r="E1854" s="7" t="s">
        <v>8</v>
      </c>
      <c r="F1854" s="7">
        <v>9.67</v>
      </c>
      <c r="G1854" s="7">
        <v>0</v>
      </c>
      <c r="H1854" s="7">
        <v>9140.76</v>
      </c>
      <c r="I1854" s="7">
        <v>0</v>
      </c>
    </row>
    <row r="1855" spans="1:9" x14ac:dyDescent="0.2">
      <c r="A1855" s="7">
        <v>136678</v>
      </c>
      <c r="B1855" s="7">
        <v>3.4524600636346103E-2</v>
      </c>
      <c r="C1855" s="7">
        <v>8.1509172207196695E-2</v>
      </c>
      <c r="D1855" s="7">
        <v>6500</v>
      </c>
      <c r="E1855" s="7" t="s">
        <v>6</v>
      </c>
      <c r="F1855" s="7">
        <v>17.989999999999998</v>
      </c>
      <c r="G1855" s="7">
        <v>0</v>
      </c>
      <c r="H1855" s="7">
        <v>8387.3611047249997</v>
      </c>
      <c r="I1855" s="7">
        <v>0</v>
      </c>
    </row>
    <row r="1856" spans="1:9" x14ac:dyDescent="0.2">
      <c r="A1856" s="7">
        <v>116339</v>
      </c>
      <c r="B1856" s="7">
        <v>3.22310681806839E-2</v>
      </c>
      <c r="C1856" s="7">
        <v>5.3944556304700297E-2</v>
      </c>
      <c r="D1856" s="7">
        <v>12000</v>
      </c>
      <c r="E1856" s="7" t="s">
        <v>8</v>
      </c>
      <c r="F1856" s="7">
        <v>12.12</v>
      </c>
      <c r="G1856" s="7">
        <v>0</v>
      </c>
      <c r="H1856" s="7">
        <v>14373.3530890478</v>
      </c>
      <c r="I1856" s="7">
        <v>0</v>
      </c>
    </row>
    <row r="1857" spans="1:9" x14ac:dyDescent="0.2">
      <c r="A1857" s="7">
        <v>29286</v>
      </c>
      <c r="B1857" s="7">
        <v>2.5410844534433999E-2</v>
      </c>
      <c r="C1857" s="7">
        <v>7.4974238972806501E-2</v>
      </c>
      <c r="D1857" s="7">
        <v>5000</v>
      </c>
      <c r="E1857" s="7" t="s">
        <v>5</v>
      </c>
      <c r="F1857" s="7">
        <v>16.78</v>
      </c>
      <c r="G1857" s="7">
        <v>1</v>
      </c>
      <c r="H1857" s="7">
        <v>355.34</v>
      </c>
      <c r="I1857" s="7">
        <v>0</v>
      </c>
    </row>
    <row r="1858" spans="1:9" x14ac:dyDescent="0.2">
      <c r="A1858" s="7">
        <v>137695</v>
      </c>
      <c r="B1858" s="7">
        <v>2.6350297997941301E-2</v>
      </c>
      <c r="C1858" s="7">
        <v>8.4798680815203503E-2</v>
      </c>
      <c r="D1858" s="7">
        <v>30000</v>
      </c>
      <c r="E1858" s="7" t="s">
        <v>8</v>
      </c>
      <c r="F1858" s="7">
        <v>13.67</v>
      </c>
      <c r="G1858" s="7">
        <v>0</v>
      </c>
      <c r="H1858" s="7">
        <v>36569.1085812159</v>
      </c>
      <c r="I1858" s="7">
        <v>0</v>
      </c>
    </row>
    <row r="1859" spans="1:9" x14ac:dyDescent="0.2">
      <c r="A1859" s="7">
        <v>60441</v>
      </c>
      <c r="B1859" s="7">
        <v>5.5481294903892099E-3</v>
      </c>
      <c r="C1859" s="7">
        <v>8.4798680815203503E-2</v>
      </c>
      <c r="D1859" s="7">
        <v>20000</v>
      </c>
      <c r="E1859" s="7" t="s">
        <v>5</v>
      </c>
      <c r="F1859" s="7">
        <v>17.27</v>
      </c>
      <c r="G1859" s="7">
        <v>1</v>
      </c>
      <c r="H1859" s="7">
        <v>4999.6000000000004</v>
      </c>
      <c r="I1859" s="7">
        <v>14.04</v>
      </c>
    </row>
    <row r="1860" spans="1:9" x14ac:dyDescent="0.2">
      <c r="A1860" s="7">
        <v>122207</v>
      </c>
      <c r="B1860" s="7">
        <v>2.3881740696798E-2</v>
      </c>
      <c r="C1860" s="7">
        <v>7.4974238972806501E-2</v>
      </c>
      <c r="D1860" s="7">
        <v>3000</v>
      </c>
      <c r="E1860" s="7" t="s">
        <v>8</v>
      </c>
      <c r="F1860" s="7">
        <v>10.16</v>
      </c>
      <c r="G1860" s="7">
        <v>0</v>
      </c>
      <c r="H1860" s="7">
        <v>3489.8899993598998</v>
      </c>
      <c r="I1860" s="7">
        <v>0</v>
      </c>
    </row>
    <row r="1861" spans="1:9" x14ac:dyDescent="0.2">
      <c r="A1861" s="7">
        <v>82883</v>
      </c>
      <c r="B1861" s="7">
        <v>2.3275899144194999E-2</v>
      </c>
      <c r="C1861" s="7">
        <v>7.7054178620260594E-2</v>
      </c>
      <c r="D1861" s="7">
        <v>12000</v>
      </c>
      <c r="E1861" s="7" t="s">
        <v>6</v>
      </c>
      <c r="F1861" s="7">
        <v>18.489999999999998</v>
      </c>
      <c r="G1861" s="7">
        <v>0</v>
      </c>
      <c r="H1861" s="7">
        <v>13519.6790894938</v>
      </c>
      <c r="I1861" s="7">
        <v>0</v>
      </c>
    </row>
    <row r="1862" spans="1:9" x14ac:dyDescent="0.2">
      <c r="A1862" s="7">
        <v>26983</v>
      </c>
      <c r="B1862" s="7">
        <v>1.07712295150693E-2</v>
      </c>
      <c r="C1862" s="7">
        <v>5.3944556304700297E-2</v>
      </c>
      <c r="D1862" s="7">
        <v>20000</v>
      </c>
      <c r="E1862" s="7" t="s">
        <v>5</v>
      </c>
      <c r="F1862" s="7">
        <v>15.61</v>
      </c>
      <c r="G1862" s="7">
        <v>0</v>
      </c>
      <c r="H1862" s="7">
        <v>25181.899999998001</v>
      </c>
      <c r="I1862" s="7">
        <v>0</v>
      </c>
    </row>
    <row r="1863" spans="1:9" x14ac:dyDescent="0.2">
      <c r="A1863" s="7">
        <v>120096</v>
      </c>
      <c r="B1863" s="7">
        <v>2.7304096256359701E-2</v>
      </c>
      <c r="C1863" s="7">
        <v>5.3944556304700297E-2</v>
      </c>
      <c r="D1863" s="7">
        <v>32875</v>
      </c>
      <c r="E1863" s="7" t="s">
        <v>4</v>
      </c>
      <c r="F1863" s="7">
        <v>8.9</v>
      </c>
      <c r="G1863" s="7">
        <v>0</v>
      </c>
      <c r="H1863" s="7">
        <v>37579.920014111798</v>
      </c>
      <c r="I1863" s="7">
        <v>0</v>
      </c>
    </row>
    <row r="1864" spans="1:9" x14ac:dyDescent="0.2">
      <c r="A1864" s="7">
        <v>24080</v>
      </c>
      <c r="B1864" s="7">
        <v>2.08812259712065E-2</v>
      </c>
      <c r="C1864" s="7">
        <v>7.4974238972806501E-2</v>
      </c>
      <c r="D1864" s="7">
        <v>16000</v>
      </c>
      <c r="E1864" s="7" t="s">
        <v>4</v>
      </c>
      <c r="F1864" s="7">
        <v>7.62</v>
      </c>
      <c r="G1864" s="7">
        <v>0</v>
      </c>
      <c r="H1864" s="7">
        <v>16393.411937949899</v>
      </c>
      <c r="I1864" s="7">
        <v>0</v>
      </c>
    </row>
    <row r="1865" spans="1:9" x14ac:dyDescent="0.2">
      <c r="A1865" s="7">
        <v>144767</v>
      </c>
      <c r="B1865" s="7">
        <v>3.1630609688280097E-2</v>
      </c>
      <c r="C1865" s="7">
        <v>8.1509172207196695E-2</v>
      </c>
      <c r="D1865" s="7">
        <v>15000</v>
      </c>
      <c r="E1865" s="7" t="s">
        <v>5</v>
      </c>
      <c r="F1865" s="7">
        <v>15.27</v>
      </c>
      <c r="G1865" s="7">
        <v>0</v>
      </c>
      <c r="H1865" s="7">
        <v>18790.720013644899</v>
      </c>
      <c r="I1865" s="7">
        <v>0</v>
      </c>
    </row>
    <row r="1866" spans="1:9" x14ac:dyDescent="0.2">
      <c r="A1866" s="7">
        <v>90932</v>
      </c>
      <c r="B1866" s="7">
        <v>2.2682239073953701E-2</v>
      </c>
      <c r="C1866" s="7">
        <v>8.1509172207196695E-2</v>
      </c>
      <c r="D1866" s="7">
        <v>20000</v>
      </c>
      <c r="E1866" s="7" t="s">
        <v>8</v>
      </c>
      <c r="F1866" s="7">
        <v>12.12</v>
      </c>
      <c r="G1866" s="7">
        <v>0</v>
      </c>
      <c r="H1866" s="7">
        <v>23875.549999998599</v>
      </c>
      <c r="I1866" s="7">
        <v>0</v>
      </c>
    </row>
    <row r="1867" spans="1:9" x14ac:dyDescent="0.2">
      <c r="A1867" s="7">
        <v>92635</v>
      </c>
      <c r="B1867" s="7">
        <v>2.6643410168961702E-2</v>
      </c>
      <c r="C1867" s="7">
        <v>7.4974238972806501E-2</v>
      </c>
      <c r="D1867" s="7">
        <v>3550</v>
      </c>
      <c r="E1867" s="7" t="s">
        <v>6</v>
      </c>
      <c r="F1867" s="7">
        <v>18.75</v>
      </c>
      <c r="G1867" s="7">
        <v>0</v>
      </c>
      <c r="H1867" s="7">
        <v>4668.3899087937998</v>
      </c>
      <c r="I1867" s="7">
        <v>0</v>
      </c>
    </row>
    <row r="1868" spans="1:9" x14ac:dyDescent="0.2">
      <c r="A1868" s="7">
        <v>113751</v>
      </c>
      <c r="B1868" s="7">
        <v>2.9095171169695198E-2</v>
      </c>
      <c r="C1868" s="7">
        <v>8.1509172207196695E-2</v>
      </c>
      <c r="D1868" s="7">
        <v>12000</v>
      </c>
      <c r="E1868" s="7" t="s">
        <v>8</v>
      </c>
      <c r="F1868" s="7">
        <v>12.12</v>
      </c>
      <c r="G1868" s="7">
        <v>0</v>
      </c>
      <c r="H1868" s="7">
        <v>14119.8499938527</v>
      </c>
      <c r="I1868" s="7">
        <v>0</v>
      </c>
    </row>
    <row r="1869" spans="1:9" x14ac:dyDescent="0.2">
      <c r="A1869" s="7">
        <v>73136</v>
      </c>
      <c r="B1869" s="7">
        <v>3.00021389735435E-2</v>
      </c>
      <c r="C1869" s="7">
        <v>5.3944556304700297E-2</v>
      </c>
      <c r="D1869" s="7">
        <v>22475</v>
      </c>
      <c r="E1869" s="7" t="s">
        <v>4</v>
      </c>
      <c r="F1869" s="7">
        <v>8.9</v>
      </c>
      <c r="G1869" s="7">
        <v>0</v>
      </c>
      <c r="H1869" s="7">
        <v>25104.660030249201</v>
      </c>
      <c r="I1869" s="7">
        <v>0</v>
      </c>
    </row>
    <row r="1870" spans="1:9" x14ac:dyDescent="0.2">
      <c r="A1870" s="7">
        <v>35880</v>
      </c>
      <c r="B1870" s="7">
        <v>2.3988728050975499E-2</v>
      </c>
      <c r="C1870" s="7">
        <v>8.1509172207196695E-2</v>
      </c>
      <c r="D1870" s="7">
        <v>7200</v>
      </c>
      <c r="E1870" s="7" t="s">
        <v>5</v>
      </c>
      <c r="F1870" s="7">
        <v>15.22</v>
      </c>
      <c r="G1870" s="7">
        <v>0</v>
      </c>
      <c r="H1870" s="7">
        <v>8550.48</v>
      </c>
      <c r="I1870" s="7">
        <v>0</v>
      </c>
    </row>
    <row r="1871" spans="1:9" x14ac:dyDescent="0.2">
      <c r="A1871" s="7">
        <v>62778</v>
      </c>
      <c r="B1871" s="7">
        <v>4.0932349419434702E-2</v>
      </c>
      <c r="C1871" s="7">
        <v>7.4974238972806501E-2</v>
      </c>
      <c r="D1871" s="7">
        <v>7200</v>
      </c>
      <c r="E1871" s="7" t="s">
        <v>5</v>
      </c>
      <c r="F1871" s="7">
        <v>16.29</v>
      </c>
      <c r="G1871" s="7">
        <v>0</v>
      </c>
      <c r="H1871" s="7">
        <v>8153.4573665585003</v>
      </c>
      <c r="I1871" s="7">
        <v>0</v>
      </c>
    </row>
    <row r="1872" spans="1:9" x14ac:dyDescent="0.2">
      <c r="A1872" s="7">
        <v>88489</v>
      </c>
      <c r="B1872" s="7">
        <v>3.4675586670854602E-2</v>
      </c>
      <c r="C1872" s="7">
        <v>7.4974238972806501E-2</v>
      </c>
      <c r="D1872" s="7">
        <v>10000</v>
      </c>
      <c r="E1872" s="7" t="s">
        <v>8</v>
      </c>
      <c r="F1872" s="7">
        <v>12.12</v>
      </c>
      <c r="G1872" s="7">
        <v>0</v>
      </c>
      <c r="H1872" s="7">
        <v>11977.770390891101</v>
      </c>
      <c r="I1872" s="7">
        <v>0</v>
      </c>
    </row>
    <row r="1873" spans="1:9" x14ac:dyDescent="0.2">
      <c r="A1873" s="7">
        <v>57262</v>
      </c>
      <c r="B1873" s="7">
        <v>2.04401280735295E-2</v>
      </c>
      <c r="C1873" s="7">
        <v>5.3944556304700297E-2</v>
      </c>
      <c r="D1873" s="7">
        <v>26000</v>
      </c>
      <c r="E1873" s="7" t="s">
        <v>5</v>
      </c>
      <c r="F1873" s="7">
        <v>17.27</v>
      </c>
      <c r="G1873" s="7">
        <v>0</v>
      </c>
      <c r="H1873" s="7">
        <v>32983.96</v>
      </c>
      <c r="I1873" s="7">
        <v>0</v>
      </c>
    </row>
    <row r="1874" spans="1:9" x14ac:dyDescent="0.2">
      <c r="A1874" s="7">
        <v>79470</v>
      </c>
      <c r="B1874" s="7">
        <v>2.4957832516254101E-2</v>
      </c>
      <c r="C1874" s="7">
        <v>8.1509172207196695E-2</v>
      </c>
      <c r="D1874" s="7">
        <v>16000</v>
      </c>
      <c r="E1874" s="7" t="s">
        <v>8</v>
      </c>
      <c r="F1874" s="7">
        <v>11.14</v>
      </c>
      <c r="G1874" s="7">
        <v>0</v>
      </c>
      <c r="H1874" s="7">
        <v>18895.652825807199</v>
      </c>
      <c r="I1874" s="7">
        <v>0</v>
      </c>
    </row>
    <row r="1875" spans="1:9" x14ac:dyDescent="0.2">
      <c r="A1875" s="7">
        <v>21872</v>
      </c>
      <c r="B1875" s="7">
        <v>3.3321921262397199E-2</v>
      </c>
      <c r="C1875" s="7">
        <v>8.1509172207196695E-2</v>
      </c>
      <c r="D1875" s="7">
        <v>6000</v>
      </c>
      <c r="E1875" s="7" t="s">
        <v>6</v>
      </c>
      <c r="F1875" s="7">
        <v>19.52</v>
      </c>
      <c r="G1875" s="7">
        <v>0</v>
      </c>
      <c r="H1875" s="7">
        <v>6097.6</v>
      </c>
      <c r="I1875" s="7">
        <v>0</v>
      </c>
    </row>
    <row r="1876" spans="1:9" x14ac:dyDescent="0.2">
      <c r="A1876" s="7">
        <v>60240</v>
      </c>
      <c r="B1876" s="7">
        <v>1.61514049860924E-3</v>
      </c>
      <c r="C1876" s="7">
        <v>8.4798680815203503E-2</v>
      </c>
      <c r="D1876" s="7">
        <v>35000</v>
      </c>
      <c r="E1876" s="7" t="s">
        <v>10</v>
      </c>
      <c r="F1876" s="7">
        <v>22.95</v>
      </c>
      <c r="G1876" s="7">
        <v>0</v>
      </c>
      <c r="H1876" s="7">
        <v>46021.679756469603</v>
      </c>
      <c r="I1876" s="7">
        <v>0</v>
      </c>
    </row>
    <row r="1877" spans="1:9" x14ac:dyDescent="0.2">
      <c r="A1877" s="7">
        <v>114315</v>
      </c>
      <c r="B1877" s="7">
        <v>2.1004357760818399E-2</v>
      </c>
      <c r="C1877" s="7">
        <v>8.1509172207196695E-2</v>
      </c>
      <c r="D1877" s="7">
        <v>9000</v>
      </c>
      <c r="E1877" s="7" t="s">
        <v>8</v>
      </c>
      <c r="F1877" s="7">
        <v>12.12</v>
      </c>
      <c r="G1877" s="7">
        <v>0</v>
      </c>
      <c r="H1877" s="7">
        <v>10779.9790415891</v>
      </c>
      <c r="I1877" s="7">
        <v>0</v>
      </c>
    </row>
    <row r="1878" spans="1:9" x14ac:dyDescent="0.2">
      <c r="A1878" s="7">
        <v>73320</v>
      </c>
      <c r="B1878" s="7">
        <v>2.6254911835505001E-2</v>
      </c>
      <c r="C1878" s="7">
        <v>8.1509172207196695E-2</v>
      </c>
      <c r="D1878" s="7">
        <v>14000</v>
      </c>
      <c r="E1878" s="7" t="s">
        <v>5</v>
      </c>
      <c r="F1878" s="7">
        <v>14.33</v>
      </c>
      <c r="G1878" s="7">
        <v>0</v>
      </c>
      <c r="H1878" s="7">
        <v>17306.361914343801</v>
      </c>
      <c r="I1878" s="7">
        <v>0</v>
      </c>
    </row>
    <row r="1879" spans="1:9" x14ac:dyDescent="0.2">
      <c r="A1879" s="7">
        <v>1678</v>
      </c>
      <c r="B1879" s="7">
        <v>2.7893071919004399E-2</v>
      </c>
      <c r="C1879" s="7">
        <v>7.4974238972806501E-2</v>
      </c>
      <c r="D1879" s="7">
        <v>6500</v>
      </c>
      <c r="E1879" s="7" t="s">
        <v>5</v>
      </c>
      <c r="F1879" s="7">
        <v>14.47</v>
      </c>
      <c r="G1879" s="7">
        <v>0</v>
      </c>
      <c r="H1879" s="7">
        <v>7440.3199992475002</v>
      </c>
      <c r="I1879" s="7">
        <v>0</v>
      </c>
    </row>
    <row r="1880" spans="1:9" x14ac:dyDescent="0.2">
      <c r="A1880" s="7">
        <v>79387</v>
      </c>
      <c r="B1880" s="7">
        <v>2.1823620048296698E-2</v>
      </c>
      <c r="C1880" s="7">
        <v>8.1509172207196695E-2</v>
      </c>
      <c r="D1880" s="7">
        <v>7800</v>
      </c>
      <c r="E1880" s="7" t="s">
        <v>5</v>
      </c>
      <c r="F1880" s="7">
        <v>16.29</v>
      </c>
      <c r="G1880" s="7">
        <v>0</v>
      </c>
      <c r="H1880" s="7">
        <v>8990.2303550382003</v>
      </c>
      <c r="I1880" s="7">
        <v>0</v>
      </c>
    </row>
    <row r="1881" spans="1:9" x14ac:dyDescent="0.2">
      <c r="A1881" s="7">
        <v>29840</v>
      </c>
      <c r="B1881" s="7">
        <v>2.9644715315427801E-2</v>
      </c>
      <c r="C1881" s="7">
        <v>7.4974238972806501E-2</v>
      </c>
      <c r="D1881" s="7">
        <v>4800</v>
      </c>
      <c r="E1881" s="7" t="s">
        <v>8</v>
      </c>
      <c r="F1881" s="7">
        <v>11.55</v>
      </c>
      <c r="G1881" s="7">
        <v>0</v>
      </c>
      <c r="H1881" s="7">
        <v>5374.7389782258997</v>
      </c>
      <c r="I1881" s="7">
        <v>0</v>
      </c>
    </row>
    <row r="1882" spans="1:9" x14ac:dyDescent="0.2">
      <c r="A1882" s="7">
        <v>23565</v>
      </c>
      <c r="B1882" s="7">
        <v>2.40539515025531E-2</v>
      </c>
      <c r="C1882" s="7">
        <v>7.7054178620260594E-2</v>
      </c>
      <c r="D1882" s="7">
        <v>4500</v>
      </c>
      <c r="E1882" s="7" t="s">
        <v>7</v>
      </c>
      <c r="F1882" s="7">
        <v>21</v>
      </c>
      <c r="G1882" s="7">
        <v>0</v>
      </c>
      <c r="H1882" s="7">
        <v>5642.2300012575997</v>
      </c>
      <c r="I1882" s="7">
        <v>0</v>
      </c>
    </row>
    <row r="1883" spans="1:9" x14ac:dyDescent="0.2">
      <c r="A1883" s="7">
        <v>56601</v>
      </c>
      <c r="B1883" s="7">
        <v>2.2098774411993101E-2</v>
      </c>
      <c r="C1883" s="7">
        <v>8.1509172207196695E-2</v>
      </c>
      <c r="D1883" s="7">
        <v>10000</v>
      </c>
      <c r="E1883" s="7" t="s">
        <v>4</v>
      </c>
      <c r="F1883" s="7">
        <v>7.9</v>
      </c>
      <c r="G1883" s="7">
        <v>0</v>
      </c>
      <c r="H1883" s="7">
        <v>11241.8998356022</v>
      </c>
      <c r="I1883" s="7">
        <v>0</v>
      </c>
    </row>
    <row r="1884" spans="1:9" x14ac:dyDescent="0.2">
      <c r="A1884" s="7">
        <v>21985</v>
      </c>
      <c r="B1884" s="7">
        <v>1.9248589519881398E-2</v>
      </c>
      <c r="C1884" s="7">
        <v>5.3944556304700297E-2</v>
      </c>
      <c r="D1884" s="7">
        <v>24000</v>
      </c>
      <c r="E1884" s="7" t="s">
        <v>4</v>
      </c>
      <c r="F1884" s="7">
        <v>6.97</v>
      </c>
      <c r="G1884" s="7">
        <v>0</v>
      </c>
      <c r="H1884" s="7">
        <v>26227.860017618001</v>
      </c>
      <c r="I1884" s="7">
        <v>0</v>
      </c>
    </row>
    <row r="1885" spans="1:9" x14ac:dyDescent="0.2">
      <c r="A1885" s="7">
        <v>142617</v>
      </c>
      <c r="B1885" s="7">
        <v>-6.0321042084855196E-3</v>
      </c>
      <c r="C1885" s="7">
        <v>8.4798680815203503E-2</v>
      </c>
      <c r="D1885" s="7">
        <v>20000</v>
      </c>
      <c r="E1885" s="7" t="s">
        <v>10</v>
      </c>
      <c r="F1885" s="7">
        <v>20.89</v>
      </c>
      <c r="G1885" s="7">
        <v>1</v>
      </c>
      <c r="H1885" s="7">
        <v>5898.79</v>
      </c>
      <c r="I1885" s="7">
        <v>1058.8599999999999</v>
      </c>
    </row>
    <row r="1886" spans="1:9" x14ac:dyDescent="0.2">
      <c r="A1886" s="7">
        <v>114970</v>
      </c>
      <c r="B1886" s="7">
        <v>3.0660663366796501E-2</v>
      </c>
      <c r="C1886" s="7">
        <v>8.1509172207196695E-2</v>
      </c>
      <c r="D1886" s="7">
        <v>16000</v>
      </c>
      <c r="E1886" s="7" t="s">
        <v>8</v>
      </c>
      <c r="F1886" s="7">
        <v>10.16</v>
      </c>
      <c r="G1886" s="7">
        <v>1</v>
      </c>
      <c r="H1886" s="7">
        <v>8797.16</v>
      </c>
      <c r="I1886" s="7">
        <v>0</v>
      </c>
    </row>
    <row r="1887" spans="1:9" x14ac:dyDescent="0.2">
      <c r="A1887" s="7">
        <v>41710</v>
      </c>
      <c r="B1887" s="7">
        <v>2.8842258640830301E-2</v>
      </c>
      <c r="C1887" s="7">
        <v>8.1509172207196695E-2</v>
      </c>
      <c r="D1887" s="7">
        <v>9000</v>
      </c>
      <c r="E1887" s="7" t="s">
        <v>5</v>
      </c>
      <c r="F1887" s="7">
        <v>14.33</v>
      </c>
      <c r="G1887" s="7">
        <v>0</v>
      </c>
      <c r="H1887" s="7">
        <v>10896.5800007588</v>
      </c>
      <c r="I1887" s="7">
        <v>0</v>
      </c>
    </row>
    <row r="1888" spans="1:9" x14ac:dyDescent="0.2">
      <c r="A1888" s="7">
        <v>3040</v>
      </c>
      <c r="B1888" s="7">
        <v>3.8410389043143998E-2</v>
      </c>
      <c r="C1888" s="7">
        <v>8.1509172207196695E-2</v>
      </c>
      <c r="D1888" s="7">
        <v>5000</v>
      </c>
      <c r="E1888" s="7" t="s">
        <v>5</v>
      </c>
      <c r="F1888" s="7">
        <v>14.47</v>
      </c>
      <c r="G1888" s="7">
        <v>1</v>
      </c>
      <c r="H1888" s="7">
        <v>3956.86</v>
      </c>
      <c r="I1888" s="7">
        <v>0</v>
      </c>
    </row>
    <row r="1889" spans="1:9" x14ac:dyDescent="0.2">
      <c r="A1889" s="7">
        <v>73627</v>
      </c>
      <c r="B1889" s="7">
        <v>3.02388714614958E-2</v>
      </c>
      <c r="C1889" s="7">
        <v>7.4974238972806501E-2</v>
      </c>
      <c r="D1889" s="7">
        <v>14400</v>
      </c>
      <c r="E1889" s="7" t="s">
        <v>6</v>
      </c>
      <c r="F1889" s="7">
        <v>17.77</v>
      </c>
      <c r="G1889" s="7">
        <v>0</v>
      </c>
      <c r="H1889" s="7">
        <v>18681.582860477902</v>
      </c>
      <c r="I1889" s="7">
        <v>0</v>
      </c>
    </row>
    <row r="1890" spans="1:9" x14ac:dyDescent="0.2">
      <c r="A1890" s="7">
        <v>82608</v>
      </c>
      <c r="B1890" s="7">
        <v>3.1332093523670702E-2</v>
      </c>
      <c r="C1890" s="7">
        <v>5.3944556304700297E-2</v>
      </c>
      <c r="D1890" s="7">
        <v>28000</v>
      </c>
      <c r="E1890" s="7" t="s">
        <v>4</v>
      </c>
      <c r="F1890" s="7">
        <v>7.62</v>
      </c>
      <c r="G1890" s="7">
        <v>0</v>
      </c>
      <c r="H1890" s="7">
        <v>31410.642595818001</v>
      </c>
      <c r="I1890" s="7">
        <v>0</v>
      </c>
    </row>
    <row r="1891" spans="1:9" x14ac:dyDescent="0.2">
      <c r="A1891" s="7">
        <v>111840</v>
      </c>
      <c r="B1891" s="7">
        <v>2.5053816062292698E-2</v>
      </c>
      <c r="C1891" s="7">
        <v>8.1509172207196695E-2</v>
      </c>
      <c r="D1891" s="7">
        <v>14075</v>
      </c>
      <c r="E1891" s="7" t="s">
        <v>5</v>
      </c>
      <c r="F1891" s="7">
        <v>15.31</v>
      </c>
      <c r="G1891" s="7">
        <v>1</v>
      </c>
      <c r="H1891" s="7">
        <v>12532.65</v>
      </c>
      <c r="I1891" s="7">
        <v>771.85</v>
      </c>
    </row>
    <row r="1892" spans="1:9" x14ac:dyDescent="0.2">
      <c r="A1892" s="7">
        <v>9994</v>
      </c>
      <c r="B1892" s="7">
        <v>2.6533188852488301E-2</v>
      </c>
      <c r="C1892" s="7">
        <v>7.7054178620260594E-2</v>
      </c>
      <c r="D1892" s="7">
        <v>11000</v>
      </c>
      <c r="E1892" s="7" t="s">
        <v>4</v>
      </c>
      <c r="F1892" s="7">
        <v>7.9</v>
      </c>
      <c r="G1892" s="7">
        <v>0</v>
      </c>
      <c r="H1892" s="7">
        <v>11703.93</v>
      </c>
      <c r="I1892" s="7">
        <v>0</v>
      </c>
    </row>
    <row r="1893" spans="1:9" x14ac:dyDescent="0.2">
      <c r="A1893" s="7">
        <v>48670</v>
      </c>
      <c r="B1893" s="7">
        <v>2.7192931091552498E-2</v>
      </c>
      <c r="C1893" s="7">
        <v>7.4974238972806501E-2</v>
      </c>
      <c r="D1893" s="7">
        <v>9500</v>
      </c>
      <c r="E1893" s="7" t="s">
        <v>8</v>
      </c>
      <c r="F1893" s="7">
        <v>11.14</v>
      </c>
      <c r="G1893" s="7">
        <v>0</v>
      </c>
      <c r="H1893" s="7">
        <v>11219.316248925101</v>
      </c>
      <c r="I1893" s="7">
        <v>0</v>
      </c>
    </row>
    <row r="1894" spans="1:9" x14ac:dyDescent="0.2">
      <c r="A1894" s="7">
        <v>113121</v>
      </c>
      <c r="B1894" s="7">
        <v>3.5389744638550401E-2</v>
      </c>
      <c r="C1894" s="7">
        <v>7.4974238972806501E-2</v>
      </c>
      <c r="D1894" s="7">
        <v>13600</v>
      </c>
      <c r="E1894" s="7" t="s">
        <v>5</v>
      </c>
      <c r="F1894" s="7">
        <v>15.31</v>
      </c>
      <c r="G1894" s="7">
        <v>0</v>
      </c>
      <c r="H1894" s="7">
        <v>16722.3400049966</v>
      </c>
      <c r="I1894" s="7">
        <v>0</v>
      </c>
    </row>
    <row r="1895" spans="1:9" x14ac:dyDescent="0.2">
      <c r="A1895" s="7">
        <v>110539</v>
      </c>
      <c r="B1895" s="7">
        <v>2.95207315880389E-2</v>
      </c>
      <c r="C1895" s="7">
        <v>8.1509172207196695E-2</v>
      </c>
      <c r="D1895" s="7">
        <v>15500</v>
      </c>
      <c r="E1895" s="7" t="s">
        <v>6</v>
      </c>
      <c r="F1895" s="7">
        <v>19.05</v>
      </c>
      <c r="G1895" s="7">
        <v>1</v>
      </c>
      <c r="H1895" s="7">
        <v>11489.31</v>
      </c>
      <c r="I1895" s="7">
        <v>1258.57</v>
      </c>
    </row>
    <row r="1896" spans="1:9" x14ac:dyDescent="0.2">
      <c r="A1896" s="7">
        <v>79019</v>
      </c>
      <c r="B1896" s="7">
        <v>2.1838251149727601E-2</v>
      </c>
      <c r="C1896" s="7">
        <v>8.4798680815203503E-2</v>
      </c>
      <c r="D1896" s="7">
        <v>35000</v>
      </c>
      <c r="E1896" s="7" t="s">
        <v>7</v>
      </c>
      <c r="F1896" s="7">
        <v>20.49</v>
      </c>
      <c r="G1896" s="7">
        <v>1</v>
      </c>
      <c r="H1896" s="7">
        <v>18890.310000000001</v>
      </c>
      <c r="I1896" s="7">
        <v>4021.14</v>
      </c>
    </row>
    <row r="1897" spans="1:9" x14ac:dyDescent="0.2">
      <c r="A1897" s="7">
        <v>80298</v>
      </c>
      <c r="B1897" s="7">
        <v>3.9648744870548397E-2</v>
      </c>
      <c r="C1897" s="7">
        <v>5.3944556304700297E-2</v>
      </c>
      <c r="D1897" s="7">
        <v>20400</v>
      </c>
      <c r="E1897" s="7" t="s">
        <v>4</v>
      </c>
      <c r="F1897" s="7">
        <v>7.9</v>
      </c>
      <c r="G1897" s="7">
        <v>0</v>
      </c>
      <c r="H1897" s="7">
        <v>22652.900001125701</v>
      </c>
      <c r="I1897" s="7">
        <v>0</v>
      </c>
    </row>
    <row r="1898" spans="1:9" x14ac:dyDescent="0.2">
      <c r="A1898" s="7">
        <v>68071</v>
      </c>
      <c r="B1898" s="7">
        <v>2.49942578889468E-2</v>
      </c>
      <c r="C1898" s="7">
        <v>7.7054178620260594E-2</v>
      </c>
      <c r="D1898" s="7">
        <v>10575</v>
      </c>
      <c r="E1898" s="7" t="s">
        <v>5</v>
      </c>
      <c r="F1898" s="7">
        <v>15.31</v>
      </c>
      <c r="G1898" s="7">
        <v>0</v>
      </c>
      <c r="H1898" s="7">
        <v>12864.590002982601</v>
      </c>
      <c r="I1898" s="7">
        <v>0</v>
      </c>
    </row>
    <row r="1899" spans="1:9" x14ac:dyDescent="0.2">
      <c r="A1899" s="7">
        <v>14264</v>
      </c>
      <c r="B1899" s="7">
        <v>2.8409778978194401E-2</v>
      </c>
      <c r="C1899" s="7">
        <v>7.7054178620260594E-2</v>
      </c>
      <c r="D1899" s="7">
        <v>6500</v>
      </c>
      <c r="E1899" s="7" t="s">
        <v>5</v>
      </c>
      <c r="F1899" s="7">
        <v>16.2</v>
      </c>
      <c r="G1899" s="7">
        <v>0</v>
      </c>
      <c r="H1899" s="7">
        <v>7661.6899989542999</v>
      </c>
      <c r="I1899" s="7">
        <v>0</v>
      </c>
    </row>
    <row r="1900" spans="1:9" x14ac:dyDescent="0.2">
      <c r="A1900" s="7">
        <v>91154</v>
      </c>
      <c r="B1900" s="7">
        <v>3.11632594080044E-2</v>
      </c>
      <c r="C1900" s="7">
        <v>7.4974238972806501E-2</v>
      </c>
      <c r="D1900" s="7">
        <v>9600</v>
      </c>
      <c r="E1900" s="7" t="s">
        <v>5</v>
      </c>
      <c r="F1900" s="7">
        <v>15.31</v>
      </c>
      <c r="G1900" s="7">
        <v>0</v>
      </c>
      <c r="H1900" s="7">
        <v>12032.835011955</v>
      </c>
      <c r="I1900" s="7">
        <v>0</v>
      </c>
    </row>
    <row r="1901" spans="1:9" x14ac:dyDescent="0.2">
      <c r="A1901" s="7">
        <v>431</v>
      </c>
      <c r="B1901" s="7">
        <v>2.6093567069154701E-2</v>
      </c>
      <c r="C1901" s="7">
        <v>7.7054178620260594E-2</v>
      </c>
      <c r="D1901" s="7">
        <v>15000</v>
      </c>
      <c r="E1901" s="7" t="s">
        <v>8</v>
      </c>
      <c r="F1901" s="7">
        <v>6</v>
      </c>
      <c r="G1901" s="7">
        <v>0</v>
      </c>
      <c r="H1901" s="7">
        <v>16478.509999999998</v>
      </c>
      <c r="I1901" s="7">
        <v>0</v>
      </c>
    </row>
    <row r="1902" spans="1:9" x14ac:dyDescent="0.2">
      <c r="A1902" s="7">
        <v>135750</v>
      </c>
      <c r="B1902" s="7">
        <v>3.1951892200447501E-2</v>
      </c>
      <c r="C1902" s="7">
        <v>7.4974238972806501E-2</v>
      </c>
      <c r="D1902" s="7">
        <v>3000</v>
      </c>
      <c r="E1902" s="7" t="s">
        <v>8</v>
      </c>
      <c r="F1902" s="7">
        <v>12.12</v>
      </c>
      <c r="G1902" s="7">
        <v>0</v>
      </c>
      <c r="H1902" s="7">
        <v>3593.3024913720001</v>
      </c>
      <c r="I1902" s="7">
        <v>0</v>
      </c>
    </row>
    <row r="1903" spans="1:9" x14ac:dyDescent="0.2">
      <c r="A1903" s="7">
        <v>57432</v>
      </c>
      <c r="B1903" s="7">
        <v>1.04294515116544E-2</v>
      </c>
      <c r="C1903" s="7">
        <v>5.3944556304700297E-2</v>
      </c>
      <c r="D1903" s="7">
        <v>15000</v>
      </c>
      <c r="E1903" s="7" t="s">
        <v>8</v>
      </c>
      <c r="F1903" s="7">
        <v>13.11</v>
      </c>
      <c r="G1903" s="7">
        <v>0</v>
      </c>
      <c r="H1903" s="7">
        <v>19448.880016016399</v>
      </c>
      <c r="I1903" s="7">
        <v>0</v>
      </c>
    </row>
    <row r="1904" spans="1:9" x14ac:dyDescent="0.2">
      <c r="A1904" s="7">
        <v>86769</v>
      </c>
      <c r="B1904" s="7">
        <v>2.7102190054996301E-2</v>
      </c>
      <c r="C1904" s="7">
        <v>7.4974238972806501E-2</v>
      </c>
      <c r="D1904" s="7">
        <v>10000</v>
      </c>
      <c r="E1904" s="7" t="s">
        <v>8</v>
      </c>
      <c r="F1904" s="7">
        <v>11.14</v>
      </c>
      <c r="G1904" s="7">
        <v>0</v>
      </c>
      <c r="H1904" s="7">
        <v>11809.758589023701</v>
      </c>
      <c r="I1904" s="7">
        <v>0</v>
      </c>
    </row>
    <row r="1905" spans="1:9" x14ac:dyDescent="0.2">
      <c r="A1905" s="7">
        <v>104554</v>
      </c>
      <c r="B1905" s="7">
        <v>-1.82207664060098E-3</v>
      </c>
      <c r="C1905" s="7">
        <v>8.4798680815203503E-2</v>
      </c>
      <c r="D1905" s="7">
        <v>30000</v>
      </c>
      <c r="E1905" s="7" t="s">
        <v>9</v>
      </c>
      <c r="F1905" s="7">
        <v>24.7</v>
      </c>
      <c r="G1905" s="7">
        <v>1</v>
      </c>
      <c r="H1905" s="7">
        <v>26727.15</v>
      </c>
      <c r="I1905" s="7">
        <v>3997.62</v>
      </c>
    </row>
    <row r="1906" spans="1:9" x14ac:dyDescent="0.2">
      <c r="A1906" s="7">
        <v>111489</v>
      </c>
      <c r="B1906" s="7">
        <v>2.5067016508855101E-2</v>
      </c>
      <c r="C1906" s="7">
        <v>7.4974238972806501E-2</v>
      </c>
      <c r="D1906" s="7">
        <v>8000</v>
      </c>
      <c r="E1906" s="7" t="s">
        <v>8</v>
      </c>
      <c r="F1906" s="7">
        <v>11.14</v>
      </c>
      <c r="G1906" s="7">
        <v>0</v>
      </c>
      <c r="H1906" s="7">
        <v>9096.0199324376008</v>
      </c>
      <c r="I1906" s="7">
        <v>0</v>
      </c>
    </row>
    <row r="1907" spans="1:9" x14ac:dyDescent="0.2">
      <c r="A1907" s="7">
        <v>38309</v>
      </c>
      <c r="B1907" s="7">
        <v>1.8004585680989401E-3</v>
      </c>
      <c r="C1907" s="7">
        <v>8.4798680815203503E-2</v>
      </c>
      <c r="D1907" s="7">
        <v>24925</v>
      </c>
      <c r="E1907" s="7" t="s">
        <v>5</v>
      </c>
      <c r="F1907" s="7">
        <v>15.88</v>
      </c>
      <c r="G1907" s="7">
        <v>1</v>
      </c>
      <c r="H1907" s="7">
        <v>17531.3</v>
      </c>
      <c r="I1907" s="7">
        <v>0</v>
      </c>
    </row>
    <row r="1908" spans="1:9" x14ac:dyDescent="0.2">
      <c r="A1908" s="7">
        <v>82906</v>
      </c>
      <c r="B1908" s="7">
        <v>3.1628217242640401E-2</v>
      </c>
      <c r="C1908" s="7">
        <v>7.4974238972806501E-2</v>
      </c>
      <c r="D1908" s="7">
        <v>11100</v>
      </c>
      <c r="E1908" s="7" t="s">
        <v>5</v>
      </c>
      <c r="F1908" s="7">
        <v>15.31</v>
      </c>
      <c r="G1908" s="7">
        <v>0</v>
      </c>
      <c r="H1908" s="7">
        <v>13608.120003262</v>
      </c>
      <c r="I1908" s="7">
        <v>0</v>
      </c>
    </row>
    <row r="1909" spans="1:9" x14ac:dyDescent="0.2">
      <c r="A1909" s="7">
        <v>136326</v>
      </c>
      <c r="B1909" s="7">
        <v>2.49058212421721E-2</v>
      </c>
      <c r="C1909" s="7">
        <v>8.1509172207196695E-2</v>
      </c>
      <c r="D1909" s="7">
        <v>12250</v>
      </c>
      <c r="E1909" s="7" t="s">
        <v>6</v>
      </c>
      <c r="F1909" s="7">
        <v>17.27</v>
      </c>
      <c r="G1909" s="7">
        <v>0</v>
      </c>
      <c r="H1909" s="7">
        <v>12767.8967737109</v>
      </c>
      <c r="I1909" s="7">
        <v>0</v>
      </c>
    </row>
    <row r="1910" spans="1:9" x14ac:dyDescent="0.2">
      <c r="A1910" s="7">
        <v>12181</v>
      </c>
      <c r="B1910" s="7">
        <v>3.6835680150584298E-2</v>
      </c>
      <c r="C1910" s="7">
        <v>7.4974238972806501E-2</v>
      </c>
      <c r="D1910" s="7">
        <v>3000</v>
      </c>
      <c r="E1910" s="7" t="s">
        <v>5</v>
      </c>
      <c r="F1910" s="7">
        <v>16.2</v>
      </c>
      <c r="G1910" s="7">
        <v>0</v>
      </c>
      <c r="H1910" s="7">
        <v>3040.5</v>
      </c>
      <c r="I1910" s="7">
        <v>0</v>
      </c>
    </row>
    <row r="1911" spans="1:9" x14ac:dyDescent="0.2">
      <c r="A1911" s="7">
        <v>69835</v>
      </c>
      <c r="B1911" s="7">
        <v>4.3259259538924399E-2</v>
      </c>
      <c r="C1911" s="7">
        <v>8.4798680815203503E-2</v>
      </c>
      <c r="D1911" s="7">
        <v>35000</v>
      </c>
      <c r="E1911" s="7" t="s">
        <v>5</v>
      </c>
      <c r="F1911" s="7">
        <v>15.31</v>
      </c>
      <c r="G1911" s="7">
        <v>1</v>
      </c>
      <c r="H1911" s="7">
        <v>35070.82</v>
      </c>
      <c r="I1911" s="7">
        <v>2170.0500000000002</v>
      </c>
    </row>
    <row r="1912" spans="1:9" x14ac:dyDescent="0.2">
      <c r="A1912" s="7">
        <v>16375</v>
      </c>
      <c r="B1912" s="7">
        <v>2.9395381263161199E-2</v>
      </c>
      <c r="C1912" s="7">
        <v>7.4974238972806501E-2</v>
      </c>
      <c r="D1912" s="7">
        <v>5500</v>
      </c>
      <c r="E1912" s="7" t="s">
        <v>5</v>
      </c>
      <c r="F1912" s="7">
        <v>14.3</v>
      </c>
      <c r="G1912" s="7">
        <v>1</v>
      </c>
      <c r="H1912" s="7">
        <v>943</v>
      </c>
      <c r="I1912" s="7">
        <v>0</v>
      </c>
    </row>
    <row r="1913" spans="1:9" x14ac:dyDescent="0.2">
      <c r="A1913" s="7">
        <v>45476</v>
      </c>
      <c r="B1913" s="7">
        <v>2.7835126220236199E-2</v>
      </c>
      <c r="C1913" s="7">
        <v>7.4974238972806501E-2</v>
      </c>
      <c r="D1913" s="7">
        <v>9450</v>
      </c>
      <c r="E1913" s="7" t="s">
        <v>7</v>
      </c>
      <c r="F1913" s="7">
        <v>21.6</v>
      </c>
      <c r="G1913" s="7">
        <v>0</v>
      </c>
      <c r="H1913" s="7">
        <v>12848.49</v>
      </c>
      <c r="I1913" s="7">
        <v>0</v>
      </c>
    </row>
    <row r="1914" spans="1:9" x14ac:dyDescent="0.2">
      <c r="A1914" s="7">
        <v>80947</v>
      </c>
      <c r="B1914" s="7">
        <v>-2.7051166060316099E-3</v>
      </c>
      <c r="C1914" s="7">
        <v>8.4798680815203503E-2</v>
      </c>
      <c r="D1914" s="7">
        <v>19575</v>
      </c>
      <c r="E1914" s="7" t="s">
        <v>5</v>
      </c>
      <c r="F1914" s="7">
        <v>15.8</v>
      </c>
      <c r="G1914" s="7">
        <v>0</v>
      </c>
      <c r="H1914" s="7">
        <v>26995.169983679902</v>
      </c>
      <c r="I1914" s="7">
        <v>0</v>
      </c>
    </row>
    <row r="1915" spans="1:9" x14ac:dyDescent="0.2">
      <c r="A1915" s="7">
        <v>32612</v>
      </c>
      <c r="B1915" s="7">
        <v>3.1447319184507397E-2</v>
      </c>
      <c r="C1915" s="7">
        <v>8.4798680815203503E-2</v>
      </c>
      <c r="D1915" s="7">
        <v>25000</v>
      </c>
      <c r="E1915" s="7" t="s">
        <v>7</v>
      </c>
      <c r="F1915" s="7">
        <v>21.6</v>
      </c>
      <c r="G1915" s="7">
        <v>1</v>
      </c>
      <c r="H1915" s="7">
        <v>10381.36</v>
      </c>
      <c r="I1915" s="7">
        <v>1834.96</v>
      </c>
    </row>
    <row r="1916" spans="1:9" x14ac:dyDescent="0.2">
      <c r="A1916" s="7">
        <v>142693</v>
      </c>
      <c r="B1916" s="7">
        <v>2.55551461691545E-2</v>
      </c>
      <c r="C1916" s="7">
        <v>7.4974238972806501E-2</v>
      </c>
      <c r="D1916" s="7">
        <v>4400</v>
      </c>
      <c r="E1916" s="7" t="s">
        <v>4</v>
      </c>
      <c r="F1916" s="7">
        <v>6.03</v>
      </c>
      <c r="G1916" s="7">
        <v>0</v>
      </c>
      <c r="H1916" s="7">
        <v>4422.6499999999996</v>
      </c>
      <c r="I1916" s="7">
        <v>0</v>
      </c>
    </row>
    <row r="1917" spans="1:9" x14ac:dyDescent="0.2">
      <c r="A1917" s="7">
        <v>120038</v>
      </c>
      <c r="B1917" s="7">
        <v>3.5006424252554097E-2</v>
      </c>
      <c r="C1917" s="7">
        <v>8.4798680815203503E-2</v>
      </c>
      <c r="D1917" s="7">
        <v>20000</v>
      </c>
      <c r="E1917" s="7" t="s">
        <v>6</v>
      </c>
      <c r="F1917" s="7">
        <v>18.489999999999998</v>
      </c>
      <c r="G1917" s="7">
        <v>0</v>
      </c>
      <c r="H1917" s="7">
        <v>22532.990802988599</v>
      </c>
      <c r="I1917" s="7">
        <v>0</v>
      </c>
    </row>
    <row r="1918" spans="1:9" x14ac:dyDescent="0.2">
      <c r="A1918" s="7">
        <v>58178</v>
      </c>
      <c r="B1918" s="7">
        <v>3.0324062760818001E-2</v>
      </c>
      <c r="C1918" s="7">
        <v>5.3944556304700297E-2</v>
      </c>
      <c r="D1918" s="7">
        <v>21000</v>
      </c>
      <c r="E1918" s="7" t="s">
        <v>4</v>
      </c>
      <c r="F1918" s="7">
        <v>7.9</v>
      </c>
      <c r="G1918" s="7">
        <v>0</v>
      </c>
      <c r="H1918" s="7">
        <v>23655.411133055099</v>
      </c>
      <c r="I1918" s="7">
        <v>0</v>
      </c>
    </row>
    <row r="1919" spans="1:9" x14ac:dyDescent="0.2">
      <c r="A1919" s="7">
        <v>51277</v>
      </c>
      <c r="B1919" s="7">
        <v>3.82162118242306E-2</v>
      </c>
      <c r="C1919" s="7">
        <v>8.1509172207196695E-2</v>
      </c>
      <c r="D1919" s="7">
        <v>11000</v>
      </c>
      <c r="E1919" s="7" t="s">
        <v>8</v>
      </c>
      <c r="F1919" s="7">
        <v>13.11</v>
      </c>
      <c r="G1919" s="7">
        <v>0</v>
      </c>
      <c r="H1919" s="7">
        <v>12339.538677091001</v>
      </c>
      <c r="I1919" s="7">
        <v>0</v>
      </c>
    </row>
    <row r="1920" spans="1:9" x14ac:dyDescent="0.2">
      <c r="A1920" s="7">
        <v>109594</v>
      </c>
      <c r="B1920" s="7">
        <v>2.4524055076046099E-2</v>
      </c>
      <c r="C1920" s="7">
        <v>8.1509172207196695E-2</v>
      </c>
      <c r="D1920" s="7">
        <v>9950</v>
      </c>
      <c r="E1920" s="7" t="s">
        <v>5</v>
      </c>
      <c r="F1920" s="7">
        <v>17.27</v>
      </c>
      <c r="G1920" s="7">
        <v>0</v>
      </c>
      <c r="H1920" s="7">
        <v>12818.9178557501</v>
      </c>
      <c r="I1920" s="7">
        <v>0</v>
      </c>
    </row>
    <row r="1921" spans="1:9" x14ac:dyDescent="0.2">
      <c r="A1921" s="7">
        <v>17549</v>
      </c>
      <c r="B1921" s="7">
        <v>2.5593933638134302E-2</v>
      </c>
      <c r="C1921" s="7">
        <v>8.4798680815203503E-2</v>
      </c>
      <c r="D1921" s="7">
        <v>23325</v>
      </c>
      <c r="E1921" s="7" t="s">
        <v>8</v>
      </c>
      <c r="F1921" s="7">
        <v>10.99</v>
      </c>
      <c r="G1921" s="7">
        <v>0</v>
      </c>
      <c r="H1921" s="7">
        <v>27272.890014996399</v>
      </c>
      <c r="I1921" s="7">
        <v>0</v>
      </c>
    </row>
    <row r="1922" spans="1:9" x14ac:dyDescent="0.2">
      <c r="A1922" s="7">
        <v>74460</v>
      </c>
      <c r="B1922" s="7">
        <v>3.9725452415538397E-2</v>
      </c>
      <c r="C1922" s="7">
        <v>7.4974238972806501E-2</v>
      </c>
      <c r="D1922" s="7">
        <v>12000</v>
      </c>
      <c r="E1922" s="7" t="s">
        <v>6</v>
      </c>
      <c r="F1922" s="7">
        <v>19.72</v>
      </c>
      <c r="G1922" s="7">
        <v>0</v>
      </c>
      <c r="H1922" s="7">
        <v>15228.25</v>
      </c>
      <c r="I1922" s="7">
        <v>0</v>
      </c>
    </row>
    <row r="1923" spans="1:9" x14ac:dyDescent="0.2">
      <c r="A1923" s="7">
        <v>25425</v>
      </c>
      <c r="B1923" s="7">
        <v>5.50618764237732E-2</v>
      </c>
      <c r="C1923" s="7">
        <v>5.3944556304700297E-2</v>
      </c>
      <c r="D1923" s="7">
        <v>12600</v>
      </c>
      <c r="E1923" s="7" t="s">
        <v>6</v>
      </c>
      <c r="F1923" s="7">
        <v>17.760000000000002</v>
      </c>
      <c r="G1923" s="7">
        <v>0</v>
      </c>
      <c r="H1923" s="7">
        <v>16196.5800046769</v>
      </c>
      <c r="I1923" s="7">
        <v>0</v>
      </c>
    </row>
    <row r="1924" spans="1:9" x14ac:dyDescent="0.2">
      <c r="A1924" s="7">
        <v>136874</v>
      </c>
      <c r="B1924" s="7">
        <v>1.06078510243188E-2</v>
      </c>
      <c r="C1924" s="7">
        <v>7.4974238972806501E-2</v>
      </c>
      <c r="D1924" s="7">
        <v>6000</v>
      </c>
      <c r="E1924" s="7" t="s">
        <v>4</v>
      </c>
      <c r="F1924" s="7">
        <v>6.03</v>
      </c>
      <c r="G1924" s="7">
        <v>0</v>
      </c>
      <c r="H1924" s="7">
        <v>6422.6037256784002</v>
      </c>
      <c r="I1924" s="7">
        <v>0</v>
      </c>
    </row>
    <row r="1925" spans="1:9" x14ac:dyDescent="0.2">
      <c r="A1925" s="7">
        <v>4274</v>
      </c>
      <c r="B1925" s="7">
        <v>2.98308484894871E-2</v>
      </c>
      <c r="C1925" s="7">
        <v>8.1509172207196695E-2</v>
      </c>
      <c r="D1925" s="7">
        <v>20000</v>
      </c>
      <c r="E1925" s="7" t="s">
        <v>8</v>
      </c>
      <c r="F1925" s="7">
        <v>12.85</v>
      </c>
      <c r="G1925" s="7">
        <v>0</v>
      </c>
      <c r="H1925" s="7">
        <v>21914.410564876998</v>
      </c>
      <c r="I1925" s="7">
        <v>0</v>
      </c>
    </row>
    <row r="1926" spans="1:9" x14ac:dyDescent="0.2">
      <c r="A1926" s="7">
        <v>6242</v>
      </c>
      <c r="B1926" s="7">
        <v>3.1235058410263399E-2</v>
      </c>
      <c r="C1926" s="7">
        <v>7.4974238972806501E-2</v>
      </c>
      <c r="D1926" s="7">
        <v>10000</v>
      </c>
      <c r="E1926" s="7" t="s">
        <v>8</v>
      </c>
      <c r="F1926" s="7">
        <v>9.67</v>
      </c>
      <c r="G1926" s="7">
        <v>0</v>
      </c>
      <c r="H1926" s="7">
        <v>11074.7300000016</v>
      </c>
      <c r="I1926" s="7">
        <v>0</v>
      </c>
    </row>
    <row r="1927" spans="1:9" x14ac:dyDescent="0.2">
      <c r="A1927" s="7">
        <v>141178</v>
      </c>
      <c r="B1927" s="7">
        <v>2.32411667852357E-2</v>
      </c>
      <c r="C1927" s="7">
        <v>7.4974238972806501E-2</v>
      </c>
      <c r="D1927" s="7">
        <v>12000</v>
      </c>
      <c r="E1927" s="7" t="s">
        <v>8</v>
      </c>
      <c r="F1927" s="7">
        <v>13.11</v>
      </c>
      <c r="G1927" s="7">
        <v>0</v>
      </c>
      <c r="H1927" s="7">
        <v>14578.639993037699</v>
      </c>
      <c r="I1927" s="7">
        <v>0</v>
      </c>
    </row>
    <row r="1928" spans="1:9" x14ac:dyDescent="0.2">
      <c r="A1928" s="7">
        <v>116683</v>
      </c>
      <c r="B1928" s="7">
        <v>2.1424025096231599E-3</v>
      </c>
      <c r="C1928" s="7">
        <v>8.4798680815203503E-2</v>
      </c>
      <c r="D1928" s="7">
        <v>24275</v>
      </c>
      <c r="E1928" s="7" t="s">
        <v>6</v>
      </c>
      <c r="F1928" s="7">
        <v>19.05</v>
      </c>
      <c r="G1928" s="7">
        <v>1</v>
      </c>
      <c r="H1928" s="7">
        <v>22094.82</v>
      </c>
      <c r="I1928" s="7">
        <v>32.35</v>
      </c>
    </row>
    <row r="1929" spans="1:9" x14ac:dyDescent="0.2">
      <c r="A1929" s="7">
        <v>144368</v>
      </c>
      <c r="B1929" s="7">
        <v>2.28027597764607E-2</v>
      </c>
      <c r="C1929" s="7">
        <v>7.4974238972806501E-2</v>
      </c>
      <c r="D1929" s="7">
        <v>7500</v>
      </c>
      <c r="E1929" s="7" t="s">
        <v>8</v>
      </c>
      <c r="F1929" s="7">
        <v>11.71</v>
      </c>
      <c r="G1929" s="7">
        <v>0</v>
      </c>
      <c r="H1929" s="7">
        <v>8880.9696530134006</v>
      </c>
      <c r="I1929" s="7">
        <v>0</v>
      </c>
    </row>
    <row r="1930" spans="1:9" x14ac:dyDescent="0.2">
      <c r="A1930" s="7">
        <v>19355</v>
      </c>
      <c r="B1930" s="7">
        <v>1.49027861250982E-2</v>
      </c>
      <c r="C1930" s="7">
        <v>5.3944556304700297E-2</v>
      </c>
      <c r="D1930" s="7">
        <v>21850</v>
      </c>
      <c r="E1930" s="7" t="s">
        <v>4</v>
      </c>
      <c r="F1930" s="7">
        <v>6.97</v>
      </c>
      <c r="G1930" s="7">
        <v>0</v>
      </c>
      <c r="H1930" s="7">
        <v>23895.8000161524</v>
      </c>
      <c r="I1930" s="7">
        <v>0</v>
      </c>
    </row>
    <row r="1931" spans="1:9" x14ac:dyDescent="0.2">
      <c r="A1931" s="7">
        <v>127417</v>
      </c>
      <c r="B1931" s="8">
        <v>4.8358406944608301E-5</v>
      </c>
      <c r="C1931" s="7">
        <v>8.4798680815203503E-2</v>
      </c>
      <c r="D1931" s="7">
        <v>21850</v>
      </c>
      <c r="E1931" s="7" t="s">
        <v>6</v>
      </c>
      <c r="F1931" s="7">
        <v>19.22</v>
      </c>
      <c r="G1931" s="7">
        <v>1</v>
      </c>
      <c r="H1931" s="7">
        <v>4978.8</v>
      </c>
      <c r="I1931" s="7">
        <v>427.2</v>
      </c>
    </row>
    <row r="1932" spans="1:9" x14ac:dyDescent="0.2">
      <c r="A1932" s="7">
        <v>104858</v>
      </c>
      <c r="B1932" s="7">
        <v>2.19313865761732E-2</v>
      </c>
      <c r="C1932" s="7">
        <v>7.4974238972806501E-2</v>
      </c>
      <c r="D1932" s="7">
        <v>14575</v>
      </c>
      <c r="E1932" s="7" t="s">
        <v>8</v>
      </c>
      <c r="F1932" s="7">
        <v>11.14</v>
      </c>
      <c r="G1932" s="7">
        <v>0</v>
      </c>
      <c r="H1932" s="7">
        <v>17212.771674920801</v>
      </c>
      <c r="I1932" s="7">
        <v>0</v>
      </c>
    </row>
    <row r="1933" spans="1:9" x14ac:dyDescent="0.2">
      <c r="A1933" s="7">
        <v>26776</v>
      </c>
      <c r="B1933" s="7">
        <v>2.0487863802590899E-2</v>
      </c>
      <c r="C1933" s="7">
        <v>5.3944556304700297E-2</v>
      </c>
      <c r="D1933" s="7">
        <v>24925</v>
      </c>
      <c r="E1933" s="7" t="s">
        <v>4</v>
      </c>
      <c r="F1933" s="7">
        <v>6.97</v>
      </c>
      <c r="G1933" s="7">
        <v>0</v>
      </c>
      <c r="H1933" s="7">
        <v>26314.481907502399</v>
      </c>
      <c r="I1933" s="7">
        <v>0</v>
      </c>
    </row>
    <row r="1934" spans="1:9" x14ac:dyDescent="0.2">
      <c r="A1934" s="7">
        <v>41362</v>
      </c>
      <c r="B1934" s="7">
        <v>3.0693710309191002E-2</v>
      </c>
      <c r="C1934" s="7">
        <v>8.1509172207196695E-2</v>
      </c>
      <c r="D1934" s="7">
        <v>12000</v>
      </c>
      <c r="E1934" s="7" t="s">
        <v>8</v>
      </c>
      <c r="F1934" s="7">
        <v>11.55</v>
      </c>
      <c r="G1934" s="7">
        <v>0</v>
      </c>
      <c r="H1934" s="7">
        <v>13201.969785674801</v>
      </c>
      <c r="I1934" s="7">
        <v>0</v>
      </c>
    </row>
    <row r="1935" spans="1:9" x14ac:dyDescent="0.2">
      <c r="A1935" s="7">
        <v>31530</v>
      </c>
      <c r="B1935" s="7">
        <v>2.1929612641444999E-2</v>
      </c>
      <c r="C1935" s="7">
        <v>7.7054178620260594E-2</v>
      </c>
      <c r="D1935" s="7">
        <v>9450</v>
      </c>
      <c r="E1935" s="7" t="s">
        <v>8</v>
      </c>
      <c r="F1935" s="7">
        <v>10.64</v>
      </c>
      <c r="G1935" s="7">
        <v>1</v>
      </c>
      <c r="H1935" s="7">
        <v>7999.53</v>
      </c>
      <c r="I1935" s="7">
        <v>0</v>
      </c>
    </row>
    <row r="1936" spans="1:9" x14ac:dyDescent="0.2">
      <c r="A1936" s="7">
        <v>26643</v>
      </c>
      <c r="B1936" s="7">
        <v>2.6767529472189202E-3</v>
      </c>
      <c r="C1936" s="7">
        <v>8.4798680815203503E-2</v>
      </c>
      <c r="D1936" s="7">
        <v>30000</v>
      </c>
      <c r="E1936" s="7" t="s">
        <v>7</v>
      </c>
      <c r="F1936" s="7">
        <v>21.7</v>
      </c>
      <c r="G1936" s="7">
        <v>0</v>
      </c>
      <c r="H1936" s="7">
        <v>43733.049951938003</v>
      </c>
      <c r="I1936" s="7">
        <v>0</v>
      </c>
    </row>
    <row r="1937" spans="1:9" x14ac:dyDescent="0.2">
      <c r="A1937" s="7">
        <v>6491</v>
      </c>
      <c r="B1937" s="7">
        <v>3.6323701262172998E-2</v>
      </c>
      <c r="C1937" s="7">
        <v>7.4974238972806501E-2</v>
      </c>
      <c r="D1937" s="7">
        <v>14000</v>
      </c>
      <c r="E1937" s="7" t="s">
        <v>5</v>
      </c>
      <c r="F1937" s="7">
        <v>15.1</v>
      </c>
      <c r="G1937" s="7">
        <v>0</v>
      </c>
      <c r="H1937" s="7">
        <v>16249.280001798301</v>
      </c>
      <c r="I1937" s="7">
        <v>0</v>
      </c>
    </row>
    <row r="1938" spans="1:9" x14ac:dyDescent="0.2">
      <c r="A1938" s="7">
        <v>30546</v>
      </c>
      <c r="B1938" s="7">
        <v>2.60033348770853E-2</v>
      </c>
      <c r="C1938" s="7">
        <v>8.1509172207196695E-2</v>
      </c>
      <c r="D1938" s="7">
        <v>5000</v>
      </c>
      <c r="E1938" s="7" t="s">
        <v>5</v>
      </c>
      <c r="F1938" s="7">
        <v>15.88</v>
      </c>
      <c r="G1938" s="7">
        <v>1</v>
      </c>
      <c r="H1938" s="7">
        <v>1579.41</v>
      </c>
      <c r="I1938" s="7">
        <v>0</v>
      </c>
    </row>
    <row r="1939" spans="1:9" x14ac:dyDescent="0.2">
      <c r="A1939" s="7">
        <v>73007</v>
      </c>
      <c r="B1939" s="7">
        <v>3.5831575857183599E-2</v>
      </c>
      <c r="C1939" s="7">
        <v>7.4974238972806501E-2</v>
      </c>
      <c r="D1939" s="7">
        <v>7000</v>
      </c>
      <c r="E1939" s="7" t="s">
        <v>8</v>
      </c>
      <c r="F1939" s="7">
        <v>12.12</v>
      </c>
      <c r="G1939" s="7">
        <v>1</v>
      </c>
      <c r="H1939" s="7">
        <v>2232.75</v>
      </c>
      <c r="I1939" s="7">
        <v>836.07</v>
      </c>
    </row>
    <row r="1940" spans="1:9" x14ac:dyDescent="0.2">
      <c r="A1940" s="7">
        <v>102292</v>
      </c>
      <c r="B1940" s="7">
        <v>-1.02519382076277E-3</v>
      </c>
      <c r="C1940" s="7">
        <v>8.4798680815203503E-2</v>
      </c>
      <c r="D1940" s="7">
        <v>35000</v>
      </c>
      <c r="E1940" s="7" t="s">
        <v>10</v>
      </c>
      <c r="F1940" s="7">
        <v>23.63</v>
      </c>
      <c r="G1940" s="7">
        <v>0</v>
      </c>
      <c r="H1940" s="7">
        <v>39042.206212047997</v>
      </c>
      <c r="I1940" s="7">
        <v>0</v>
      </c>
    </row>
    <row r="1941" spans="1:9" x14ac:dyDescent="0.2">
      <c r="A1941" s="7">
        <v>136555</v>
      </c>
      <c r="B1941" s="7">
        <v>4.1881955485455397E-2</v>
      </c>
      <c r="C1941" s="7">
        <v>8.4798680815203503E-2</v>
      </c>
      <c r="D1941" s="7">
        <v>25000</v>
      </c>
      <c r="E1941" s="7" t="s">
        <v>5</v>
      </c>
      <c r="F1941" s="7">
        <v>15.81</v>
      </c>
      <c r="G1941" s="7">
        <v>0</v>
      </c>
      <c r="H1941" s="7">
        <v>31489.269999998101</v>
      </c>
      <c r="I1941" s="7">
        <v>0</v>
      </c>
    </row>
    <row r="1942" spans="1:9" x14ac:dyDescent="0.2">
      <c r="A1942" s="7">
        <v>129255</v>
      </c>
      <c r="B1942" s="7">
        <v>2.3880948759495702E-2</v>
      </c>
      <c r="C1942" s="7">
        <v>8.1509172207196695E-2</v>
      </c>
      <c r="D1942" s="7">
        <v>10000</v>
      </c>
      <c r="E1942" s="7" t="s">
        <v>8</v>
      </c>
      <c r="F1942" s="7">
        <v>12.12</v>
      </c>
      <c r="G1942" s="7">
        <v>0</v>
      </c>
      <c r="H1942" s="7">
        <v>11976.4499999992</v>
      </c>
      <c r="I1942" s="7">
        <v>0</v>
      </c>
    </row>
    <row r="1943" spans="1:9" x14ac:dyDescent="0.2">
      <c r="A1943" s="7">
        <v>23435</v>
      </c>
      <c r="B1943" s="7">
        <v>3.3338025668104801E-2</v>
      </c>
      <c r="C1943" s="7">
        <v>7.4974238972806501E-2</v>
      </c>
      <c r="D1943" s="7">
        <v>3000</v>
      </c>
      <c r="E1943" s="7" t="s">
        <v>5</v>
      </c>
      <c r="F1943" s="7">
        <v>15.61</v>
      </c>
      <c r="G1943" s="7">
        <v>0</v>
      </c>
      <c r="H1943" s="7">
        <v>3464.17</v>
      </c>
      <c r="I1943" s="7">
        <v>0</v>
      </c>
    </row>
    <row r="1944" spans="1:9" x14ac:dyDescent="0.2">
      <c r="A1944" s="7">
        <v>49259</v>
      </c>
      <c r="B1944" s="7">
        <v>-3.6248820355925001E-3</v>
      </c>
      <c r="C1944" s="7">
        <v>8.1509172207196695E-2</v>
      </c>
      <c r="D1944" s="7">
        <v>14000</v>
      </c>
      <c r="E1944" s="7" t="s">
        <v>5</v>
      </c>
      <c r="F1944" s="7">
        <v>15.8</v>
      </c>
      <c r="G1944" s="7">
        <v>1</v>
      </c>
      <c r="H1944" s="7">
        <v>1353.08</v>
      </c>
      <c r="I1944" s="7">
        <v>0</v>
      </c>
    </row>
    <row r="1945" spans="1:9" x14ac:dyDescent="0.2">
      <c r="A1945" s="7">
        <v>49365</v>
      </c>
      <c r="B1945" s="7">
        <v>2.7565322746365601E-2</v>
      </c>
      <c r="C1945" s="7">
        <v>8.1509172207196695E-2</v>
      </c>
      <c r="D1945" s="7">
        <v>6000</v>
      </c>
      <c r="E1945" s="7" t="s">
        <v>6</v>
      </c>
      <c r="F1945" s="7">
        <v>17.77</v>
      </c>
      <c r="G1945" s="7">
        <v>0</v>
      </c>
      <c r="H1945" s="7">
        <v>7441.3932107556002</v>
      </c>
      <c r="I1945" s="7">
        <v>0</v>
      </c>
    </row>
    <row r="1946" spans="1:9" x14ac:dyDescent="0.2">
      <c r="A1946" s="7">
        <v>95912</v>
      </c>
      <c r="B1946" s="7">
        <v>2.92841885150937E-2</v>
      </c>
      <c r="C1946" s="7">
        <v>7.4974238972806501E-2</v>
      </c>
      <c r="D1946" s="7">
        <v>15000</v>
      </c>
      <c r="E1946" s="7" t="s">
        <v>8</v>
      </c>
      <c r="F1946" s="7">
        <v>11.14</v>
      </c>
      <c r="G1946" s="7">
        <v>0</v>
      </c>
      <c r="H1946" s="7">
        <v>17714.703022482699</v>
      </c>
      <c r="I1946" s="7">
        <v>0</v>
      </c>
    </row>
    <row r="1947" spans="1:9" x14ac:dyDescent="0.2">
      <c r="A1947" s="7">
        <v>55142</v>
      </c>
      <c r="B1947" s="7">
        <v>3.6534832695773102E-2</v>
      </c>
      <c r="C1947" s="7">
        <v>7.7054178620260594E-2</v>
      </c>
      <c r="D1947" s="7">
        <v>12000</v>
      </c>
      <c r="E1947" s="7" t="s">
        <v>5</v>
      </c>
      <c r="F1947" s="7">
        <v>14.33</v>
      </c>
      <c r="G1947" s="7">
        <v>1</v>
      </c>
      <c r="H1947" s="7">
        <v>7335.24</v>
      </c>
      <c r="I1947" s="7">
        <v>1987.58</v>
      </c>
    </row>
    <row r="1948" spans="1:9" x14ac:dyDescent="0.2">
      <c r="A1948" s="7">
        <v>67244</v>
      </c>
      <c r="B1948" s="7">
        <v>7.00085784646609E-3</v>
      </c>
      <c r="C1948" s="7">
        <v>8.4798680815203503E-2</v>
      </c>
      <c r="D1948" s="7">
        <v>32000</v>
      </c>
      <c r="E1948" s="7" t="s">
        <v>6</v>
      </c>
      <c r="F1948" s="7">
        <v>19.72</v>
      </c>
      <c r="G1948" s="7">
        <v>0</v>
      </c>
      <c r="H1948" s="7">
        <v>40594.301986475497</v>
      </c>
      <c r="I1948" s="7">
        <v>0</v>
      </c>
    </row>
    <row r="1949" spans="1:9" x14ac:dyDescent="0.2">
      <c r="A1949" s="7">
        <v>139186</v>
      </c>
      <c r="B1949" s="7">
        <v>2.9543155511843201E-2</v>
      </c>
      <c r="C1949" s="7">
        <v>7.4974238972806501E-2</v>
      </c>
      <c r="D1949" s="7">
        <v>12000</v>
      </c>
      <c r="E1949" s="7" t="s">
        <v>8</v>
      </c>
      <c r="F1949" s="7">
        <v>9.76</v>
      </c>
      <c r="G1949" s="7">
        <v>0</v>
      </c>
      <c r="H1949" s="7">
        <v>13753.6725242745</v>
      </c>
      <c r="I1949" s="7">
        <v>0</v>
      </c>
    </row>
    <row r="1950" spans="1:9" x14ac:dyDescent="0.2">
      <c r="A1950" s="7">
        <v>28760</v>
      </c>
      <c r="B1950" s="7">
        <v>6.1766306012426002E-4</v>
      </c>
      <c r="C1950" s="7">
        <v>8.4798680815203503E-2</v>
      </c>
      <c r="D1950" s="7">
        <v>19750</v>
      </c>
      <c r="E1950" s="7" t="s">
        <v>7</v>
      </c>
      <c r="F1950" s="7">
        <v>22.2</v>
      </c>
      <c r="G1950" s="7">
        <v>1</v>
      </c>
      <c r="H1950" s="7">
        <v>1779.97</v>
      </c>
      <c r="I1950" s="7">
        <v>0</v>
      </c>
    </row>
    <row r="1951" spans="1:9" x14ac:dyDescent="0.2">
      <c r="A1951" s="7">
        <v>80184</v>
      </c>
      <c r="B1951" s="7">
        <v>5.6775317129896504E-3</v>
      </c>
      <c r="C1951" s="7">
        <v>5.3944556304700297E-2</v>
      </c>
      <c r="D1951" s="7">
        <v>16800</v>
      </c>
      <c r="E1951" s="7" t="s">
        <v>6</v>
      </c>
      <c r="F1951" s="7">
        <v>17.77</v>
      </c>
      <c r="G1951" s="7">
        <v>0</v>
      </c>
      <c r="H1951" s="7">
        <v>22722.959988156701</v>
      </c>
      <c r="I1951" s="7">
        <v>0</v>
      </c>
    </row>
    <row r="1952" spans="1:9" x14ac:dyDescent="0.2">
      <c r="A1952" s="7">
        <v>116583</v>
      </c>
      <c r="B1952" s="7">
        <v>3.4298266589248699E-2</v>
      </c>
      <c r="C1952" s="7">
        <v>8.1509172207196695E-2</v>
      </c>
      <c r="D1952" s="7">
        <v>3000</v>
      </c>
      <c r="E1952" s="7" t="s">
        <v>5</v>
      </c>
      <c r="F1952" s="7">
        <v>15.8</v>
      </c>
      <c r="G1952" s="7">
        <v>0</v>
      </c>
      <c r="H1952" s="7">
        <v>3786.2569584432999</v>
      </c>
      <c r="I1952" s="7">
        <v>0</v>
      </c>
    </row>
    <row r="1953" spans="1:9" x14ac:dyDescent="0.2">
      <c r="A1953" s="7">
        <v>136241</v>
      </c>
      <c r="B1953" s="7">
        <v>2.8601922237418798E-2</v>
      </c>
      <c r="C1953" s="7">
        <v>7.4974238972806501E-2</v>
      </c>
      <c r="D1953" s="7">
        <v>12000</v>
      </c>
      <c r="E1953" s="7" t="s">
        <v>4</v>
      </c>
      <c r="F1953" s="7">
        <v>6.62</v>
      </c>
      <c r="G1953" s="7">
        <v>0</v>
      </c>
      <c r="H1953" s="7">
        <v>13263.9599979792</v>
      </c>
      <c r="I1953" s="7">
        <v>0</v>
      </c>
    </row>
    <row r="1954" spans="1:9" x14ac:dyDescent="0.2">
      <c r="A1954" s="7">
        <v>97743</v>
      </c>
      <c r="B1954" s="7">
        <v>3.4791975890476397E-2</v>
      </c>
      <c r="C1954" s="7">
        <v>8.1509172207196695E-2</v>
      </c>
      <c r="D1954" s="7">
        <v>10000</v>
      </c>
      <c r="E1954" s="7" t="s">
        <v>6</v>
      </c>
      <c r="F1954" s="7">
        <v>17.77</v>
      </c>
      <c r="G1954" s="7">
        <v>0</v>
      </c>
      <c r="H1954" s="7">
        <v>12973.2659016615</v>
      </c>
      <c r="I1954" s="7">
        <v>0</v>
      </c>
    </row>
    <row r="1955" spans="1:9" x14ac:dyDescent="0.2">
      <c r="A1955" s="7">
        <v>110232</v>
      </c>
      <c r="B1955" s="7">
        <v>1.5840176244335102E-2</v>
      </c>
      <c r="C1955" s="7">
        <v>8.1509172207196695E-2</v>
      </c>
      <c r="D1955" s="7">
        <v>12000</v>
      </c>
      <c r="E1955" s="7" t="s">
        <v>4</v>
      </c>
      <c r="F1955" s="7">
        <v>7.62</v>
      </c>
      <c r="G1955" s="7">
        <v>0</v>
      </c>
      <c r="H1955" s="7">
        <v>13462.791848528999</v>
      </c>
      <c r="I1955" s="7">
        <v>0</v>
      </c>
    </row>
    <row r="1956" spans="1:9" x14ac:dyDescent="0.2">
      <c r="A1956" s="7">
        <v>45760</v>
      </c>
      <c r="B1956" s="7">
        <v>4.07923932300744E-2</v>
      </c>
      <c r="C1956" s="7">
        <v>8.1509172207196695E-2</v>
      </c>
      <c r="D1956" s="7">
        <v>7000</v>
      </c>
      <c r="E1956" s="7" t="s">
        <v>6</v>
      </c>
      <c r="F1956" s="7">
        <v>17.559999999999999</v>
      </c>
      <c r="G1956" s="7">
        <v>0</v>
      </c>
      <c r="H1956" s="7">
        <v>8809.1500021721004</v>
      </c>
      <c r="I1956" s="7">
        <v>0</v>
      </c>
    </row>
    <row r="1957" spans="1:9" x14ac:dyDescent="0.2">
      <c r="A1957" s="7">
        <v>42980</v>
      </c>
      <c r="B1957" s="7">
        <v>4.07938311126331E-2</v>
      </c>
      <c r="C1957" s="7">
        <v>8.4798680815203503E-2</v>
      </c>
      <c r="D1957" s="7">
        <v>33000</v>
      </c>
      <c r="E1957" s="7" t="s">
        <v>8</v>
      </c>
      <c r="F1957" s="7">
        <v>12.35</v>
      </c>
      <c r="G1957" s="7">
        <v>0</v>
      </c>
      <c r="H1957" s="7">
        <v>35492.845986376298</v>
      </c>
      <c r="I1957" s="7">
        <v>0</v>
      </c>
    </row>
    <row r="1958" spans="1:9" x14ac:dyDescent="0.2">
      <c r="A1958" s="7">
        <v>8204</v>
      </c>
      <c r="B1958" s="7">
        <v>-3.8309964981918698E-3</v>
      </c>
      <c r="C1958" s="7">
        <v>8.1509172207196695E-2</v>
      </c>
      <c r="D1958" s="7">
        <v>15875</v>
      </c>
      <c r="E1958" s="7" t="s">
        <v>5</v>
      </c>
      <c r="F1958" s="7">
        <v>15.61</v>
      </c>
      <c r="G1958" s="7">
        <v>0</v>
      </c>
      <c r="H1958" s="7">
        <v>18631.969980697901</v>
      </c>
      <c r="I1958" s="7">
        <v>0</v>
      </c>
    </row>
    <row r="1959" spans="1:9" x14ac:dyDescent="0.2">
      <c r="A1959" s="7">
        <v>108477</v>
      </c>
      <c r="B1959" s="7">
        <v>3.2194549769935998E-3</v>
      </c>
      <c r="C1959" s="7">
        <v>7.4974238972806501E-2</v>
      </c>
      <c r="D1959" s="7">
        <v>17000</v>
      </c>
      <c r="E1959" s="7" t="s">
        <v>5</v>
      </c>
      <c r="F1959" s="7">
        <v>17.27</v>
      </c>
      <c r="G1959" s="7">
        <v>1</v>
      </c>
      <c r="H1959" s="7">
        <v>21586.41</v>
      </c>
      <c r="I1959" s="7">
        <v>395.45</v>
      </c>
    </row>
    <row r="1960" spans="1:9" x14ac:dyDescent="0.2">
      <c r="A1960" s="7">
        <v>125184</v>
      </c>
      <c r="B1960" s="7">
        <v>3.4002920810251698E-2</v>
      </c>
      <c r="C1960" s="7">
        <v>8.1509172207196695E-2</v>
      </c>
      <c r="D1960" s="7">
        <v>4775</v>
      </c>
      <c r="E1960" s="7" t="s">
        <v>8</v>
      </c>
      <c r="F1960" s="7">
        <v>12.12</v>
      </c>
      <c r="G1960" s="7">
        <v>0</v>
      </c>
      <c r="H1960" s="7">
        <v>5719.3500009416002</v>
      </c>
      <c r="I1960" s="7">
        <v>0</v>
      </c>
    </row>
    <row r="1961" spans="1:9" x14ac:dyDescent="0.2">
      <c r="A1961" s="7">
        <v>85847</v>
      </c>
      <c r="B1961" s="7">
        <v>1.7395939787986101E-3</v>
      </c>
      <c r="C1961" s="7">
        <v>8.4798680815203503E-2</v>
      </c>
      <c r="D1961" s="7">
        <v>23350</v>
      </c>
      <c r="E1961" s="7" t="s">
        <v>5</v>
      </c>
      <c r="F1961" s="7">
        <v>17.27</v>
      </c>
      <c r="G1961" s="7">
        <v>1</v>
      </c>
      <c r="H1961" s="7">
        <v>18087.93</v>
      </c>
      <c r="I1961" s="7">
        <v>0</v>
      </c>
    </row>
    <row r="1962" spans="1:9" x14ac:dyDescent="0.2">
      <c r="A1962" s="7">
        <v>74266</v>
      </c>
      <c r="B1962" s="7">
        <v>-3.0568001478062101E-3</v>
      </c>
      <c r="C1962" s="7">
        <v>8.4798680815203503E-2</v>
      </c>
      <c r="D1962" s="7">
        <v>29700</v>
      </c>
      <c r="E1962" s="7" t="s">
        <v>8</v>
      </c>
      <c r="F1962" s="7">
        <v>12.12</v>
      </c>
      <c r="G1962" s="7">
        <v>1</v>
      </c>
      <c r="H1962" s="7">
        <v>10232.4</v>
      </c>
      <c r="I1962" s="7">
        <v>3627.2</v>
      </c>
    </row>
    <row r="1963" spans="1:9" x14ac:dyDescent="0.2">
      <c r="A1963" s="7">
        <v>70838</v>
      </c>
      <c r="B1963" s="7">
        <v>3.4155622896165902E-2</v>
      </c>
      <c r="C1963" s="7">
        <v>8.4798680815203503E-2</v>
      </c>
      <c r="D1963" s="7">
        <v>35000</v>
      </c>
      <c r="E1963" s="7" t="s">
        <v>5</v>
      </c>
      <c r="F1963" s="7">
        <v>16.29</v>
      </c>
      <c r="G1963" s="7">
        <v>0</v>
      </c>
      <c r="H1963" s="7">
        <v>44478.402564835596</v>
      </c>
      <c r="I1963" s="7">
        <v>0</v>
      </c>
    </row>
    <row r="1964" spans="1:9" x14ac:dyDescent="0.2">
      <c r="A1964" s="7">
        <v>36754</v>
      </c>
      <c r="B1964" s="7">
        <v>2.3331812618883702E-2</v>
      </c>
      <c r="C1964" s="7">
        <v>7.4974238972806501E-2</v>
      </c>
      <c r="D1964" s="7">
        <v>6000</v>
      </c>
      <c r="E1964" s="7" t="s">
        <v>8</v>
      </c>
      <c r="F1964" s="7">
        <v>11.55</v>
      </c>
      <c r="G1964" s="7">
        <v>1</v>
      </c>
      <c r="H1964" s="7">
        <v>3510.47</v>
      </c>
      <c r="I1964" s="7">
        <v>528.11</v>
      </c>
    </row>
    <row r="1965" spans="1:9" x14ac:dyDescent="0.2">
      <c r="A1965" s="7">
        <v>98441</v>
      </c>
      <c r="B1965" s="7">
        <v>3.6229096406762598E-2</v>
      </c>
      <c r="C1965" s="7">
        <v>8.1509172207196695E-2</v>
      </c>
      <c r="D1965" s="7">
        <v>10000</v>
      </c>
      <c r="E1965" s="7" t="s">
        <v>8</v>
      </c>
      <c r="F1965" s="7">
        <v>11.14</v>
      </c>
      <c r="G1965" s="7">
        <v>0</v>
      </c>
      <c r="H1965" s="7">
        <v>11814.7699999995</v>
      </c>
      <c r="I1965" s="7">
        <v>0</v>
      </c>
    </row>
    <row r="1966" spans="1:9" x14ac:dyDescent="0.2">
      <c r="A1966" s="7">
        <v>143306</v>
      </c>
      <c r="B1966" s="7">
        <v>1.6608812748092099E-2</v>
      </c>
      <c r="C1966" s="7">
        <v>7.4974238972806501E-2</v>
      </c>
      <c r="D1966" s="7">
        <v>12000</v>
      </c>
      <c r="E1966" s="7" t="s">
        <v>8</v>
      </c>
      <c r="F1966" s="7">
        <v>12.42</v>
      </c>
      <c r="G1966" s="7">
        <v>1</v>
      </c>
      <c r="H1966" s="7">
        <v>11277.42</v>
      </c>
      <c r="I1966" s="7">
        <v>62.95</v>
      </c>
    </row>
    <row r="1967" spans="1:9" x14ac:dyDescent="0.2">
      <c r="A1967" s="7">
        <v>123476</v>
      </c>
      <c r="B1967" s="7">
        <v>3.7464310785522897E-2</v>
      </c>
      <c r="C1967" s="7">
        <v>5.3944556304700297E-2</v>
      </c>
      <c r="D1967" s="7">
        <v>11700</v>
      </c>
      <c r="E1967" s="7" t="s">
        <v>8</v>
      </c>
      <c r="F1967" s="7">
        <v>11.14</v>
      </c>
      <c r="G1967" s="7">
        <v>0</v>
      </c>
      <c r="H1967" s="7">
        <v>12313.0174222895</v>
      </c>
      <c r="I1967" s="7">
        <v>0</v>
      </c>
    </row>
    <row r="1968" spans="1:9" x14ac:dyDescent="0.2">
      <c r="A1968" s="7">
        <v>104337</v>
      </c>
      <c r="B1968" s="7">
        <v>3.3714583784207802E-2</v>
      </c>
      <c r="C1968" s="7">
        <v>7.4974238972806501E-2</v>
      </c>
      <c r="D1968" s="7">
        <v>12000</v>
      </c>
      <c r="E1968" s="7" t="s">
        <v>6</v>
      </c>
      <c r="F1968" s="7">
        <v>17.77</v>
      </c>
      <c r="G1968" s="7">
        <v>0</v>
      </c>
      <c r="H1968" s="7">
        <v>15567.9857120738</v>
      </c>
      <c r="I1968" s="7">
        <v>0</v>
      </c>
    </row>
    <row r="1969" spans="1:9" x14ac:dyDescent="0.2">
      <c r="A1969" s="7">
        <v>77423</v>
      </c>
      <c r="B1969" s="7">
        <v>2.42136502133227E-2</v>
      </c>
      <c r="C1969" s="7">
        <v>7.4974238972806501E-2</v>
      </c>
      <c r="D1969" s="7">
        <v>15000</v>
      </c>
      <c r="E1969" s="7" t="s">
        <v>8</v>
      </c>
      <c r="F1969" s="7">
        <v>10.16</v>
      </c>
      <c r="G1969" s="7">
        <v>0</v>
      </c>
      <c r="H1969" s="7">
        <v>16131.1735921896</v>
      </c>
      <c r="I1969" s="7">
        <v>0</v>
      </c>
    </row>
    <row r="1970" spans="1:9" x14ac:dyDescent="0.2">
      <c r="A1970" s="7">
        <v>63372</v>
      </c>
      <c r="B1970" s="7">
        <v>1.7344592173523899E-2</v>
      </c>
      <c r="C1970" s="7">
        <v>5.3944556304700297E-2</v>
      </c>
      <c r="D1970" s="7">
        <v>22900</v>
      </c>
      <c r="E1970" s="7" t="s">
        <v>4</v>
      </c>
      <c r="F1970" s="7">
        <v>7.62</v>
      </c>
      <c r="G1970" s="7">
        <v>0</v>
      </c>
      <c r="H1970" s="7">
        <v>25689.4042866901</v>
      </c>
      <c r="I1970" s="7">
        <v>0</v>
      </c>
    </row>
    <row r="1971" spans="1:9" x14ac:dyDescent="0.2">
      <c r="A1971" s="7">
        <v>48678</v>
      </c>
      <c r="B1971" s="7">
        <v>2.5691725948732601E-2</v>
      </c>
      <c r="C1971" s="7">
        <v>8.1509172207196695E-2</v>
      </c>
      <c r="D1971" s="7">
        <v>15600</v>
      </c>
      <c r="E1971" s="7" t="s">
        <v>8</v>
      </c>
      <c r="F1971" s="7">
        <v>10.16</v>
      </c>
      <c r="G1971" s="7">
        <v>0</v>
      </c>
      <c r="H1971" s="7">
        <v>16775.6369338068</v>
      </c>
      <c r="I1971" s="7">
        <v>0</v>
      </c>
    </row>
    <row r="1972" spans="1:9" x14ac:dyDescent="0.2">
      <c r="A1972" s="7">
        <v>137943</v>
      </c>
      <c r="B1972" s="7">
        <v>3.0449603635363399E-2</v>
      </c>
      <c r="C1972" s="7">
        <v>8.1509172207196695E-2</v>
      </c>
      <c r="D1972" s="7">
        <v>6000</v>
      </c>
      <c r="E1972" s="7" t="s">
        <v>8</v>
      </c>
      <c r="F1972" s="7">
        <v>12.12</v>
      </c>
      <c r="G1972" s="7">
        <v>0</v>
      </c>
      <c r="H1972" s="7">
        <v>7186.6800027229001</v>
      </c>
      <c r="I1972" s="7">
        <v>0</v>
      </c>
    </row>
    <row r="1973" spans="1:9" x14ac:dyDescent="0.2">
      <c r="A1973" s="7">
        <v>26843</v>
      </c>
      <c r="B1973" s="7">
        <v>6.49770949713252E-3</v>
      </c>
      <c r="C1973" s="7">
        <v>8.1509172207196695E-2</v>
      </c>
      <c r="D1973" s="7">
        <v>10000</v>
      </c>
      <c r="E1973" s="7" t="s">
        <v>5</v>
      </c>
      <c r="F1973" s="7">
        <v>17.100000000000001</v>
      </c>
      <c r="G1973" s="7">
        <v>1</v>
      </c>
      <c r="H1973" s="7">
        <v>6724.29</v>
      </c>
      <c r="I1973" s="7">
        <v>0</v>
      </c>
    </row>
    <row r="1974" spans="1:9" x14ac:dyDescent="0.2">
      <c r="A1974" s="7">
        <v>119512</v>
      </c>
      <c r="B1974" s="7">
        <v>-6.7812852570644404E-4</v>
      </c>
      <c r="C1974" s="7">
        <v>8.1509172207196695E-2</v>
      </c>
      <c r="D1974" s="7">
        <v>5500</v>
      </c>
      <c r="E1974" s="7" t="s">
        <v>6</v>
      </c>
      <c r="F1974" s="7">
        <v>19.72</v>
      </c>
      <c r="G1974" s="7">
        <v>0</v>
      </c>
      <c r="H1974" s="7">
        <v>8122.4699895570002</v>
      </c>
      <c r="I1974" s="7">
        <v>0</v>
      </c>
    </row>
    <row r="1975" spans="1:9" x14ac:dyDescent="0.2">
      <c r="A1975" s="7">
        <v>118753</v>
      </c>
      <c r="B1975" s="7">
        <v>2.22721633319405E-2</v>
      </c>
      <c r="C1975" s="7">
        <v>7.4974238972806501E-2</v>
      </c>
      <c r="D1975" s="7">
        <v>7125</v>
      </c>
      <c r="E1975" s="7" t="s">
        <v>4</v>
      </c>
      <c r="F1975" s="7">
        <v>7.62</v>
      </c>
      <c r="G1975" s="7">
        <v>0</v>
      </c>
      <c r="H1975" s="7">
        <v>7992.8659809224</v>
      </c>
      <c r="I1975" s="7">
        <v>0</v>
      </c>
    </row>
    <row r="1976" spans="1:9" x14ac:dyDescent="0.2">
      <c r="A1976" s="7">
        <v>5810</v>
      </c>
      <c r="B1976" s="7">
        <v>2.9493187960494702E-2</v>
      </c>
      <c r="C1976" s="7">
        <v>7.4974238972806501E-2</v>
      </c>
      <c r="D1976" s="7">
        <v>4300</v>
      </c>
      <c r="E1976" s="7" t="s">
        <v>6</v>
      </c>
      <c r="F1976" s="7">
        <v>17.760000000000002</v>
      </c>
      <c r="G1976" s="7">
        <v>0</v>
      </c>
      <c r="H1976" s="7">
        <v>5050.0500005262002</v>
      </c>
      <c r="I1976" s="7">
        <v>0</v>
      </c>
    </row>
    <row r="1977" spans="1:9" x14ac:dyDescent="0.2">
      <c r="A1977" s="7">
        <v>92092</v>
      </c>
      <c r="B1977" s="7">
        <v>3.6257804512047499E-2</v>
      </c>
      <c r="C1977" s="7">
        <v>7.7054178620260594E-2</v>
      </c>
      <c r="D1977" s="7">
        <v>6000</v>
      </c>
      <c r="E1977" s="7" t="s">
        <v>8</v>
      </c>
      <c r="F1977" s="7">
        <v>14.09</v>
      </c>
      <c r="G1977" s="7">
        <v>0</v>
      </c>
      <c r="H1977" s="7">
        <v>7391.7976725156004</v>
      </c>
      <c r="I1977" s="7">
        <v>0</v>
      </c>
    </row>
    <row r="1978" spans="1:9" x14ac:dyDescent="0.2">
      <c r="A1978" s="7">
        <v>16166</v>
      </c>
      <c r="B1978" s="7">
        <v>2.6154429825228E-2</v>
      </c>
      <c r="C1978" s="7">
        <v>7.7054178620260594E-2</v>
      </c>
      <c r="D1978" s="7">
        <v>6250</v>
      </c>
      <c r="E1978" s="7" t="s">
        <v>8</v>
      </c>
      <c r="F1978" s="7">
        <v>13.67</v>
      </c>
      <c r="G1978" s="7">
        <v>0</v>
      </c>
      <c r="H1978" s="7">
        <v>6993.9117021472002</v>
      </c>
      <c r="I1978" s="7">
        <v>0</v>
      </c>
    </row>
    <row r="1979" spans="1:9" x14ac:dyDescent="0.2">
      <c r="A1979" s="7">
        <v>95413</v>
      </c>
      <c r="B1979" s="7">
        <v>3.10441031904439E-2</v>
      </c>
      <c r="C1979" s="7">
        <v>8.1509172207196695E-2</v>
      </c>
      <c r="D1979" s="7">
        <v>7500</v>
      </c>
      <c r="E1979" s="7" t="s">
        <v>5</v>
      </c>
      <c r="F1979" s="7">
        <v>17.27</v>
      </c>
      <c r="G1979" s="7">
        <v>0</v>
      </c>
      <c r="H1979" s="7">
        <v>8293.0425183418993</v>
      </c>
      <c r="I1979" s="7">
        <v>0</v>
      </c>
    </row>
    <row r="1980" spans="1:9" x14ac:dyDescent="0.2">
      <c r="A1980" s="7">
        <v>22182</v>
      </c>
      <c r="B1980" s="7">
        <v>1.6583505598930601E-2</v>
      </c>
      <c r="C1980" s="7">
        <v>7.4974238972806501E-2</v>
      </c>
      <c r="D1980" s="7">
        <v>3500</v>
      </c>
      <c r="E1980" s="7" t="s">
        <v>4</v>
      </c>
      <c r="F1980" s="7">
        <v>7.62</v>
      </c>
      <c r="G1980" s="7">
        <v>0</v>
      </c>
      <c r="H1980" s="7">
        <v>3858.17</v>
      </c>
      <c r="I1980" s="7">
        <v>0</v>
      </c>
    </row>
    <row r="1981" spans="1:9" x14ac:dyDescent="0.2">
      <c r="A1981" s="7">
        <v>96267</v>
      </c>
      <c r="B1981" s="7">
        <v>2.7929863562804701E-2</v>
      </c>
      <c r="C1981" s="7">
        <v>8.1509172207196695E-2</v>
      </c>
      <c r="D1981" s="7">
        <v>11100</v>
      </c>
      <c r="E1981" s="7" t="s">
        <v>5</v>
      </c>
      <c r="F1981" s="7">
        <v>14.33</v>
      </c>
      <c r="G1981" s="7">
        <v>0</v>
      </c>
      <c r="H1981" s="7">
        <v>13455.790012717</v>
      </c>
      <c r="I1981" s="7">
        <v>0</v>
      </c>
    </row>
    <row r="1982" spans="1:9" x14ac:dyDescent="0.2">
      <c r="A1982" s="7">
        <v>46176</v>
      </c>
      <c r="B1982" s="7">
        <v>3.010157834728E-2</v>
      </c>
      <c r="C1982" s="7">
        <v>7.4974238972806501E-2</v>
      </c>
      <c r="D1982" s="7">
        <v>14300</v>
      </c>
      <c r="E1982" s="7" t="s">
        <v>5</v>
      </c>
      <c r="F1982" s="7">
        <v>13.68</v>
      </c>
      <c r="G1982" s="7">
        <v>0</v>
      </c>
      <c r="H1982" s="7">
        <v>15759.1</v>
      </c>
      <c r="I1982" s="7">
        <v>0</v>
      </c>
    </row>
    <row r="1983" spans="1:9" x14ac:dyDescent="0.2">
      <c r="A1983" s="7">
        <v>132855</v>
      </c>
      <c r="B1983" s="7">
        <v>9.2952088941652897E-3</v>
      </c>
      <c r="C1983" s="7">
        <v>8.4798680815203503E-2</v>
      </c>
      <c r="D1983" s="7">
        <v>22000</v>
      </c>
      <c r="E1983" s="7" t="s">
        <v>6</v>
      </c>
      <c r="F1983" s="7">
        <v>19.22</v>
      </c>
      <c r="G1983" s="7">
        <v>0</v>
      </c>
      <c r="H1983" s="7">
        <v>30088.501621823201</v>
      </c>
      <c r="I1983" s="7">
        <v>0</v>
      </c>
    </row>
    <row r="1984" spans="1:9" x14ac:dyDescent="0.2">
      <c r="A1984" s="7">
        <v>10900</v>
      </c>
      <c r="B1984" s="7">
        <v>2.3431923537319502E-2</v>
      </c>
      <c r="C1984" s="7">
        <v>8.1509172207196695E-2</v>
      </c>
      <c r="D1984" s="7">
        <v>15350</v>
      </c>
      <c r="E1984" s="7" t="s">
        <v>8</v>
      </c>
      <c r="F1984" s="7">
        <v>10.99</v>
      </c>
      <c r="G1984" s="7">
        <v>0</v>
      </c>
      <c r="H1984" s="7">
        <v>17901.670004334799</v>
      </c>
      <c r="I1984" s="7">
        <v>0</v>
      </c>
    </row>
    <row r="1985" spans="1:9" x14ac:dyDescent="0.2">
      <c r="A1985" s="7">
        <v>134849</v>
      </c>
      <c r="B1985" s="7">
        <v>4.7466840000148697E-2</v>
      </c>
      <c r="C1985" s="7">
        <v>5.3944556304700297E-2</v>
      </c>
      <c r="D1985" s="7">
        <v>8500</v>
      </c>
      <c r="E1985" s="7" t="s">
        <v>5</v>
      </c>
      <c r="F1985" s="7">
        <v>13.99</v>
      </c>
      <c r="G1985" s="7">
        <v>0</v>
      </c>
      <c r="H1985" s="7">
        <v>9862.8847956284008</v>
      </c>
      <c r="I1985" s="7">
        <v>0</v>
      </c>
    </row>
    <row r="1986" spans="1:9" x14ac:dyDescent="0.2">
      <c r="A1986" s="7">
        <v>128699</v>
      </c>
      <c r="B1986" s="7">
        <v>2.9026928591412898E-2</v>
      </c>
      <c r="C1986" s="7">
        <v>7.4974238972806501E-2</v>
      </c>
      <c r="D1986" s="7">
        <v>6000</v>
      </c>
      <c r="E1986" s="7" t="s">
        <v>4</v>
      </c>
      <c r="F1986" s="7">
        <v>7.9</v>
      </c>
      <c r="G1986" s="7">
        <v>0</v>
      </c>
      <c r="H1986" s="7">
        <v>6753.6500011319004</v>
      </c>
      <c r="I1986" s="7">
        <v>0</v>
      </c>
    </row>
    <row r="1987" spans="1:9" x14ac:dyDescent="0.2">
      <c r="A1987" s="7">
        <v>80289</v>
      </c>
      <c r="B1987" s="7">
        <v>3.3850421998579003E-2</v>
      </c>
      <c r="C1987" s="7">
        <v>5.3944556304700297E-2</v>
      </c>
      <c r="D1987" s="7">
        <v>21000</v>
      </c>
      <c r="E1987" s="7" t="s">
        <v>8</v>
      </c>
      <c r="F1987" s="7">
        <v>13.11</v>
      </c>
      <c r="G1987" s="7">
        <v>0</v>
      </c>
      <c r="H1987" s="7">
        <v>25363.830009155899</v>
      </c>
      <c r="I1987" s="7">
        <v>0</v>
      </c>
    </row>
    <row r="1988" spans="1:9" x14ac:dyDescent="0.2">
      <c r="A1988" s="7">
        <v>79981</v>
      </c>
      <c r="B1988" s="7">
        <v>4.0794224536727403E-2</v>
      </c>
      <c r="C1988" s="7">
        <v>7.4974238972806501E-2</v>
      </c>
      <c r="D1988" s="7">
        <v>4800</v>
      </c>
      <c r="E1988" s="7" t="s">
        <v>8</v>
      </c>
      <c r="F1988" s="7">
        <v>12.12</v>
      </c>
      <c r="G1988" s="7">
        <v>0</v>
      </c>
      <c r="H1988" s="7">
        <v>5073.8</v>
      </c>
      <c r="I1988" s="7">
        <v>0</v>
      </c>
    </row>
    <row r="1989" spans="1:9" x14ac:dyDescent="0.2">
      <c r="A1989" s="7">
        <v>24983</v>
      </c>
      <c r="B1989" s="7">
        <v>5.11501541737318E-3</v>
      </c>
      <c r="C1989" s="7">
        <v>7.7054178620260594E-2</v>
      </c>
      <c r="D1989" s="7">
        <v>15000</v>
      </c>
      <c r="E1989" s="7" t="s">
        <v>6</v>
      </c>
      <c r="F1989" s="7">
        <v>17.760000000000002</v>
      </c>
      <c r="G1989" s="7">
        <v>0</v>
      </c>
      <c r="H1989" s="7">
        <v>17308.398841123199</v>
      </c>
      <c r="I1989" s="7">
        <v>0</v>
      </c>
    </row>
    <row r="1990" spans="1:9" x14ac:dyDescent="0.2">
      <c r="A1990" s="7">
        <v>16707</v>
      </c>
      <c r="B1990" s="7">
        <v>2.6539277186578999E-2</v>
      </c>
      <c r="C1990" s="7">
        <v>7.4974238972806501E-2</v>
      </c>
      <c r="D1990" s="7">
        <v>1200</v>
      </c>
      <c r="E1990" s="7" t="s">
        <v>8</v>
      </c>
      <c r="F1990" s="7">
        <v>11.99</v>
      </c>
      <c r="G1990" s="7">
        <v>0</v>
      </c>
      <c r="H1990" s="7">
        <v>1382.3499999636001</v>
      </c>
      <c r="I1990" s="7">
        <v>0</v>
      </c>
    </row>
    <row r="1991" spans="1:9" x14ac:dyDescent="0.2">
      <c r="A1991" s="7">
        <v>107640</v>
      </c>
      <c r="B1991" s="7">
        <v>3.19168696748287E-2</v>
      </c>
      <c r="C1991" s="7">
        <v>8.1509172207196695E-2</v>
      </c>
      <c r="D1991" s="7">
        <v>12000</v>
      </c>
      <c r="E1991" s="7" t="s">
        <v>8</v>
      </c>
      <c r="F1991" s="7">
        <v>14.09</v>
      </c>
      <c r="G1991" s="7">
        <v>0</v>
      </c>
      <c r="H1991" s="7">
        <v>13369.809918081201</v>
      </c>
      <c r="I1991" s="7">
        <v>0</v>
      </c>
    </row>
    <row r="1992" spans="1:9" x14ac:dyDescent="0.2">
      <c r="A1992" s="7">
        <v>52739</v>
      </c>
      <c r="B1992" s="7">
        <v>4.5215919591490898E-2</v>
      </c>
      <c r="C1992" s="7">
        <v>7.4974238972806501E-2</v>
      </c>
      <c r="D1992" s="7">
        <v>10000</v>
      </c>
      <c r="E1992" s="7" t="s">
        <v>5</v>
      </c>
      <c r="F1992" s="7">
        <v>15.8</v>
      </c>
      <c r="G1992" s="7">
        <v>0</v>
      </c>
      <c r="H1992" s="7">
        <v>12631.139502387299</v>
      </c>
      <c r="I1992" s="7">
        <v>0</v>
      </c>
    </row>
    <row r="1993" spans="1:9" x14ac:dyDescent="0.2">
      <c r="A1993" s="7">
        <v>51339</v>
      </c>
      <c r="B1993" s="7">
        <v>-4.45595378690545E-3</v>
      </c>
      <c r="C1993" s="7">
        <v>8.4798680815203503E-2</v>
      </c>
      <c r="D1993" s="7">
        <v>26750</v>
      </c>
      <c r="E1993" s="7" t="s">
        <v>10</v>
      </c>
      <c r="F1993" s="7">
        <v>23.63</v>
      </c>
      <c r="G1993" s="7">
        <v>0</v>
      </c>
      <c r="H1993" s="7">
        <v>27280.253277396801</v>
      </c>
      <c r="I1993" s="7">
        <v>0</v>
      </c>
    </row>
    <row r="1994" spans="1:9" x14ac:dyDescent="0.2">
      <c r="A1994" s="7">
        <v>77694</v>
      </c>
      <c r="B1994" s="7">
        <v>3.02658790682667E-2</v>
      </c>
      <c r="C1994" s="7">
        <v>7.4974238972806501E-2</v>
      </c>
      <c r="D1994" s="7">
        <v>15000</v>
      </c>
      <c r="E1994" s="7" t="s">
        <v>8</v>
      </c>
      <c r="F1994" s="7">
        <v>12.12</v>
      </c>
      <c r="G1994" s="7">
        <v>0</v>
      </c>
      <c r="H1994" s="7">
        <v>15152.903944097599</v>
      </c>
      <c r="I1994" s="7">
        <v>0</v>
      </c>
    </row>
    <row r="1995" spans="1:9" x14ac:dyDescent="0.2">
      <c r="A1995" s="7">
        <v>47152</v>
      </c>
      <c r="B1995" s="7">
        <v>3.8973660413768102E-3</v>
      </c>
      <c r="C1995" s="7">
        <v>8.4798680815203503E-2</v>
      </c>
      <c r="D1995" s="7">
        <v>23850</v>
      </c>
      <c r="E1995" s="7" t="s">
        <v>5</v>
      </c>
      <c r="F1995" s="7">
        <v>16.29</v>
      </c>
      <c r="G1995" s="7">
        <v>1</v>
      </c>
      <c r="H1995" s="7">
        <v>16276.21</v>
      </c>
      <c r="I1995" s="7">
        <v>3042.53</v>
      </c>
    </row>
    <row r="1996" spans="1:9" x14ac:dyDescent="0.2">
      <c r="A1996" s="7">
        <v>136985</v>
      </c>
      <c r="B1996" s="7">
        <v>3.2415784186970498E-2</v>
      </c>
      <c r="C1996" s="7">
        <v>7.4974238972806501E-2</v>
      </c>
      <c r="D1996" s="7">
        <v>5000</v>
      </c>
      <c r="E1996" s="7" t="s">
        <v>8</v>
      </c>
      <c r="F1996" s="7">
        <v>12.12</v>
      </c>
      <c r="G1996" s="7">
        <v>0</v>
      </c>
      <c r="H1996" s="7">
        <v>5943.2339707551</v>
      </c>
      <c r="I1996" s="7">
        <v>0</v>
      </c>
    </row>
    <row r="1997" spans="1:9" x14ac:dyDescent="0.2">
      <c r="A1997" s="7">
        <v>140811</v>
      </c>
      <c r="B1997" s="7">
        <v>2.28970989454838E-2</v>
      </c>
      <c r="C1997" s="7">
        <v>8.1509172207196695E-2</v>
      </c>
      <c r="D1997" s="7">
        <v>15000</v>
      </c>
      <c r="E1997" s="7" t="s">
        <v>4</v>
      </c>
      <c r="F1997" s="7">
        <v>8.9</v>
      </c>
      <c r="G1997" s="7">
        <v>0</v>
      </c>
      <c r="H1997" s="7">
        <v>15326.7737013154</v>
      </c>
      <c r="I1997" s="7">
        <v>0</v>
      </c>
    </row>
    <row r="1998" spans="1:9" x14ac:dyDescent="0.2">
      <c r="A1998" s="7">
        <v>73164</v>
      </c>
      <c r="B1998" s="7">
        <v>1.7565216193580299E-2</v>
      </c>
      <c r="C1998" s="7">
        <v>5.3944556304700297E-2</v>
      </c>
      <c r="D1998" s="7">
        <v>19425</v>
      </c>
      <c r="E1998" s="7" t="s">
        <v>4</v>
      </c>
      <c r="F1998" s="7">
        <v>7.9</v>
      </c>
      <c r="G1998" s="7">
        <v>0</v>
      </c>
      <c r="H1998" s="7">
        <v>21418.487786825499</v>
      </c>
      <c r="I1998" s="7">
        <v>0</v>
      </c>
    </row>
    <row r="1999" spans="1:9" x14ac:dyDescent="0.2">
      <c r="A1999" s="7">
        <v>76159</v>
      </c>
      <c r="B1999" s="7">
        <v>3.3698527914687602E-2</v>
      </c>
      <c r="C1999" s="7">
        <v>7.4974238972806501E-2</v>
      </c>
      <c r="D1999" s="7">
        <v>10000</v>
      </c>
      <c r="E1999" s="7" t="s">
        <v>5</v>
      </c>
      <c r="F1999" s="7">
        <v>14.33</v>
      </c>
      <c r="G1999" s="7">
        <v>0</v>
      </c>
      <c r="H1999" s="7">
        <v>11495.35</v>
      </c>
      <c r="I1999" s="7">
        <v>0</v>
      </c>
    </row>
    <row r="2000" spans="1:9" x14ac:dyDescent="0.2">
      <c r="A2000" s="7">
        <v>132484</v>
      </c>
      <c r="B2000" s="7">
        <v>3.6692784647966901E-2</v>
      </c>
      <c r="C2000" s="7">
        <v>7.4974238972806501E-2</v>
      </c>
      <c r="D2000" s="7">
        <v>18200</v>
      </c>
      <c r="E2000" s="7" t="s">
        <v>5</v>
      </c>
      <c r="F2000" s="7">
        <v>14.65</v>
      </c>
      <c r="G2000" s="7">
        <v>0</v>
      </c>
      <c r="H2000" s="7">
        <v>22503.570012041098</v>
      </c>
      <c r="I2000" s="7">
        <v>0</v>
      </c>
    </row>
    <row r="2001" spans="1:9" x14ac:dyDescent="0.2">
      <c r="A2001" s="7">
        <v>23302</v>
      </c>
      <c r="B2001" s="7">
        <v>2.1300843729112E-2</v>
      </c>
      <c r="C2001" s="7">
        <v>7.4974238972806501E-2</v>
      </c>
      <c r="D2001" s="7">
        <v>13500</v>
      </c>
      <c r="E2001" s="7" t="s">
        <v>4</v>
      </c>
      <c r="F2001" s="7">
        <v>6.97</v>
      </c>
      <c r="G2001" s="7">
        <v>0</v>
      </c>
      <c r="H2001" s="7">
        <v>14194.3321814109</v>
      </c>
      <c r="I2001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44"/>
  <sheetViews>
    <sheetView tabSelected="1" workbookViewId="0">
      <selection activeCell="E35" sqref="E35"/>
    </sheetView>
  </sheetViews>
  <sheetFormatPr baseColWidth="10" defaultColWidth="8.83203125" defaultRowHeight="15" x14ac:dyDescent="0.2"/>
  <cols>
    <col min="1" max="1" width="19.33203125" style="1" customWidth="1"/>
    <col min="2" max="3" width="27.33203125" customWidth="1"/>
    <col min="4" max="4" width="29.6640625" customWidth="1"/>
    <col min="5" max="5" width="26.1640625" customWidth="1"/>
    <col min="6" max="6" width="26.33203125" customWidth="1"/>
    <col min="7" max="7" width="29" customWidth="1"/>
  </cols>
  <sheetData>
    <row r="1" spans="1:7" x14ac:dyDescent="0.2">
      <c r="A1" s="1" t="s">
        <v>11</v>
      </c>
      <c r="B1" t="s">
        <v>12</v>
      </c>
      <c r="C1" t="s">
        <v>13</v>
      </c>
      <c r="E1" t="s">
        <v>14</v>
      </c>
    </row>
    <row r="2" spans="1:7" x14ac:dyDescent="0.2">
      <c r="A2" s="1">
        <v>0</v>
      </c>
      <c r="B2">
        <f>loans_pred_opti_data!D2*loans_pred_opti_data!B2</f>
        <v>220.75878169351301</v>
      </c>
      <c r="C2">
        <f>(loans_pred_opti_data!B2-ret_PESS!$G$35*loans_pred_opti_data!C2)*loans_pred_opti_data!D2</f>
        <v>139.2496094863163</v>
      </c>
    </row>
    <row r="3" spans="1:7" x14ac:dyDescent="0.2">
      <c r="A3" s="1">
        <v>0</v>
      </c>
      <c r="B3">
        <f>loans_pred_opti_data!D3*loans_pred_opti_data!B3</f>
        <v>192.76823471420403</v>
      </c>
      <c r="C3">
        <f>(loans_pred_opti_data!B3-ret_PESS!$G$35*loans_pred_opti_data!C3)*loans_pred_opti_data!D3</f>
        <v>14.691005002276661</v>
      </c>
      <c r="E3" t="s">
        <v>15</v>
      </c>
    </row>
    <row r="4" spans="1:7" x14ac:dyDescent="0.2">
      <c r="A4" s="1">
        <v>0</v>
      </c>
      <c r="B4">
        <f>loans_pred_opti_data!D4*loans_pred_opti_data!B4</f>
        <v>-73.330733831827786</v>
      </c>
      <c r="C4">
        <f>(loans_pred_opti_data!B4-ret_PESS!$G$35*loans_pred_opti_data!C4)*loans_pred_opti_data!D4</f>
        <v>-232.96425046644839</v>
      </c>
      <c r="E4" s="2">
        <f>SUMPRODUCT(A2:A2001,B2:B2001)</f>
        <v>41174.40571043636</v>
      </c>
    </row>
    <row r="5" spans="1:7" x14ac:dyDescent="0.2">
      <c r="A5" s="1">
        <v>0</v>
      </c>
      <c r="B5">
        <f>loans_pred_opti_data!D5*loans_pred_opti_data!B5</f>
        <v>299.32261123749697</v>
      </c>
      <c r="C5">
        <f>(loans_pred_opti_data!B5-ret_PESS!$G$35*loans_pred_opti_data!C5)*loans_pred_opti_data!D5</f>
        <v>224.34837226469051</v>
      </c>
    </row>
    <row r="6" spans="1:7" x14ac:dyDescent="0.2">
      <c r="A6" s="1">
        <v>0</v>
      </c>
      <c r="B6">
        <f>loans_pred_opti_data!D6*loans_pred_opti_data!B6</f>
        <v>29.668493405457639</v>
      </c>
      <c r="C6">
        <f>(loans_pred_opti_data!B6-ret_PESS!$G$35*loans_pred_opti_data!C6)*loans_pred_opti_data!D6</f>
        <v>-2.9351754774210419</v>
      </c>
    </row>
    <row r="7" spans="1:7" x14ac:dyDescent="0.2">
      <c r="A7" s="1">
        <v>0</v>
      </c>
      <c r="B7">
        <f>loans_pred_opti_data!D7*loans_pred_opti_data!B7</f>
        <v>1083.6965010579715</v>
      </c>
      <c r="C7">
        <f>(loans_pred_opti_data!B7-ret_PESS!$G$35*loans_pred_opti_data!C7)*loans_pred_opti_data!D7</f>
        <v>827.3924882940189</v>
      </c>
      <c r="E7" t="s">
        <v>16</v>
      </c>
      <c r="F7" t="s">
        <v>17</v>
      </c>
      <c r="G7" t="s">
        <v>18</v>
      </c>
    </row>
    <row r="8" spans="1:7" x14ac:dyDescent="0.2">
      <c r="A8" s="1">
        <v>0</v>
      </c>
      <c r="B8">
        <f>loans_pred_opti_data!D8*loans_pred_opti_data!B8</f>
        <v>186.38833643310244</v>
      </c>
      <c r="C8">
        <f>(loans_pred_opti_data!B8-ret_PESS!$G$35*loans_pred_opti_data!C8)*loans_pred_opti_data!D8</f>
        <v>144.00356688536016</v>
      </c>
    </row>
    <row r="9" spans="1:7" x14ac:dyDescent="0.2">
      <c r="A9" s="1">
        <v>0</v>
      </c>
      <c r="B9">
        <f>loans_pred_opti_data!D9*loans_pred_opti_data!B9</f>
        <v>362.60197426908479</v>
      </c>
      <c r="C9">
        <f>(loans_pred_opti_data!B9-ret_PESS!$G$35*loans_pred_opti_data!C9)*loans_pred_opti_data!D9</f>
        <v>272.63288750171694</v>
      </c>
      <c r="E9" t="s">
        <v>19</v>
      </c>
      <c r="G9" s="3" t="s">
        <v>20</v>
      </c>
    </row>
    <row r="10" spans="1:7" x14ac:dyDescent="0.2">
      <c r="A10" s="1">
        <v>0</v>
      </c>
      <c r="B10">
        <f>loans_pred_opti_data!D10*loans_pred_opti_data!B10</f>
        <v>130.961828340344</v>
      </c>
      <c r="C10">
        <f>(loans_pred_opti_data!B10-ret_PESS!$G$35*loans_pred_opti_data!C10)*loans_pred_opti_data!D10</f>
        <v>93.47470885394074</v>
      </c>
      <c r="E10" s="2">
        <f>SUMPRODUCT(A2:A2001,loans_pred_opti_data!D2:D2001)</f>
        <v>1964675</v>
      </c>
      <c r="F10" s="4" t="s">
        <v>21</v>
      </c>
      <c r="G10">
        <v>500000</v>
      </c>
    </row>
    <row r="11" spans="1:7" x14ac:dyDescent="0.2">
      <c r="A11" s="1">
        <v>0</v>
      </c>
      <c r="B11">
        <f>loans_pred_opti_data!D11*loans_pred_opti_data!B11</f>
        <v>191.44758719759071</v>
      </c>
      <c r="C11">
        <f>(loans_pred_opti_data!B11-ret_PESS!$G$35*loans_pred_opti_data!C11)*loans_pred_opti_data!D11</f>
        <v>108.03874634034347</v>
      </c>
    </row>
    <row r="12" spans="1:7" x14ac:dyDescent="0.2">
      <c r="A12" s="1">
        <v>0</v>
      </c>
      <c r="B12">
        <f>loans_pred_opti_data!D12*loans_pred_opti_data!B12</f>
        <v>549.35756065504199</v>
      </c>
      <c r="C12">
        <f>(loans_pred_opti_data!B12-ret_PESS!$G$35*loans_pred_opti_data!C12)*loans_pred_opti_data!D12</f>
        <v>386.33921624064857</v>
      </c>
      <c r="E12" t="s">
        <v>22</v>
      </c>
      <c r="G12" s="5" t="s">
        <v>23</v>
      </c>
    </row>
    <row r="13" spans="1:7" x14ac:dyDescent="0.2">
      <c r="A13" s="1">
        <v>0</v>
      </c>
      <c r="B13">
        <f>loans_pred_opti_data!D13*loans_pred_opti_data!B13</f>
        <v>818.3144426785658</v>
      </c>
      <c r="C13">
        <f>(loans_pred_opti_data!B13-ret_PESS!$G$35*loans_pred_opti_data!C13)*loans_pred_opti_data!D13</f>
        <v>631.75734488511807</v>
      </c>
      <c r="E13" s="2">
        <f>SUM(A2:A2001)</f>
        <v>136</v>
      </c>
      <c r="F13" s="4" t="s">
        <v>21</v>
      </c>
      <c r="G13">
        <v>150</v>
      </c>
    </row>
    <row r="14" spans="1:7" x14ac:dyDescent="0.2">
      <c r="A14" s="1">
        <v>0</v>
      </c>
      <c r="B14">
        <f>loans_pred_opti_data!D14*loans_pred_opti_data!B14</f>
        <v>623.81030150691981</v>
      </c>
      <c r="C14">
        <f>(loans_pred_opti_data!B14-ret_PESS!$G$35*loans_pred_opti_data!C14)*loans_pred_opti_data!D14</f>
        <v>525.63120903236529</v>
      </c>
      <c r="G14" s="5" t="s">
        <v>24</v>
      </c>
    </row>
    <row r="15" spans="1:7" x14ac:dyDescent="0.2">
      <c r="A15" s="1">
        <v>1</v>
      </c>
      <c r="B15">
        <f>loans_pred_opti_data!D15*loans_pred_opti_data!B15</f>
        <v>168.0733799188356</v>
      </c>
      <c r="C15">
        <f>(loans_pred_opti_data!B15-ret_PESS!$G$35*loans_pred_opti_data!C15)*loans_pred_opti_data!D15</f>
        <v>114.07355333156778</v>
      </c>
      <c r="F15" s="4" t="s">
        <v>25</v>
      </c>
      <c r="G15">
        <f>0.9*G13</f>
        <v>135</v>
      </c>
    </row>
    <row r="16" spans="1:7" x14ac:dyDescent="0.2">
      <c r="A16" s="1">
        <v>0</v>
      </c>
      <c r="B16">
        <f>loans_pred_opti_data!D16*loans_pred_opti_data!B16</f>
        <v>256.49985578981097</v>
      </c>
      <c r="C16">
        <f>(loans_pred_opti_data!B16-ret_PESS!$G$35*loans_pred_opti_data!C16)*loans_pred_opti_data!D16</f>
        <v>181.5256168170045</v>
      </c>
    </row>
    <row r="17" spans="1:15" x14ac:dyDescent="0.2">
      <c r="A17" s="1">
        <v>1</v>
      </c>
      <c r="B17">
        <f>loans_pred_opti_data!D17*loans_pred_opti_data!B17</f>
        <v>12.237247040104121</v>
      </c>
      <c r="C17">
        <f>(loans_pred_opti_data!B17-ret_PESS!$G$35*loans_pred_opti_data!C17)*loans_pred_opti_data!D17</f>
        <v>-157.36011459030291</v>
      </c>
      <c r="E17" s="6"/>
      <c r="F17" s="6"/>
      <c r="G17" s="6"/>
    </row>
    <row r="18" spans="1:15" x14ac:dyDescent="0.2">
      <c r="A18" s="1">
        <v>0</v>
      </c>
      <c r="B18">
        <f>loans_pred_opti_data!D18*loans_pred_opti_data!B18</f>
        <v>-14.201806038347506</v>
      </c>
      <c r="C18">
        <f>(loans_pred_opti_data!B18-ret_PESS!$G$35*loans_pred_opti_data!C18)*loans_pred_opti_data!D18</f>
        <v>-266.05388805950196</v>
      </c>
    </row>
    <row r="19" spans="1:15" x14ac:dyDescent="0.2">
      <c r="A19" s="1">
        <v>0</v>
      </c>
      <c r="B19">
        <f>loans_pred_opti_data!D19*loans_pred_opti_data!B19</f>
        <v>301.349098745135</v>
      </c>
      <c r="C19">
        <f>(loans_pred_opti_data!B19-ret_PESS!$G$35*loans_pred_opti_data!C19)*loans_pred_opti_data!D19</f>
        <v>226.37485977232848</v>
      </c>
      <c r="E19" t="s">
        <v>26</v>
      </c>
    </row>
    <row r="20" spans="1:15" x14ac:dyDescent="0.2">
      <c r="A20" s="1">
        <v>0</v>
      </c>
      <c r="B20">
        <f>loans_pred_opti_data!D20*loans_pred_opti_data!B20</f>
        <v>193.235844939103</v>
      </c>
      <c r="C20">
        <f>(loans_pred_opti_data!B20-ret_PESS!$G$35*loans_pred_opti_data!C20)*loans_pred_opti_data!D20</f>
        <v>111.72667273190629</v>
      </c>
    </row>
    <row r="21" spans="1:15" x14ac:dyDescent="0.2">
      <c r="A21" s="1">
        <v>0</v>
      </c>
      <c r="B21">
        <f>loans_pred_opti_data!D21*loans_pred_opti_data!B21</f>
        <v>-47.640196611825694</v>
      </c>
      <c r="C21">
        <f>(loans_pred_opti_data!B21-ret_PESS!$G$35*loans_pred_opti_data!C21)*loans_pred_opti_data!D21</f>
        <v>-154.62098513377137</v>
      </c>
      <c r="E21" t="s">
        <v>27</v>
      </c>
      <c r="O21" s="4"/>
    </row>
    <row r="22" spans="1:15" x14ac:dyDescent="0.2">
      <c r="A22" s="1">
        <v>0</v>
      </c>
      <c r="B22">
        <f>loans_pred_opti_data!D22*loans_pred_opti_data!B22</f>
        <v>207.40086185777699</v>
      </c>
      <c r="C22">
        <f>(loans_pred_opti_data!B22-ret_PESS!$G$35*loans_pred_opti_data!C22)*loans_pred_opti_data!D22</f>
        <v>125.89168965058029</v>
      </c>
    </row>
    <row r="23" spans="1:15" x14ac:dyDescent="0.2">
      <c r="A23" s="1">
        <v>0</v>
      </c>
      <c r="B23">
        <f>loans_pred_opti_data!D23*loans_pred_opti_data!B23</f>
        <v>223.31866057373566</v>
      </c>
      <c r="C23">
        <f>(loans_pred_opti_data!B23-ret_PESS!$G$35*loans_pred_opti_data!C23)*loans_pred_opti_data!D23</f>
        <v>-73.476722279476633</v>
      </c>
      <c r="E23" t="s">
        <v>16</v>
      </c>
      <c r="F23" t="s">
        <v>17</v>
      </c>
      <c r="G23" t="s">
        <v>18</v>
      </c>
    </row>
    <row r="24" spans="1:15" x14ac:dyDescent="0.2">
      <c r="A24" s="1">
        <v>0</v>
      </c>
      <c r="B24">
        <f>loans_pred_opti_data!D24*loans_pred_opti_data!B24</f>
        <v>72.005242854076187</v>
      </c>
      <c r="C24">
        <f>(loans_pred_opti_data!B24-ret_PESS!$G$35*loans_pred_opti_data!C24)*loans_pred_opti_data!D24</f>
        <v>-220.3382092563379</v>
      </c>
    </row>
    <row r="25" spans="1:15" x14ac:dyDescent="0.2">
      <c r="A25" s="1">
        <v>0</v>
      </c>
      <c r="B25">
        <f>loans_pred_opti_data!D25*loans_pred_opti_data!B25</f>
        <v>280.11037017403515</v>
      </c>
      <c r="C25">
        <f>(loans_pred_opti_data!B25-ret_PESS!$G$35*loans_pred_opti_data!C25)*loans_pred_opti_data!D25</f>
        <v>214.9030324082778</v>
      </c>
      <c r="E25" t="s">
        <v>28</v>
      </c>
      <c r="G25" s="5" t="s">
        <v>29</v>
      </c>
    </row>
    <row r="26" spans="1:15" x14ac:dyDescent="0.2">
      <c r="A26" s="1">
        <v>0</v>
      </c>
      <c r="B26">
        <f>loans_pred_opti_data!D26*loans_pred_opti_data!B26</f>
        <v>92.144725226457638</v>
      </c>
      <c r="C26">
        <f>(loans_pred_opti_data!B26-ret_PESS!$G$35*loans_pred_opti_data!C26)*loans_pred_opti_data!D26</f>
        <v>-41.530317193344956</v>
      </c>
      <c r="E26" s="2">
        <f>SUMPRODUCT(A2:A2001,loans_pred_opti_data!C2:C2001)</f>
        <v>10.272720980622381</v>
      </c>
      <c r="F26" s="4" t="s">
        <v>21</v>
      </c>
      <c r="G26">
        <v>20</v>
      </c>
    </row>
    <row r="27" spans="1:15" x14ac:dyDescent="0.2">
      <c r="A27" s="1">
        <v>0</v>
      </c>
      <c r="B27">
        <f>loans_pred_opti_data!D27*loans_pred_opti_data!B27</f>
        <v>102.48358683558857</v>
      </c>
      <c r="C27">
        <f>(loans_pred_opti_data!B27-ret_PESS!$G$35*loans_pred_opti_data!C27)*loans_pred_opti_data!D27</f>
        <v>-134.95271944698129</v>
      </c>
    </row>
    <row r="28" spans="1:15" x14ac:dyDescent="0.2">
      <c r="A28" s="1">
        <v>0</v>
      </c>
      <c r="B28">
        <f>loans_pred_opti_data!D28*loans_pred_opti_data!B28</f>
        <v>145.97794502568689</v>
      </c>
      <c r="C28">
        <f>(loans_pred_opti_data!B28-ret_PESS!$G$35*loans_pred_opti_data!C28)*loans_pred_opti_data!D28</f>
        <v>93.495977744722339</v>
      </c>
      <c r="E28" s="6"/>
      <c r="F28" s="6"/>
      <c r="G28" s="6"/>
    </row>
    <row r="29" spans="1:15" x14ac:dyDescent="0.2">
      <c r="A29" s="1">
        <v>0</v>
      </c>
      <c r="B29">
        <f>loans_pred_opti_data!D29*loans_pred_opti_data!B29</f>
        <v>355.50463403899596</v>
      </c>
      <c r="C29">
        <f>(loans_pred_opti_data!B29-ret_PESS!$G$35*loans_pred_opti_data!C29)*loans_pred_opti_data!D29</f>
        <v>273.99546183179928</v>
      </c>
    </row>
    <row r="30" spans="1:15" x14ac:dyDescent="0.2">
      <c r="A30" s="1">
        <v>0</v>
      </c>
      <c r="B30">
        <f>loans_pred_opti_data!D30*loans_pred_opti_data!B30</f>
        <v>289.57379255244899</v>
      </c>
      <c r="C30">
        <f>(loans_pred_opti_data!B30-ret_PESS!$G$35*loans_pred_opti_data!C30)*loans_pred_opti_data!D30</f>
        <v>208.06462034525228</v>
      </c>
      <c r="E30" t="s">
        <v>30</v>
      </c>
    </row>
    <row r="31" spans="1:15" x14ac:dyDescent="0.2">
      <c r="A31" s="1">
        <v>0</v>
      </c>
      <c r="B31">
        <f>loans_pred_opti_data!D31*loans_pred_opti_data!B31</f>
        <v>343.41414018162357</v>
      </c>
      <c r="C31">
        <f>(loans_pred_opti_data!B31-ret_PESS!$G$35*loans_pred_opti_data!C31)*loans_pred_opti_data!D31</f>
        <v>253.4450534142558</v>
      </c>
    </row>
    <row r="32" spans="1:15" x14ac:dyDescent="0.2">
      <c r="A32" s="1">
        <v>0</v>
      </c>
      <c r="B32">
        <f>loans_pred_opti_data!D32*loans_pred_opti_data!B32</f>
        <v>171.70618861985102</v>
      </c>
      <c r="C32">
        <f>(loans_pred_opti_data!B32-ret_PESS!$G$35*loans_pred_opti_data!C32)*loans_pred_opti_data!D32</f>
        <v>126.72164523616709</v>
      </c>
      <c r="E32" t="s">
        <v>31</v>
      </c>
    </row>
    <row r="33" spans="1:7" x14ac:dyDescent="0.2">
      <c r="A33" s="1">
        <v>0</v>
      </c>
      <c r="B33">
        <f>loans_pred_opti_data!D33*loans_pred_opti_data!B33</f>
        <v>18.024987280455793</v>
      </c>
      <c r="C33">
        <f>(loans_pred_opti_data!B33-ret_PESS!$G$35*loans_pred_opti_data!C33)*loans_pred_opti_data!D33</f>
        <v>-185.49184667603262</v>
      </c>
    </row>
    <row r="34" spans="1:7" x14ac:dyDescent="0.2">
      <c r="A34" s="1">
        <v>1</v>
      </c>
      <c r="B34">
        <f>loans_pred_opti_data!D34*loans_pred_opti_data!B34</f>
        <v>200.61287960953999</v>
      </c>
      <c r="C34">
        <f>(loans_pred_opti_data!B34-ret_PESS!$G$35*loans_pred_opti_data!C34)*loans_pred_opti_data!D34</f>
        <v>140.63348843129481</v>
      </c>
      <c r="E34" t="s">
        <v>32</v>
      </c>
      <c r="G34" t="s">
        <v>33</v>
      </c>
    </row>
    <row r="35" spans="1:7" x14ac:dyDescent="0.2">
      <c r="A35" s="1">
        <v>0</v>
      </c>
      <c r="B35">
        <f>loans_pred_opti_data!D35*loans_pred_opti_data!B35</f>
        <v>241.9268413248648</v>
      </c>
      <c r="C35">
        <f>(loans_pred_opti_data!B35-ret_PESS!$G$35*loans_pred_opti_data!C35)*loans_pred_opti_data!D35</f>
        <v>144.11583467622876</v>
      </c>
      <c r="E35" s="2">
        <f>SUMPRODUCT(A2:A2001,C2:C2001)</f>
        <v>26506.095484422378</v>
      </c>
      <c r="G35">
        <v>0.1</v>
      </c>
    </row>
    <row r="36" spans="1:7" x14ac:dyDescent="0.2">
      <c r="A36" s="1">
        <v>0</v>
      </c>
      <c r="B36">
        <f>loans_pred_opti_data!D36*loans_pred_opti_data!B36</f>
        <v>34.60145535401184</v>
      </c>
      <c r="C36">
        <f>(loans_pred_opti_data!B36-ret_PESS!$G$35*loans_pred_opti_data!C36)*loans_pred_opti_data!D36</f>
        <v>24.820354689148232</v>
      </c>
    </row>
    <row r="37" spans="1:7" x14ac:dyDescent="0.2">
      <c r="A37" s="1">
        <v>0</v>
      </c>
      <c r="B37">
        <f>loans_pred_opti_data!D37*loans_pred_opti_data!B37</f>
        <v>386.43920521012598</v>
      </c>
      <c r="C37">
        <f>(loans_pred_opti_data!B37-ret_PESS!$G$35*loans_pred_opti_data!C37)*loans_pred_opti_data!D37</f>
        <v>309.38502658986539</v>
      </c>
    </row>
    <row r="38" spans="1:7" x14ac:dyDescent="0.2">
      <c r="A38" s="1">
        <v>0</v>
      </c>
      <c r="B38">
        <f>loans_pred_opti_data!D38*loans_pred_opti_data!B38</f>
        <v>257.56005790470397</v>
      </c>
      <c r="C38">
        <f>(loans_pred_opti_data!B38-ret_PESS!$G$35*loans_pred_opti_data!C38)*loans_pred_opti_data!D38</f>
        <v>197.58066672645879</v>
      </c>
    </row>
    <row r="39" spans="1:7" x14ac:dyDescent="0.2">
      <c r="A39" s="1">
        <v>0</v>
      </c>
      <c r="B39">
        <f>loans_pred_opti_data!D39*loans_pred_opti_data!B39</f>
        <v>468.54324035342398</v>
      </c>
      <c r="C39">
        <f>(loans_pred_opti_data!B39-ret_PESS!$G$35*loans_pred_opti_data!C39)*loans_pred_opti_data!D39</f>
        <v>361.33007862231068</v>
      </c>
    </row>
    <row r="40" spans="1:7" x14ac:dyDescent="0.2">
      <c r="A40" s="1">
        <v>0</v>
      </c>
      <c r="B40">
        <f>loans_pred_opti_data!D40*loans_pred_opti_data!B40</f>
        <v>296.75062307447274</v>
      </c>
      <c r="C40">
        <f>(loans_pred_opti_data!B40-ret_PESS!$G$35*loans_pred_opti_data!C40)*loans_pred_opti_data!D40</f>
        <v>214.88055829044583</v>
      </c>
    </row>
    <row r="41" spans="1:7" x14ac:dyDescent="0.2">
      <c r="A41" s="1">
        <v>0</v>
      </c>
      <c r="B41">
        <f>loans_pred_opti_data!D41*loans_pred_opti_data!B41</f>
        <v>448.67928985404478</v>
      </c>
      <c r="C41">
        <f>(loans_pred_opti_data!B41-ret_PESS!$G$35*loans_pred_opti_data!C41)*loans_pred_opti_data!D41</f>
        <v>358.71020308667698</v>
      </c>
    </row>
    <row r="42" spans="1:7" x14ac:dyDescent="0.2">
      <c r="A42" s="1">
        <v>0</v>
      </c>
      <c r="B42">
        <f>loans_pred_opti_data!D42*loans_pred_opti_data!B42</f>
        <v>-38.598881272960639</v>
      </c>
      <c r="C42">
        <f>(loans_pred_opti_data!B42-ret_PESS!$G$35*loans_pred_opti_data!C42)*loans_pred_opti_data!D42</f>
        <v>-87.913555589927412</v>
      </c>
    </row>
    <row r="43" spans="1:7" x14ac:dyDescent="0.2">
      <c r="A43" s="1">
        <v>0</v>
      </c>
      <c r="B43">
        <f>loans_pred_opti_data!D43*loans_pred_opti_data!B43</f>
        <v>292.04971116421081</v>
      </c>
      <c r="C43">
        <f>(loans_pred_opti_data!B43-ret_PESS!$G$35*loans_pred_opti_data!C43)*loans_pred_opti_data!D43</f>
        <v>194.2387045155748</v>
      </c>
    </row>
    <row r="44" spans="1:7" x14ac:dyDescent="0.2">
      <c r="A44" s="1">
        <v>0</v>
      </c>
      <c r="B44">
        <f>loans_pred_opti_data!D44*loans_pred_opti_data!B44</f>
        <v>334.02014232908198</v>
      </c>
      <c r="C44">
        <f>(loans_pred_opti_data!B44-ret_PESS!$G$35*loans_pred_opti_data!C44)*loans_pred_opti_data!D44</f>
        <v>256.96596370882139</v>
      </c>
    </row>
    <row r="45" spans="1:7" x14ac:dyDescent="0.2">
      <c r="A45" s="1">
        <v>0</v>
      </c>
      <c r="B45">
        <f>loans_pred_opti_data!D45*loans_pred_opti_data!B45</f>
        <v>657.60949978128986</v>
      </c>
      <c r="C45">
        <f>(loans_pred_opti_data!B45-ret_PESS!$G$35*loans_pred_opti_data!C45)*loans_pred_opti_data!D45</f>
        <v>544.59565432294266</v>
      </c>
    </row>
    <row r="46" spans="1:7" x14ac:dyDescent="0.2">
      <c r="A46" s="1">
        <v>0</v>
      </c>
      <c r="B46">
        <f>loans_pred_opti_data!D46*loans_pred_opti_data!B46</f>
        <v>54.268077469989265</v>
      </c>
      <c r="C46">
        <f>(loans_pred_opti_data!B46-ret_PESS!$G$35*loans_pred_opti_data!C46)*loans_pred_opti_data!D46</f>
        <v>-179.5642848779344</v>
      </c>
    </row>
    <row r="47" spans="1:7" x14ac:dyDescent="0.2">
      <c r="A47" s="1">
        <v>0</v>
      </c>
      <c r="B47">
        <f>loans_pred_opti_data!D47*loans_pred_opti_data!B47</f>
        <v>-147.16745913402281</v>
      </c>
      <c r="C47">
        <f>(loans_pred_opti_data!B47-ret_PESS!$G$35*loans_pred_opti_data!C47)*loans_pred_opti_data!D47</f>
        <v>-255.0565717434234</v>
      </c>
    </row>
    <row r="48" spans="1:7" x14ac:dyDescent="0.2">
      <c r="A48" s="1">
        <v>0</v>
      </c>
      <c r="B48">
        <f>loans_pred_opti_data!D48*loans_pred_opti_data!B48</f>
        <v>601.59337116837435</v>
      </c>
      <c r="C48">
        <f>(loans_pred_opti_data!B48-ret_PESS!$G$35*loans_pred_opti_data!C48)*loans_pred_opti_data!D48</f>
        <v>403.80044816691213</v>
      </c>
    </row>
    <row r="49" spans="1:3" x14ac:dyDescent="0.2">
      <c r="A49" s="1">
        <v>0</v>
      </c>
      <c r="B49">
        <f>loans_pred_opti_data!D49*loans_pred_opti_data!B49</f>
        <v>56.176185712232794</v>
      </c>
      <c r="C49">
        <f>(loans_pred_opti_data!B49-ret_PESS!$G$35*loans_pred_opti_data!C49)*loans_pred_opti_data!D49</f>
        <v>39.874351270793461</v>
      </c>
    </row>
    <row r="50" spans="1:3" x14ac:dyDescent="0.2">
      <c r="A50" s="1">
        <v>0</v>
      </c>
      <c r="B50">
        <f>loans_pred_opti_data!D50*loans_pred_opti_data!B50</f>
        <v>426.89395131390273</v>
      </c>
      <c r="C50">
        <f>(loans_pred_opti_data!B50-ret_PESS!$G$35*loans_pred_opti_data!C50)*loans_pred_opti_data!D50</f>
        <v>320.93202744454703</v>
      </c>
    </row>
    <row r="51" spans="1:3" x14ac:dyDescent="0.2">
      <c r="A51" s="1">
        <v>0</v>
      </c>
      <c r="B51">
        <f>loans_pred_opti_data!D51*loans_pred_opti_data!B51</f>
        <v>446.83215581494443</v>
      </c>
      <c r="C51">
        <f>(loans_pred_opti_data!B51-ret_PESS!$G$35*loans_pred_opti_data!C51)*loans_pred_opti_data!D51</f>
        <v>300.11564584199033</v>
      </c>
    </row>
    <row r="52" spans="1:3" x14ac:dyDescent="0.2">
      <c r="A52" s="1">
        <v>0</v>
      </c>
      <c r="B52">
        <f>loans_pred_opti_data!D52*loans_pred_opti_data!B52</f>
        <v>252.3919459035726</v>
      </c>
      <c r="C52">
        <f>(loans_pred_opti_data!B52-ret_PESS!$G$35*loans_pred_opti_data!C52)*loans_pred_opti_data!D52</f>
        <v>161.91676475358426</v>
      </c>
    </row>
    <row r="53" spans="1:3" x14ac:dyDescent="0.2">
      <c r="A53" s="1">
        <v>0</v>
      </c>
      <c r="B53">
        <f>loans_pred_opti_data!D53*loans_pred_opti_data!B53</f>
        <v>358.18376365421278</v>
      </c>
      <c r="C53">
        <f>(loans_pred_opti_data!B53-ret_PESS!$G$35*loans_pred_opti_data!C53)*loans_pred_opti_data!D53</f>
        <v>268.21467688684498</v>
      </c>
    </row>
    <row r="54" spans="1:3" x14ac:dyDescent="0.2">
      <c r="A54" s="1">
        <v>0</v>
      </c>
      <c r="B54">
        <f>loans_pred_opti_data!D54*loans_pred_opti_data!B54</f>
        <v>381.94110239415699</v>
      </c>
      <c r="C54">
        <f>(loans_pred_opti_data!B54-ret_PESS!$G$35*loans_pred_opti_data!C54)*loans_pred_opti_data!D54</f>
        <v>304.8869237738964</v>
      </c>
    </row>
    <row r="55" spans="1:3" x14ac:dyDescent="0.2">
      <c r="A55" s="1">
        <v>0</v>
      </c>
      <c r="B55">
        <f>loans_pred_opti_data!D55*loans_pred_opti_data!B55</f>
        <v>416.10935299911881</v>
      </c>
      <c r="C55">
        <f>(loans_pred_opti_data!B55-ret_PESS!$G$35*loans_pred_opti_data!C55)*loans_pred_opti_data!D55</f>
        <v>301.99651190904342</v>
      </c>
    </row>
    <row r="56" spans="1:3" x14ac:dyDescent="0.2">
      <c r="A56" s="1">
        <v>0</v>
      </c>
      <c r="B56">
        <f>loans_pred_opti_data!D56*loans_pred_opti_data!B56</f>
        <v>259.32929107558704</v>
      </c>
      <c r="C56">
        <f>(loans_pred_opti_data!B56-ret_PESS!$G$35*loans_pred_opti_data!C56)*loans_pred_opti_data!D56</f>
        <v>183.98018090791646</v>
      </c>
    </row>
    <row r="57" spans="1:3" x14ac:dyDescent="0.2">
      <c r="A57" s="1">
        <v>0</v>
      </c>
      <c r="B57">
        <f>loans_pred_opti_data!D57*loans_pred_opti_data!B57</f>
        <v>357.36532973540403</v>
      </c>
      <c r="C57">
        <f>(loans_pred_opti_data!B57-ret_PESS!$G$35*loans_pred_opti_data!C57)*loans_pred_opti_data!D57</f>
        <v>292.15799196964667</v>
      </c>
    </row>
    <row r="58" spans="1:3" x14ac:dyDescent="0.2">
      <c r="A58" s="1">
        <v>0</v>
      </c>
      <c r="B58">
        <f>loans_pred_opti_data!D58*loans_pred_opti_data!B58</f>
        <v>263.96144458121699</v>
      </c>
      <c r="C58">
        <f>(loans_pred_opti_data!B58-ret_PESS!$G$35*loans_pred_opti_data!C58)*loans_pred_opti_data!D58</f>
        <v>182.45227237402031</v>
      </c>
    </row>
    <row r="59" spans="1:3" x14ac:dyDescent="0.2">
      <c r="A59" s="1">
        <v>0</v>
      </c>
      <c r="B59">
        <f>loans_pred_opti_data!D59*loans_pred_opti_data!B59</f>
        <v>1133.8256288236023</v>
      </c>
      <c r="C59">
        <f>(loans_pred_opti_data!B59-ret_PESS!$G$35*loans_pred_opti_data!C59)*loans_pred_opti_data!D59</f>
        <v>896.3893225410327</v>
      </c>
    </row>
    <row r="60" spans="1:3" x14ac:dyDescent="0.2">
      <c r="A60" s="1">
        <v>0</v>
      </c>
      <c r="B60">
        <f>loans_pred_opti_data!D60*loans_pred_opti_data!B60</f>
        <v>150.06214861433079</v>
      </c>
      <c r="C60">
        <f>(loans_pred_opti_data!B60-ret_PESS!$G$35*loans_pred_opti_data!C60)*loans_pred_opti_data!D60</f>
        <v>120.07245302520819</v>
      </c>
    </row>
    <row r="61" spans="1:3" x14ac:dyDescent="0.2">
      <c r="A61" s="1">
        <v>0</v>
      </c>
      <c r="B61">
        <f>loans_pred_opti_data!D61*loans_pred_opti_data!B61</f>
        <v>-260.85381020497738</v>
      </c>
      <c r="C61">
        <f>(loans_pred_opti_data!B61-ret_PESS!$G$35*loans_pred_opti_data!C61)*loans_pred_opti_data!D61</f>
        <v>-515.24985265058797</v>
      </c>
    </row>
    <row r="62" spans="1:3" x14ac:dyDescent="0.2">
      <c r="A62" s="1">
        <v>1</v>
      </c>
      <c r="B62">
        <f>loans_pred_opti_data!D62*loans_pred_opti_data!B62</f>
        <v>331.09723064157203</v>
      </c>
      <c r="C62">
        <f>(loans_pred_opti_data!B62-ret_PESS!$G$35*loans_pred_opti_data!C62)*loans_pred_opti_data!D62</f>
        <v>249.58805843437528</v>
      </c>
    </row>
    <row r="63" spans="1:3" x14ac:dyDescent="0.2">
      <c r="A63" s="1">
        <v>0</v>
      </c>
      <c r="B63">
        <f>loans_pred_opti_data!D63*loans_pred_opti_data!B63</f>
        <v>233.79893193865297</v>
      </c>
      <c r="C63">
        <f>(loans_pred_opti_data!B63-ret_PESS!$G$35*loans_pred_opti_data!C63)*loans_pred_opti_data!D63</f>
        <v>167.82160164258323</v>
      </c>
    </row>
    <row r="64" spans="1:3" x14ac:dyDescent="0.2">
      <c r="A64" s="1">
        <v>0</v>
      </c>
      <c r="B64">
        <f>loans_pred_opti_data!D64*loans_pred_opti_data!B64</f>
        <v>436.50553102083751</v>
      </c>
      <c r="C64">
        <f>(loans_pred_opti_data!B64-ret_PESS!$G$35*loans_pred_opti_data!C64)*loans_pred_opti_data!D64</f>
        <v>334.61906576184163</v>
      </c>
    </row>
    <row r="65" spans="1:3" x14ac:dyDescent="0.2">
      <c r="A65" s="1">
        <v>0</v>
      </c>
      <c r="B65">
        <f>loans_pred_opti_data!D65*loans_pred_opti_data!B65</f>
        <v>77.897395524763752</v>
      </c>
      <c r="C65">
        <f>(loans_pred_opti_data!B65-ret_PESS!$G$35*loans_pred_opti_data!C65)*loans_pred_opti_data!D65</f>
        <v>59.153835781562115</v>
      </c>
    </row>
    <row r="66" spans="1:3" x14ac:dyDescent="0.2">
      <c r="A66" s="1">
        <v>0</v>
      </c>
      <c r="B66">
        <f>loans_pred_opti_data!D66*loans_pred_opti_data!B66</f>
        <v>27.291573978197757</v>
      </c>
      <c r="C66">
        <f>(loans_pred_opti_data!B66-ret_PESS!$G$35*loans_pred_opti_data!C66)*loans_pred_opti_data!D66</f>
        <v>-108.38631532612786</v>
      </c>
    </row>
    <row r="67" spans="1:3" x14ac:dyDescent="0.2">
      <c r="A67" s="1">
        <v>1</v>
      </c>
      <c r="B67">
        <f>loans_pred_opti_data!D67*loans_pred_opti_data!B67</f>
        <v>370.58936622995702</v>
      </c>
      <c r="C67">
        <f>(loans_pred_opti_data!B67-ret_PESS!$G$35*loans_pred_opti_data!C67)*loans_pred_opti_data!D67</f>
        <v>273.48916488149644</v>
      </c>
    </row>
    <row r="68" spans="1:3" x14ac:dyDescent="0.2">
      <c r="A68" s="1">
        <v>1</v>
      </c>
      <c r="B68">
        <f>loans_pred_opti_data!D68*loans_pred_opti_data!B68</f>
        <v>396.22016019758769</v>
      </c>
      <c r="C68">
        <f>(loans_pred_opti_data!B68-ret_PESS!$G$35*loans_pred_opti_data!C68)*loans_pred_opti_data!D68</f>
        <v>305.74497904759932</v>
      </c>
    </row>
    <row r="69" spans="1:3" x14ac:dyDescent="0.2">
      <c r="A69" s="1">
        <v>0</v>
      </c>
      <c r="B69">
        <f>loans_pred_opti_data!D69*loans_pred_opti_data!B69</f>
        <v>248.26852179401919</v>
      </c>
      <c r="C69">
        <f>(loans_pred_opti_data!B69-ret_PESS!$G$35*loans_pred_opti_data!C69)*loans_pred_opti_data!D69</f>
        <v>186.62517889781071</v>
      </c>
    </row>
    <row r="70" spans="1:3" x14ac:dyDescent="0.2">
      <c r="A70" s="1">
        <v>0</v>
      </c>
      <c r="B70">
        <f>loans_pred_opti_data!D70*loans_pred_opti_data!B70</f>
        <v>150.38198196878429</v>
      </c>
      <c r="C70">
        <f>(loans_pred_opti_data!B70-ret_PESS!$G$35*loans_pred_opti_data!C70)*loans_pred_opti_data!D70</f>
        <v>93.325561423746606</v>
      </c>
    </row>
    <row r="71" spans="1:3" x14ac:dyDescent="0.2">
      <c r="A71" s="1">
        <v>0</v>
      </c>
      <c r="B71">
        <f>loans_pred_opti_data!D71*loans_pred_opti_data!B71</f>
        <v>482.88262992838798</v>
      </c>
      <c r="C71">
        <f>(loans_pred_opti_data!B71-ret_PESS!$G$35*loans_pred_opti_data!C71)*loans_pred_opti_data!D71</f>
        <v>367.30136199799705</v>
      </c>
    </row>
    <row r="72" spans="1:3" x14ac:dyDescent="0.2">
      <c r="A72" s="1">
        <v>0</v>
      </c>
      <c r="B72">
        <f>loans_pred_opti_data!D72*loans_pred_opti_data!B72</f>
        <v>405.71804380500362</v>
      </c>
      <c r="C72">
        <f>(loans_pred_opti_data!B72-ret_PESS!$G$35*loans_pred_opti_data!C72)*loans_pred_opti_data!D72</f>
        <v>313.25302946069087</v>
      </c>
    </row>
    <row r="73" spans="1:3" x14ac:dyDescent="0.2">
      <c r="A73" s="1">
        <v>0</v>
      </c>
      <c r="B73">
        <f>loans_pred_opti_data!D73*loans_pred_opti_data!B73</f>
        <v>150.32247665865975</v>
      </c>
      <c r="C73">
        <f>(loans_pred_opti_data!B73-ret_PESS!$G$35*loans_pred_opti_data!C73)*loans_pred_opti_data!D73</f>
        <v>-61.674225379349032</v>
      </c>
    </row>
    <row r="74" spans="1:3" x14ac:dyDescent="0.2">
      <c r="A74" s="1">
        <v>0</v>
      </c>
      <c r="B74">
        <f>loans_pred_opti_data!D74*loans_pred_opti_data!B74</f>
        <v>491.90324471329347</v>
      </c>
      <c r="C74">
        <f>(loans_pred_opti_data!B74-ret_PESS!$G$35*loans_pred_opti_data!C74)*loans_pred_opti_data!D74</f>
        <v>410.986410256243</v>
      </c>
    </row>
    <row r="75" spans="1:3" x14ac:dyDescent="0.2">
      <c r="A75" s="1">
        <v>0</v>
      </c>
      <c r="B75">
        <f>loans_pred_opti_data!D75*loans_pred_opti_data!B75</f>
        <v>607.84642231340251</v>
      </c>
      <c r="C75">
        <f>(loans_pred_opti_data!B75-ret_PESS!$G$35*loans_pred_opti_data!C75)*loans_pred_opti_data!D75</f>
        <v>472.98503155165173</v>
      </c>
    </row>
    <row r="76" spans="1:3" x14ac:dyDescent="0.2">
      <c r="A76" s="1">
        <v>0</v>
      </c>
      <c r="B76">
        <f>loans_pred_opti_data!D76*loans_pred_opti_data!B76</f>
        <v>-98.664252128377825</v>
      </c>
      <c r="C76">
        <f>(loans_pred_opti_data!B76-ret_PESS!$G$35*loans_pred_opti_data!C76)*loans_pred_opti_data!D76</f>
        <v>-235.59966143646827</v>
      </c>
    </row>
    <row r="77" spans="1:3" x14ac:dyDescent="0.2">
      <c r="A77" s="1">
        <v>0</v>
      </c>
      <c r="B77">
        <f>loans_pred_opti_data!D77*loans_pred_opti_data!B77</f>
        <v>454.171769054229</v>
      </c>
      <c r="C77">
        <f>(loans_pred_opti_data!B77-ret_PESS!$G$35*loans_pred_opti_data!C77)*loans_pred_opti_data!D77</f>
        <v>338.59050112383807</v>
      </c>
    </row>
    <row r="78" spans="1:3" x14ac:dyDescent="0.2">
      <c r="A78" s="1">
        <v>0</v>
      </c>
      <c r="B78">
        <f>loans_pred_opti_data!D78*loans_pred_opti_data!B78</f>
        <v>221.2023327005688</v>
      </c>
      <c r="C78">
        <f>(loans_pred_opti_data!B78-ret_PESS!$G$35*loans_pred_opti_data!C78)*loans_pred_opti_data!D78</f>
        <v>155.99499493481144</v>
      </c>
    </row>
    <row r="79" spans="1:3" x14ac:dyDescent="0.2">
      <c r="A79" s="1">
        <v>0</v>
      </c>
      <c r="B79">
        <f>loans_pred_opti_data!D79*loans_pred_opti_data!B79</f>
        <v>-30.497240050339379</v>
      </c>
      <c r="C79">
        <f>(loans_pred_opti_data!B79-ret_PESS!$G$35*loans_pred_opti_data!C79)*loans_pred_opti_data!D79</f>
        <v>-214.08638401525496</v>
      </c>
    </row>
    <row r="80" spans="1:3" x14ac:dyDescent="0.2">
      <c r="A80" s="1">
        <v>0</v>
      </c>
      <c r="B80">
        <f>loans_pred_opti_data!D80*loans_pred_opti_data!B80</f>
        <v>284.06518438657918</v>
      </c>
      <c r="C80">
        <f>(loans_pred_opti_data!B80-ret_PESS!$G$35*loans_pred_opti_data!C80)*loans_pred_opti_data!D80</f>
        <v>210.09317291112902</v>
      </c>
    </row>
    <row r="81" spans="1:3" x14ac:dyDescent="0.2">
      <c r="A81" s="1">
        <v>0</v>
      </c>
      <c r="B81">
        <f>loans_pred_opti_data!D81*loans_pred_opti_data!B81</f>
        <v>160.05994891460614</v>
      </c>
      <c r="C81">
        <f>(loans_pred_opti_data!B81-ret_PESS!$G$35*loans_pred_opti_data!C81)*loans_pred_opti_data!D81</f>
        <v>108.70259521823367</v>
      </c>
    </row>
    <row r="82" spans="1:3" x14ac:dyDescent="0.2">
      <c r="A82" s="1">
        <v>0</v>
      </c>
      <c r="B82">
        <f>loans_pred_opti_data!D82*loans_pred_opti_data!B82</f>
        <v>467.96241145390337</v>
      </c>
      <c r="C82">
        <f>(loans_pred_opti_data!B82-ret_PESS!$G$35*loans_pred_opti_data!C82)*loans_pred_opti_data!D82</f>
        <v>363.63067102869155</v>
      </c>
    </row>
    <row r="83" spans="1:3" x14ac:dyDescent="0.2">
      <c r="A83" s="1">
        <v>0</v>
      </c>
      <c r="B83">
        <f>loans_pred_opti_data!D83*loans_pred_opti_data!B83</f>
        <v>461.98157724838677</v>
      </c>
      <c r="C83">
        <f>(loans_pred_opti_data!B83-ret_PESS!$G$35*loans_pred_opti_data!C83)*loans_pred_opti_data!D83</f>
        <v>364.1705705997507</v>
      </c>
    </row>
    <row r="84" spans="1:3" x14ac:dyDescent="0.2">
      <c r="A84" s="1">
        <v>0</v>
      </c>
      <c r="B84">
        <f>loans_pred_opti_data!D84*loans_pred_opti_data!B84</f>
        <v>136.39710030029019</v>
      </c>
      <c r="C84">
        <f>(loans_pred_opti_data!B84-ret_PESS!$G$35*loans_pred_opti_data!C84)*loans_pred_opti_data!D84</f>
        <v>83.915133019325637</v>
      </c>
    </row>
    <row r="85" spans="1:3" x14ac:dyDescent="0.2">
      <c r="A85" s="1">
        <v>0</v>
      </c>
      <c r="B85">
        <f>loans_pred_opti_data!D85*loans_pred_opti_data!B85</f>
        <v>58.140615446008752</v>
      </c>
      <c r="C85">
        <f>(loans_pred_opti_data!B85-ret_PESS!$G$35*loans_pred_opti_data!C85)*loans_pred_opti_data!D85</f>
        <v>-153.85608659200003</v>
      </c>
    </row>
    <row r="86" spans="1:3" x14ac:dyDescent="0.2">
      <c r="A86" s="1">
        <v>0</v>
      </c>
      <c r="B86">
        <f>loans_pred_opti_data!D86*loans_pred_opti_data!B86</f>
        <v>350.368196856937</v>
      </c>
      <c r="C86">
        <f>(loans_pred_opti_data!B86-ret_PESS!$G$35*loans_pred_opti_data!C86)*loans_pred_opti_data!D86</f>
        <v>268.85902464974026</v>
      </c>
    </row>
    <row r="87" spans="1:3" x14ac:dyDescent="0.2">
      <c r="A87" s="1">
        <v>0</v>
      </c>
      <c r="B87">
        <f>loans_pred_opti_data!D87*loans_pred_opti_data!B87</f>
        <v>184.26944507090295</v>
      </c>
      <c r="C87">
        <f>(loans_pred_opti_data!B87-ret_PESS!$G$35*loans_pred_opti_data!C87)*loans_pred_opti_data!D87</f>
        <v>117.02437799996567</v>
      </c>
    </row>
    <row r="88" spans="1:3" x14ac:dyDescent="0.2">
      <c r="A88" s="1">
        <v>0</v>
      </c>
      <c r="B88">
        <f>loans_pred_opti_data!D88*loans_pred_opti_data!B88</f>
        <v>323.24830962205255</v>
      </c>
      <c r="C88">
        <f>(loans_pred_opti_data!B88-ret_PESS!$G$35*loans_pred_opti_data!C88)*loans_pred_opti_data!D88</f>
        <v>263.53132119135057</v>
      </c>
    </row>
    <row r="89" spans="1:3" x14ac:dyDescent="0.2">
      <c r="A89" s="1">
        <v>0</v>
      </c>
      <c r="B89">
        <f>loans_pred_opti_data!D89*loans_pred_opti_data!B89</f>
        <v>626.40594586157283</v>
      </c>
      <c r="C89">
        <f>(loans_pred_opti_data!B89-ret_PESS!$G$35*loans_pred_opti_data!C89)*loans_pred_opti_data!D89</f>
        <v>422.88911190508441</v>
      </c>
    </row>
    <row r="90" spans="1:3" x14ac:dyDescent="0.2">
      <c r="A90" s="1">
        <v>0</v>
      </c>
      <c r="B90">
        <f>loans_pred_opti_data!D90*loans_pred_opti_data!B90</f>
        <v>596.60615504426789</v>
      </c>
      <c r="C90">
        <f>(loans_pred_opti_data!B90-ret_PESS!$G$35*loans_pred_opti_data!C90)*loans_pred_opti_data!D90</f>
        <v>483.32258680439725</v>
      </c>
    </row>
    <row r="91" spans="1:3" x14ac:dyDescent="0.2">
      <c r="A91" s="1">
        <v>1</v>
      </c>
      <c r="B91">
        <f>loans_pred_opti_data!D91*loans_pred_opti_data!B91</f>
        <v>507.537359168965</v>
      </c>
      <c r="C91">
        <f>(loans_pred_opti_data!B91-ret_PESS!$G$35*loans_pred_opti_data!C91)*loans_pred_opti_data!D91</f>
        <v>372.67596840721421</v>
      </c>
    </row>
    <row r="92" spans="1:3" x14ac:dyDescent="0.2">
      <c r="A92" s="1">
        <v>0</v>
      </c>
      <c r="B92">
        <f>loans_pred_opti_data!D92*loans_pred_opti_data!B92</f>
        <v>4.3866479443952198</v>
      </c>
      <c r="C92">
        <f>(loans_pred_opti_data!B92-ret_PESS!$G$35*loans_pred_opti_data!C92)*loans_pred_opti_data!D92</f>
        <v>-90.016325588830298</v>
      </c>
    </row>
    <row r="93" spans="1:3" x14ac:dyDescent="0.2">
      <c r="A93" s="1">
        <v>0</v>
      </c>
      <c r="B93">
        <f>loans_pred_opti_data!D93*loans_pred_opti_data!B93</f>
        <v>312.09065189803306</v>
      </c>
      <c r="C93">
        <f>(loans_pred_opti_data!B93-ret_PESS!$G$35*loans_pred_opti_data!C93)*loans_pred_opti_data!D93</f>
        <v>233.36770097658621</v>
      </c>
    </row>
    <row r="94" spans="1:3" x14ac:dyDescent="0.2">
      <c r="A94" s="1">
        <v>0</v>
      </c>
      <c r="B94">
        <f>loans_pred_opti_data!D94*loans_pred_opti_data!B94</f>
        <v>212.49993426558729</v>
      </c>
      <c r="C94">
        <f>(loans_pred_opti_data!B94-ret_PESS!$G$35*loans_pred_opti_data!C94)*loans_pred_opti_data!D94</f>
        <v>134.52672573386852</v>
      </c>
    </row>
    <row r="95" spans="1:3" x14ac:dyDescent="0.2">
      <c r="A95" s="1">
        <v>0</v>
      </c>
      <c r="B95">
        <f>loans_pred_opti_data!D95*loans_pred_opti_data!B95</f>
        <v>6.2647234619015073</v>
      </c>
      <c r="C95">
        <f>(loans_pred_opti_data!B95-ret_PESS!$G$35*loans_pred_opti_data!C95)*loans_pred_opti_data!D95</f>
        <v>-170.11653263372182</v>
      </c>
    </row>
    <row r="96" spans="1:3" x14ac:dyDescent="0.2">
      <c r="A96" s="1">
        <v>0</v>
      </c>
      <c r="B96">
        <f>loans_pred_opti_data!D96*loans_pred_opti_data!B96</f>
        <v>321.85193944538361</v>
      </c>
      <c r="C96">
        <f>(loans_pred_opti_data!B96-ret_PESS!$G$35*loans_pred_opti_data!C96)*loans_pred_opti_data!D96</f>
        <v>232.19185001746723</v>
      </c>
    </row>
    <row r="97" spans="1:3" x14ac:dyDescent="0.2">
      <c r="A97" s="1">
        <v>0</v>
      </c>
      <c r="B97">
        <f>loans_pred_opti_data!D97*loans_pred_opti_data!B97</f>
        <v>408.94172093898715</v>
      </c>
      <c r="C97">
        <f>(loans_pred_opti_data!B97-ret_PESS!$G$35*loans_pred_opti_data!C97)*loans_pred_opti_data!D97</f>
        <v>344.20825337334679</v>
      </c>
    </row>
    <row r="98" spans="1:3" x14ac:dyDescent="0.2">
      <c r="A98" s="1">
        <v>0</v>
      </c>
      <c r="B98">
        <f>loans_pred_opti_data!D98*loans_pred_opti_data!B98</f>
        <v>77.423684127701577</v>
      </c>
      <c r="C98">
        <f>(loans_pred_opti_data!B98-ret_PESS!$G$35*loans_pred_opti_data!C98)*loans_pred_opti_data!D98</f>
        <v>6.3069313769224475</v>
      </c>
    </row>
    <row r="99" spans="1:3" x14ac:dyDescent="0.2">
      <c r="A99" s="1">
        <v>0</v>
      </c>
      <c r="B99">
        <f>loans_pred_opti_data!D99*loans_pred_opti_data!B99</f>
        <v>1471.4030450026462</v>
      </c>
      <c r="C99">
        <f>(loans_pred_opti_data!B99-ret_PESS!$G$35*loans_pred_opti_data!C99)*loans_pred_opti_data!D99</f>
        <v>1282.597097936195</v>
      </c>
    </row>
    <row r="100" spans="1:3" x14ac:dyDescent="0.2">
      <c r="A100" s="1">
        <v>0</v>
      </c>
      <c r="B100">
        <f>loans_pred_opti_data!D100*loans_pred_opti_data!B100</f>
        <v>823.66040350066794</v>
      </c>
      <c r="C100">
        <f>(loans_pred_opti_data!B100-ret_PESS!$G$35*loans_pred_opti_data!C100)*loans_pred_opti_data!D100</f>
        <v>715.77129089126743</v>
      </c>
    </row>
    <row r="101" spans="1:3" x14ac:dyDescent="0.2">
      <c r="A101" s="1">
        <v>0</v>
      </c>
      <c r="B101">
        <f>loans_pred_opti_data!D101*loans_pred_opti_data!B101</f>
        <v>576.99200734339377</v>
      </c>
      <c r="C101">
        <f>(loans_pred_opti_data!B101-ret_PESS!$G$35*loans_pred_opti_data!C101)*loans_pred_opti_data!D101</f>
        <v>439.2415063132313</v>
      </c>
    </row>
    <row r="102" spans="1:3" x14ac:dyDescent="0.2">
      <c r="A102" s="1">
        <v>0</v>
      </c>
      <c r="B102">
        <f>loans_pred_opti_data!D102*loans_pred_opti_data!B102</f>
        <v>194.25208601881391</v>
      </c>
      <c r="C102">
        <f>(loans_pred_opti_data!B102-ret_PESS!$G$35*loans_pred_opti_data!C102)*loans_pred_opti_data!D102</f>
        <v>141.77011873784934</v>
      </c>
    </row>
    <row r="103" spans="1:3" x14ac:dyDescent="0.2">
      <c r="A103" s="1">
        <v>0</v>
      </c>
      <c r="B103">
        <f>loans_pred_opti_data!D103*loans_pred_opti_data!B103</f>
        <v>848.72642460870395</v>
      </c>
      <c r="C103">
        <f>(loans_pred_opti_data!B103-ret_PESS!$G$35*loans_pred_opti_data!C103)*loans_pred_opti_data!D103</f>
        <v>735.4428563688333</v>
      </c>
    </row>
    <row r="104" spans="1:3" x14ac:dyDescent="0.2">
      <c r="A104" s="1">
        <v>0</v>
      </c>
      <c r="B104">
        <f>loans_pred_opti_data!D104*loans_pred_opti_data!B104</f>
        <v>242.84555996315316</v>
      </c>
      <c r="C104">
        <f>(loans_pred_opti_data!B104-ret_PESS!$G$35*loans_pred_opti_data!C104)*loans_pred_opti_data!D104</f>
        <v>175.1929470311799</v>
      </c>
    </row>
    <row r="105" spans="1:3" x14ac:dyDescent="0.2">
      <c r="A105" s="1">
        <v>0</v>
      </c>
      <c r="B105">
        <f>loans_pred_opti_data!D105*loans_pred_opti_data!B105</f>
        <v>386.90240731357744</v>
      </c>
      <c r="C105">
        <f>(loans_pred_opti_data!B105-ret_PESS!$G$35*loans_pred_opti_data!C105)*loans_pred_opti_data!D105</f>
        <v>272.78956622350199</v>
      </c>
    </row>
    <row r="106" spans="1:3" x14ac:dyDescent="0.2">
      <c r="A106" s="1">
        <v>0</v>
      </c>
      <c r="B106">
        <f>loans_pred_opti_data!D106*loans_pred_opti_data!B106</f>
        <v>1239.0326633065181</v>
      </c>
      <c r="C106">
        <f>(loans_pred_opti_data!B106-ret_PESS!$G$35*loans_pred_opti_data!C106)*loans_pred_opti_data!D106</f>
        <v>1082.5934500228873</v>
      </c>
    </row>
    <row r="107" spans="1:3" x14ac:dyDescent="0.2">
      <c r="A107" s="1">
        <v>1</v>
      </c>
      <c r="B107">
        <f>loans_pred_opti_data!D107*loans_pred_opti_data!B107</f>
        <v>489.23179653376422</v>
      </c>
      <c r="C107">
        <f>(loans_pred_opti_data!B107-ret_PESS!$G$35*loans_pred_opti_data!C107)*loans_pred_opti_data!D107</f>
        <v>384.26786197183515</v>
      </c>
    </row>
    <row r="108" spans="1:3" x14ac:dyDescent="0.2">
      <c r="A108" s="1">
        <v>0</v>
      </c>
      <c r="B108">
        <f>loans_pred_opti_data!D108*loans_pred_opti_data!B108</f>
        <v>655.83445833178314</v>
      </c>
      <c r="C108">
        <f>(loans_pred_opti_data!B108-ret_PESS!$G$35*loans_pred_opti_data!C108)*loans_pred_opti_data!D108</f>
        <v>526.36752320050243</v>
      </c>
    </row>
    <row r="109" spans="1:3" x14ac:dyDescent="0.2">
      <c r="A109" s="1">
        <v>0</v>
      </c>
      <c r="B109">
        <f>loans_pred_opti_data!D109*loans_pred_opti_data!B109</f>
        <v>75.225358166455351</v>
      </c>
      <c r="C109">
        <f>(loans_pred_opti_data!B109-ret_PESS!$G$35*loans_pred_opti_data!C109)*loans_pred_opti_data!D109</f>
        <v>46.697147893936503</v>
      </c>
    </row>
    <row r="110" spans="1:3" x14ac:dyDescent="0.2">
      <c r="A110" s="1">
        <v>0</v>
      </c>
      <c r="B110">
        <f>loans_pred_opti_data!D110*loans_pred_opti_data!B110</f>
        <v>1.1504202354669919</v>
      </c>
      <c r="C110">
        <f>(loans_pred_opti_data!B110-ret_PESS!$G$35*loans_pred_opti_data!C110)*loans_pred_opti_data!D110</f>
        <v>-64.056917530290377</v>
      </c>
    </row>
    <row r="111" spans="1:3" x14ac:dyDescent="0.2">
      <c r="A111" s="1">
        <v>0</v>
      </c>
      <c r="B111">
        <f>loans_pred_opti_data!D111*loans_pred_opti_data!B111</f>
        <v>178.9430124373344</v>
      </c>
      <c r="C111">
        <f>(loans_pred_opti_data!B111-ret_PESS!$G$35*loans_pred_opti_data!C111)*loans_pred_opti_data!D111</f>
        <v>130.03750911301637</v>
      </c>
    </row>
    <row r="112" spans="1:3" x14ac:dyDescent="0.2">
      <c r="A112" s="1">
        <v>0</v>
      </c>
      <c r="B112">
        <f>loans_pred_opti_data!D112*loans_pred_opti_data!B112</f>
        <v>363.24047300986763</v>
      </c>
      <c r="C112">
        <f>(loans_pred_opti_data!B112-ret_PESS!$G$35*loans_pred_opti_data!C112)*loans_pred_opti_data!D112</f>
        <v>249.12763191979221</v>
      </c>
    </row>
    <row r="113" spans="1:3" x14ac:dyDescent="0.2">
      <c r="A113" s="1">
        <v>0</v>
      </c>
      <c r="B113">
        <f>loans_pred_opti_data!D113*loans_pred_opti_data!B113</f>
        <v>224.94715217211021</v>
      </c>
      <c r="C113">
        <f>(loans_pred_opti_data!B113-ret_PESS!$G$35*loans_pred_opti_data!C113)*loans_pred_opti_data!D113</f>
        <v>167.89073162707251</v>
      </c>
    </row>
    <row r="114" spans="1:3" x14ac:dyDescent="0.2">
      <c r="A114" s="1">
        <v>0</v>
      </c>
      <c r="B114">
        <f>loans_pred_opti_data!D114*loans_pred_opti_data!B114</f>
        <v>-52.709487244156861</v>
      </c>
      <c r="C114">
        <f>(loans_pred_opti_data!B114-ret_PESS!$G$35*loans_pred_opti_data!C114)*loans_pred_opti_data!D114</f>
        <v>-273.18605736368602</v>
      </c>
    </row>
    <row r="115" spans="1:3" x14ac:dyDescent="0.2">
      <c r="A115" s="1">
        <v>0</v>
      </c>
      <c r="B115">
        <f>loans_pred_opti_data!D115*loans_pred_opti_data!B115</f>
        <v>202.95819542968914</v>
      </c>
      <c r="C115">
        <f>(loans_pred_opti_data!B115-ret_PESS!$G$35*loans_pred_opti_data!C115)*loans_pred_opti_data!D115</f>
        <v>158.12815071573095</v>
      </c>
    </row>
    <row r="116" spans="1:3" x14ac:dyDescent="0.2">
      <c r="A116" s="1">
        <v>0</v>
      </c>
      <c r="B116">
        <f>loans_pred_opti_data!D116*loans_pred_opti_data!B116</f>
        <v>689.58266844776244</v>
      </c>
      <c r="C116">
        <f>(loans_pred_opti_data!B116-ret_PESS!$G$35*loans_pred_opti_data!C116)*loans_pred_opti_data!D116</f>
        <v>554.72127768601172</v>
      </c>
    </row>
    <row r="117" spans="1:3" x14ac:dyDescent="0.2">
      <c r="A117" s="1">
        <v>0</v>
      </c>
      <c r="B117">
        <f>loans_pred_opti_data!D117*loans_pred_opti_data!B117</f>
        <v>642.3867558752321</v>
      </c>
      <c r="C117">
        <f>(loans_pred_opti_data!B117-ret_PESS!$G$35*loans_pred_opti_data!C117)*loans_pred_opti_data!D117</f>
        <v>488.27839863471087</v>
      </c>
    </row>
    <row r="118" spans="1:3" x14ac:dyDescent="0.2">
      <c r="A118" s="1">
        <v>0</v>
      </c>
      <c r="B118">
        <f>loans_pred_opti_data!D118*loans_pred_opti_data!B118</f>
        <v>982.31291685498309</v>
      </c>
      <c r="C118">
        <f>(loans_pred_opti_data!B118-ret_PESS!$G$35*loans_pred_opti_data!C118)*loans_pred_opti_data!D118</f>
        <v>820.47924794088215</v>
      </c>
    </row>
    <row r="119" spans="1:3" x14ac:dyDescent="0.2">
      <c r="A119" s="1">
        <v>0</v>
      </c>
      <c r="B119">
        <f>loans_pred_opti_data!D119*loans_pred_opti_data!B119</f>
        <v>0.54758035785160419</v>
      </c>
      <c r="C119">
        <f>(loans_pred_opti_data!B119-ret_PESS!$G$35*loans_pred_opti_data!C119)*loans_pred_opti_data!D119</f>
        <v>-190.03745477431829</v>
      </c>
    </row>
    <row r="120" spans="1:3" x14ac:dyDescent="0.2">
      <c r="A120" s="1">
        <v>0</v>
      </c>
      <c r="B120">
        <f>loans_pred_opti_data!D120*loans_pred_opti_data!B120</f>
        <v>263.31885469971178</v>
      </c>
      <c r="C120">
        <f>(loans_pred_opti_data!B120-ret_PESS!$G$35*loans_pred_opti_data!C120)*loans_pred_opti_data!D120</f>
        <v>180.84719182962462</v>
      </c>
    </row>
    <row r="121" spans="1:3" x14ac:dyDescent="0.2">
      <c r="A121" s="1">
        <v>0</v>
      </c>
      <c r="B121">
        <f>loans_pred_opti_data!D121*loans_pred_opti_data!B121</f>
        <v>192.8166283328141</v>
      </c>
      <c r="C121">
        <f>(loans_pred_opti_data!B121-ret_PESS!$G$35*loans_pred_opti_data!C121)*loans_pred_opti_data!D121</f>
        <v>150.83105450804246</v>
      </c>
    </row>
    <row r="122" spans="1:3" x14ac:dyDescent="0.2">
      <c r="A122" s="1">
        <v>0</v>
      </c>
      <c r="B122">
        <f>loans_pred_opti_data!D122*loans_pred_opti_data!B122</f>
        <v>1302.5749998956021</v>
      </c>
      <c r="C122">
        <f>(loans_pred_opti_data!B122-ret_PESS!$G$35*loans_pred_opti_data!C122)*loans_pred_opti_data!D122</f>
        <v>1194.6858872862015</v>
      </c>
    </row>
    <row r="123" spans="1:3" x14ac:dyDescent="0.2">
      <c r="A123" s="1">
        <v>0</v>
      </c>
      <c r="B123">
        <f>loans_pred_opti_data!D123*loans_pred_opti_data!B123</f>
        <v>264.32126053875999</v>
      </c>
      <c r="C123">
        <f>(loans_pred_opti_data!B123-ret_PESS!$G$35*loans_pred_opti_data!C123)*loans_pred_opti_data!D123</f>
        <v>182.8120883315633</v>
      </c>
    </row>
    <row r="124" spans="1:3" x14ac:dyDescent="0.2">
      <c r="A124" s="1">
        <v>0</v>
      </c>
      <c r="B124">
        <f>loans_pred_opti_data!D124*loans_pred_opti_data!B124</f>
        <v>807.35421609220089</v>
      </c>
      <c r="C124">
        <f>(loans_pred_opti_data!B124-ret_PESS!$G$35*loans_pred_opti_data!C124)*loans_pred_opti_data!D124</f>
        <v>603.83738213571246</v>
      </c>
    </row>
    <row r="125" spans="1:3" x14ac:dyDescent="0.2">
      <c r="A125" s="1">
        <v>0</v>
      </c>
      <c r="B125">
        <f>loans_pred_opti_data!D125*loans_pred_opti_data!B125</f>
        <v>689.9799667131482</v>
      </c>
      <c r="C125">
        <f>(loans_pred_opti_data!B125-ret_PESS!$G$35*loans_pred_opti_data!C125)*loans_pred_opti_data!D125</f>
        <v>576.69639847327767</v>
      </c>
    </row>
    <row r="126" spans="1:3" x14ac:dyDescent="0.2">
      <c r="A126" s="1">
        <v>0</v>
      </c>
      <c r="B126">
        <f>loans_pred_opti_data!D126*loans_pred_opti_data!B126</f>
        <v>745.05066758231931</v>
      </c>
      <c r="C126">
        <f>(loans_pred_opti_data!B126-ret_PESS!$G$35*loans_pred_opti_data!C126)*loans_pred_opti_data!D126</f>
        <v>550.01370170735129</v>
      </c>
    </row>
    <row r="127" spans="1:3" x14ac:dyDescent="0.2">
      <c r="A127" s="1">
        <v>0</v>
      </c>
      <c r="B127">
        <f>loans_pred_opti_data!D127*loans_pred_opti_data!B127</f>
        <v>465.97799852185256</v>
      </c>
      <c r="C127">
        <f>(loans_pred_opti_data!B127-ret_PESS!$G$35*loans_pred_opti_data!C127)*loans_pred_opti_data!D127</f>
        <v>362.51354873937959</v>
      </c>
    </row>
    <row r="128" spans="1:3" x14ac:dyDescent="0.2">
      <c r="A128" s="1">
        <v>0</v>
      </c>
      <c r="B128">
        <f>loans_pred_opti_data!D128*loans_pred_opti_data!B128</f>
        <v>665.25645197746439</v>
      </c>
      <c r="C128">
        <f>(loans_pred_opti_data!B128-ret_PESS!$G$35*loans_pred_opti_data!C128)*loans_pred_opti_data!D128</f>
        <v>526.55893046099527</v>
      </c>
    </row>
    <row r="129" spans="1:3" x14ac:dyDescent="0.2">
      <c r="A129" s="1">
        <v>0</v>
      </c>
      <c r="B129">
        <f>loans_pred_opti_data!D129*loans_pred_opti_data!B129</f>
        <v>309.45514878124197</v>
      </c>
      <c r="C129">
        <f>(loans_pred_opti_data!B129-ret_PESS!$G$35*loans_pred_opti_data!C129)*loans_pred_opti_data!D129</f>
        <v>234.48090980843551</v>
      </c>
    </row>
    <row r="130" spans="1:3" x14ac:dyDescent="0.2">
      <c r="A130" s="1">
        <v>0</v>
      </c>
      <c r="B130">
        <f>loans_pred_opti_data!D130*loans_pred_opti_data!B130</f>
        <v>-201.53068052133438</v>
      </c>
      <c r="C130">
        <f>(loans_pred_opti_data!B130-ret_PESS!$G$35*loans_pred_opti_data!C130)*loans_pred_opti_data!D130</f>
        <v>-367.73609491913322</v>
      </c>
    </row>
    <row r="131" spans="1:3" x14ac:dyDescent="0.2">
      <c r="A131" s="1">
        <v>0</v>
      </c>
      <c r="B131">
        <f>loans_pred_opti_data!D131*loans_pred_opti_data!B131</f>
        <v>230.26970135165899</v>
      </c>
      <c r="C131">
        <f>(loans_pred_opti_data!B131-ret_PESS!$G$35*loans_pred_opti_data!C131)*loans_pred_opti_data!D131</f>
        <v>155.29546237885251</v>
      </c>
    </row>
    <row r="132" spans="1:3" x14ac:dyDescent="0.2">
      <c r="A132" s="1">
        <v>0</v>
      </c>
      <c r="B132">
        <f>loans_pred_opti_data!D132*loans_pred_opti_data!B132</f>
        <v>352.26214121616397</v>
      </c>
      <c r="C132">
        <f>(loans_pred_opti_data!B132-ret_PESS!$G$35*loans_pred_opti_data!C132)*loans_pred_opti_data!D132</f>
        <v>258.52659317788778</v>
      </c>
    </row>
    <row r="133" spans="1:3" x14ac:dyDescent="0.2">
      <c r="A133" s="1">
        <v>0</v>
      </c>
      <c r="B133">
        <f>loans_pred_opti_data!D133*loans_pred_opti_data!B133</f>
        <v>945.19106360177523</v>
      </c>
      <c r="C133">
        <f>(loans_pred_opti_data!B133-ret_PESS!$G$35*loans_pred_opti_data!C133)*loans_pred_opti_data!D133</f>
        <v>707.7547573192054</v>
      </c>
    </row>
    <row r="134" spans="1:3" x14ac:dyDescent="0.2">
      <c r="A134" s="1">
        <v>0</v>
      </c>
      <c r="B134">
        <f>loans_pred_opti_data!D134*loans_pred_opti_data!B134</f>
        <v>1574.3758330033056</v>
      </c>
      <c r="C134">
        <f>(loans_pred_opti_data!B134-ret_PESS!$G$35*loans_pred_opti_data!C134)*loans_pred_opti_data!D134</f>
        <v>1401.7532528282645</v>
      </c>
    </row>
    <row r="135" spans="1:3" x14ac:dyDescent="0.2">
      <c r="A135" s="1">
        <v>0</v>
      </c>
      <c r="B135">
        <f>loans_pred_opti_data!D135*loans_pred_opti_data!B135</f>
        <v>1.5518134180522687</v>
      </c>
      <c r="C135">
        <f>(loans_pred_opti_data!B135-ret_PESS!$G$35*loans_pred_opti_data!C135)*loans_pred_opti_data!D135</f>
        <v>-122.52066608275841</v>
      </c>
    </row>
    <row r="136" spans="1:3" x14ac:dyDescent="0.2">
      <c r="A136" s="1">
        <v>0</v>
      </c>
      <c r="B136">
        <f>loans_pred_opti_data!D136*loans_pred_opti_data!B136</f>
        <v>173.91942610157449</v>
      </c>
      <c r="C136">
        <f>(loans_pred_opti_data!B136-ret_PESS!$G$35*loans_pred_opti_data!C136)*loans_pred_opti_data!D136</f>
        <v>118.44041749498685</v>
      </c>
    </row>
    <row r="137" spans="1:3" x14ac:dyDescent="0.2">
      <c r="A137" s="1">
        <v>0</v>
      </c>
      <c r="B137">
        <f>loans_pred_opti_data!D137*loans_pred_opti_data!B137</f>
        <v>269.67183248452176</v>
      </c>
      <c r="C137">
        <f>(loans_pred_opti_data!B137-ret_PESS!$G$35*loans_pred_opti_data!C137)*loans_pred_opti_data!D137</f>
        <v>161.70892836368037</v>
      </c>
    </row>
    <row r="138" spans="1:3" x14ac:dyDescent="0.2">
      <c r="A138" s="1">
        <v>0</v>
      </c>
      <c r="B138">
        <f>loans_pred_opti_data!D138*loans_pred_opti_data!B138</f>
        <v>-38.400898972742397</v>
      </c>
      <c r="C138">
        <f>(loans_pred_opti_data!B138-ret_PESS!$G$35*loans_pred_opti_data!C138)*loans_pred_opti_data!D138</f>
        <v>-241.91773292923082</v>
      </c>
    </row>
    <row r="139" spans="1:3" x14ac:dyDescent="0.2">
      <c r="A139" s="1">
        <v>0</v>
      </c>
      <c r="B139">
        <f>loans_pred_opti_data!D139*loans_pred_opti_data!B139</f>
        <v>416.39768957235378</v>
      </c>
      <c r="C139">
        <f>(loans_pred_opti_data!B139-ret_PESS!$G$35*loans_pred_opti_data!C139)*loans_pred_opti_data!D139</f>
        <v>314.51122431335784</v>
      </c>
    </row>
    <row r="140" spans="1:3" x14ac:dyDescent="0.2">
      <c r="A140" s="1">
        <v>0</v>
      </c>
      <c r="B140">
        <f>loans_pred_opti_data!D140*loans_pred_opti_data!B140</f>
        <v>200.80166413887861</v>
      </c>
      <c r="C140">
        <f>(loans_pred_opti_data!B140-ret_PESS!$G$35*loans_pred_opti_data!C140)*loans_pred_opti_data!D140</f>
        <v>153.00558679371446</v>
      </c>
    </row>
    <row r="141" spans="1:3" x14ac:dyDescent="0.2">
      <c r="A141" s="1">
        <v>0</v>
      </c>
      <c r="B141">
        <f>loans_pred_opti_data!D141*loans_pred_opti_data!B141</f>
        <v>148.7390693250957</v>
      </c>
      <c r="C141">
        <f>(loans_pred_opti_data!B141-ret_PESS!$G$35*loans_pred_opti_data!C141)*loans_pred_opti_data!D141</f>
        <v>111.85616890133919</v>
      </c>
    </row>
    <row r="142" spans="1:3" x14ac:dyDescent="0.2">
      <c r="A142" s="1">
        <v>0</v>
      </c>
      <c r="B142">
        <f>loans_pred_opti_data!D142*loans_pred_opti_data!B142</f>
        <v>300.81823988079765</v>
      </c>
      <c r="C142">
        <f>(loans_pred_opti_data!B142-ret_PESS!$G$35*loans_pred_opti_data!C142)*loans_pred_opti_data!D142</f>
        <v>213.66068707491007</v>
      </c>
    </row>
    <row r="143" spans="1:3" x14ac:dyDescent="0.2">
      <c r="A143" s="1">
        <v>0</v>
      </c>
      <c r="B143">
        <f>loans_pred_opti_data!D143*loans_pred_opti_data!B143</f>
        <v>93.244196888942909</v>
      </c>
      <c r="C143">
        <f>(loans_pred_opti_data!B143-ret_PESS!$G$35*loans_pred_opti_data!C143)*loans_pred_opti_data!D143</f>
        <v>-49.217586880598994</v>
      </c>
    </row>
    <row r="144" spans="1:3" x14ac:dyDescent="0.2">
      <c r="A144" s="1">
        <v>0</v>
      </c>
      <c r="B144">
        <f>loans_pred_opti_data!D144*loans_pred_opti_data!B144</f>
        <v>119.5738881576964</v>
      </c>
      <c r="C144">
        <f>(loans_pred_opti_data!B144-ret_PESS!$G$35*loans_pred_opti_data!C144)*loans_pred_opti_data!D144</f>
        <v>88.752216709592162</v>
      </c>
    </row>
    <row r="145" spans="1:3" x14ac:dyDescent="0.2">
      <c r="A145" s="1">
        <v>0</v>
      </c>
      <c r="B145">
        <f>loans_pred_opti_data!D145*loans_pred_opti_data!B145</f>
        <v>279.77781875357323</v>
      </c>
      <c r="C145">
        <f>(loans_pred_opti_data!B145-ret_PESS!$G$35*loans_pred_opti_data!C145)*loans_pred_opti_data!D145</f>
        <v>-5.1457487855105368</v>
      </c>
    </row>
    <row r="146" spans="1:3" x14ac:dyDescent="0.2">
      <c r="A146" s="1">
        <v>0</v>
      </c>
      <c r="B146">
        <f>loans_pred_opti_data!D146*loans_pred_opti_data!B146</f>
        <v>745.52532816046312</v>
      </c>
      <c r="C146">
        <f>(loans_pred_opti_data!B146-ret_PESS!$G$35*loans_pred_opti_data!C146)*loans_pred_opti_data!D146</f>
        <v>648.42512681200265</v>
      </c>
    </row>
    <row r="147" spans="1:3" x14ac:dyDescent="0.2">
      <c r="A147" s="1">
        <v>0</v>
      </c>
      <c r="B147">
        <f>loans_pred_opti_data!D147*loans_pred_opti_data!B147</f>
        <v>863.20753591078744</v>
      </c>
      <c r="C147">
        <f>(loans_pred_opti_data!B147-ret_PESS!$G$35*loans_pred_opti_data!C147)*loans_pred_opti_data!D147</f>
        <v>728.34614514903672</v>
      </c>
    </row>
    <row r="148" spans="1:3" x14ac:dyDescent="0.2">
      <c r="A148" s="1">
        <v>0</v>
      </c>
      <c r="B148">
        <f>loans_pred_opti_data!D148*loans_pred_opti_data!B148</f>
        <v>189.27333233622159</v>
      </c>
      <c r="C148">
        <f>(loans_pred_opti_data!B148-ret_PESS!$G$35*loans_pred_opti_data!C148)*loans_pred_opti_data!D148</f>
        <v>124.06599457046423</v>
      </c>
    </row>
    <row r="149" spans="1:3" x14ac:dyDescent="0.2">
      <c r="A149" s="1">
        <v>0</v>
      </c>
      <c r="B149">
        <f>loans_pred_opti_data!D149*loans_pred_opti_data!B149</f>
        <v>429.70848725263198</v>
      </c>
      <c r="C149">
        <f>(loans_pred_opti_data!B149-ret_PESS!$G$35*loans_pred_opti_data!C149)*loans_pred_opti_data!D149</f>
        <v>192.27218097006215</v>
      </c>
    </row>
    <row r="150" spans="1:3" x14ac:dyDescent="0.2">
      <c r="A150" s="1">
        <v>0</v>
      </c>
      <c r="B150">
        <f>loans_pred_opti_data!D150*loans_pred_opti_data!B150</f>
        <v>580.06993867841345</v>
      </c>
      <c r="C150">
        <f>(loans_pred_opti_data!B150-ret_PESS!$G$35*loans_pred_opti_data!C150)*loans_pred_opti_data!D150</f>
        <v>466.7863704385428</v>
      </c>
    </row>
    <row r="151" spans="1:3" x14ac:dyDescent="0.2">
      <c r="A151" s="1">
        <v>0</v>
      </c>
      <c r="B151">
        <f>loans_pred_opti_data!D151*loans_pred_opti_data!B151</f>
        <v>303.04453389295099</v>
      </c>
      <c r="C151">
        <f>(loans_pred_opti_data!B151-ret_PESS!$G$35*loans_pred_opti_data!C151)*loans_pred_opti_data!D151</f>
        <v>229.07252241750083</v>
      </c>
    </row>
    <row r="152" spans="1:3" x14ac:dyDescent="0.2">
      <c r="A152" s="1">
        <v>0</v>
      </c>
      <c r="B152">
        <f>loans_pred_opti_data!D152*loans_pred_opti_data!B152</f>
        <v>608.81707785611593</v>
      </c>
      <c r="C152">
        <f>(loans_pred_opti_data!B152-ret_PESS!$G$35*loans_pred_opti_data!C152)*loans_pred_opti_data!D152</f>
        <v>500.92796524671536</v>
      </c>
    </row>
    <row r="153" spans="1:3" x14ac:dyDescent="0.2">
      <c r="A153" s="1">
        <v>0</v>
      </c>
      <c r="B153">
        <f>loans_pred_opti_data!D153*loans_pred_opti_data!B153</f>
        <v>102.72275733338486</v>
      </c>
      <c r="C153">
        <f>(loans_pred_opti_data!B153-ret_PESS!$G$35*loans_pred_opti_data!C153)*loans_pred_opti_data!D153</f>
        <v>-111.181915022966</v>
      </c>
    </row>
    <row r="154" spans="1:3" x14ac:dyDescent="0.2">
      <c r="A154" s="1">
        <v>0</v>
      </c>
      <c r="B154">
        <f>loans_pred_opti_data!D154*loans_pred_opti_data!B154</f>
        <v>-70.27170180606501</v>
      </c>
      <c r="C154">
        <f>(loans_pred_opti_data!B154-ret_PESS!$G$35*loans_pred_opti_data!C154)*loans_pred_opti_data!D154</f>
        <v>-294.98820596635431</v>
      </c>
    </row>
    <row r="155" spans="1:3" x14ac:dyDescent="0.2">
      <c r="A155" s="1">
        <v>0</v>
      </c>
      <c r="B155">
        <f>loans_pred_opti_data!D155*loans_pred_opti_data!B155</f>
        <v>349.68447391375815</v>
      </c>
      <c r="C155">
        <f>(loans_pred_opti_data!B155-ret_PESS!$G$35*loans_pred_opti_data!C155)*loans_pred_opti_data!D155</f>
        <v>233.47440350590807</v>
      </c>
    </row>
    <row r="156" spans="1:3" x14ac:dyDescent="0.2">
      <c r="A156" s="1">
        <v>0</v>
      </c>
      <c r="B156">
        <f>loans_pred_opti_data!D156*loans_pred_opti_data!B156</f>
        <v>332.46424104638396</v>
      </c>
      <c r="C156">
        <f>(loans_pred_opti_data!B156-ret_PESS!$G$35*loans_pred_opti_data!C156)*loans_pred_opti_data!D156</f>
        <v>255.41006242612337</v>
      </c>
    </row>
    <row r="157" spans="1:3" x14ac:dyDescent="0.2">
      <c r="A157" s="1">
        <v>0</v>
      </c>
      <c r="B157">
        <f>loans_pred_opti_data!D157*loans_pred_opti_data!B157</f>
        <v>440.6735671523802</v>
      </c>
      <c r="C157">
        <f>(loans_pred_opti_data!B157-ret_PESS!$G$35*loans_pred_opti_data!C157)*loans_pred_opti_data!D157</f>
        <v>293.9570571794261</v>
      </c>
    </row>
    <row r="158" spans="1:3" x14ac:dyDescent="0.2">
      <c r="A158" s="1">
        <v>0</v>
      </c>
      <c r="B158">
        <f>loans_pred_opti_data!D158*loans_pred_opti_data!B158</f>
        <v>-50.969369205890246</v>
      </c>
      <c r="C158">
        <f>(loans_pred_opti_data!B158-ret_PESS!$G$35*loans_pred_opti_data!C158)*loans_pred_opti_data!D158</f>
        <v>-168.16391777785162</v>
      </c>
    </row>
    <row r="159" spans="1:3" x14ac:dyDescent="0.2">
      <c r="A159" s="1">
        <v>0</v>
      </c>
      <c r="B159">
        <f>loans_pred_opti_data!D159*loans_pred_opti_data!B159</f>
        <v>675.59628974691839</v>
      </c>
      <c r="C159">
        <f>(loans_pred_opti_data!B159-ret_PESS!$G$35*loans_pred_opti_data!C159)*loans_pred_opti_data!D159</f>
        <v>524.5515320937576</v>
      </c>
    </row>
    <row r="160" spans="1:3" x14ac:dyDescent="0.2">
      <c r="A160" s="1">
        <v>0</v>
      </c>
      <c r="B160">
        <f>loans_pred_opti_data!D160*loans_pred_opti_data!B160</f>
        <v>341.10064399110479</v>
      </c>
      <c r="C160">
        <f>(loans_pred_opti_data!B160-ret_PESS!$G$35*loans_pred_opti_data!C160)*loans_pred_opti_data!D160</f>
        <v>244.00044264264426</v>
      </c>
    </row>
    <row r="161" spans="1:3" x14ac:dyDescent="0.2">
      <c r="A161" s="1">
        <v>0</v>
      </c>
      <c r="B161">
        <f>loans_pred_opti_data!D161*loans_pred_opti_data!B161</f>
        <v>193.84868764853945</v>
      </c>
      <c r="C161">
        <f>(loans_pred_opti_data!B161-ret_PESS!$G$35*loans_pred_opti_data!C161)*loans_pred_opti_data!D161</f>
        <v>124.56589127242226</v>
      </c>
    </row>
    <row r="162" spans="1:3" x14ac:dyDescent="0.2">
      <c r="A162" s="1">
        <v>1</v>
      </c>
      <c r="B162">
        <f>loans_pred_opti_data!D162*loans_pred_opti_data!B162</f>
        <v>292.17452284895501</v>
      </c>
      <c r="C162">
        <f>(loans_pred_opti_data!B162-ret_PESS!$G$35*loans_pred_opti_data!C162)*loans_pred_opti_data!D162</f>
        <v>217.20028387614852</v>
      </c>
    </row>
    <row r="163" spans="1:3" x14ac:dyDescent="0.2">
      <c r="A163" s="1">
        <v>0</v>
      </c>
      <c r="B163">
        <f>loans_pred_opti_data!D163*loans_pred_opti_data!B163</f>
        <v>296.10168049701497</v>
      </c>
      <c r="C163">
        <f>(loans_pred_opti_data!B163-ret_PESS!$G$35*loans_pred_opti_data!C163)*loans_pred_opti_data!D163</f>
        <v>221.12744152420851</v>
      </c>
    </row>
    <row r="164" spans="1:3" x14ac:dyDescent="0.2">
      <c r="A164" s="1">
        <v>0</v>
      </c>
      <c r="B164">
        <f>loans_pred_opti_data!D164*loans_pred_opti_data!B164</f>
        <v>462.22072858767257</v>
      </c>
      <c r="C164">
        <f>(loans_pred_opti_data!B164-ret_PESS!$G$35*loans_pred_opti_data!C164)*loans_pred_opti_data!D164</f>
        <v>357.25679402574349</v>
      </c>
    </row>
    <row r="165" spans="1:3" x14ac:dyDescent="0.2">
      <c r="A165" s="1">
        <v>0</v>
      </c>
      <c r="B165">
        <f>loans_pred_opti_data!D165*loans_pred_opti_data!B165</f>
        <v>638.92128912523799</v>
      </c>
      <c r="C165">
        <f>(loans_pred_opti_data!B165-ret_PESS!$G$35*loans_pred_opti_data!C165)*loans_pred_opti_data!D165</f>
        <v>475.90294471084457</v>
      </c>
    </row>
    <row r="166" spans="1:3" x14ac:dyDescent="0.2">
      <c r="A166" s="1">
        <v>0</v>
      </c>
      <c r="B166">
        <f>loans_pred_opti_data!D166*loans_pred_opti_data!B166</f>
        <v>457.42704569763458</v>
      </c>
      <c r="C166">
        <f>(loans_pred_opti_data!B166-ret_PESS!$G$35*loans_pred_opti_data!C166)*loans_pred_opti_data!D166</f>
        <v>379.17824037872572</v>
      </c>
    </row>
    <row r="167" spans="1:3" x14ac:dyDescent="0.2">
      <c r="A167" s="1">
        <v>0</v>
      </c>
      <c r="B167">
        <f>loans_pred_opti_data!D167*loans_pred_opti_data!B167</f>
        <v>-84.423962777180051</v>
      </c>
      <c r="C167">
        <f>(loans_pred_opti_data!B167-ret_PESS!$G$35*loans_pred_opti_data!C167)*loans_pred_opti_data!D167</f>
        <v>-333.52008767184037</v>
      </c>
    </row>
    <row r="168" spans="1:3" x14ac:dyDescent="0.2">
      <c r="A168" s="1">
        <v>0</v>
      </c>
      <c r="B168">
        <f>loans_pred_opti_data!D168*loans_pred_opti_data!B168</f>
        <v>16.38357018280125</v>
      </c>
      <c r="C168">
        <f>(loans_pred_opti_data!B168-ret_PESS!$G$35*loans_pred_opti_data!C168)*loans_pred_opti_data!D168</f>
        <v>-96.077788276408498</v>
      </c>
    </row>
    <row r="169" spans="1:3" x14ac:dyDescent="0.2">
      <c r="A169" s="1">
        <v>0</v>
      </c>
      <c r="B169">
        <f>loans_pred_opti_data!D169*loans_pred_opti_data!B169</f>
        <v>206.38688996894763</v>
      </c>
      <c r="C169">
        <f>(loans_pred_opti_data!B169-ret_PESS!$G$35*loans_pred_opti_data!C169)*loans_pred_opti_data!D169</f>
        <v>161.40234658526373</v>
      </c>
    </row>
    <row r="170" spans="1:3" x14ac:dyDescent="0.2">
      <c r="A170" s="1">
        <v>0</v>
      </c>
      <c r="B170">
        <f>loans_pred_opti_data!D170*loans_pred_opti_data!B170</f>
        <v>1076.68347666</v>
      </c>
      <c r="C170">
        <f>(loans_pred_opti_data!B170-ret_PESS!$G$35*loans_pred_opti_data!C170)*loans_pred_opti_data!D170</f>
        <v>914.84980774589906</v>
      </c>
    </row>
    <row r="171" spans="1:3" x14ac:dyDescent="0.2">
      <c r="A171" s="1">
        <v>0</v>
      </c>
      <c r="B171">
        <f>loans_pred_opti_data!D171*loans_pred_opti_data!B171</f>
        <v>232.17261411004154</v>
      </c>
      <c r="C171">
        <f>(loans_pred_opti_data!B171-ret_PESS!$G$35*loans_pred_opti_data!C171)*loans_pred_opti_data!D171</f>
        <v>175.11619356500381</v>
      </c>
    </row>
    <row r="172" spans="1:3" x14ac:dyDescent="0.2">
      <c r="A172" s="1">
        <v>0</v>
      </c>
      <c r="B172">
        <f>loans_pred_opti_data!D172*loans_pred_opti_data!B172</f>
        <v>86.076290341890115</v>
      </c>
      <c r="C172">
        <f>(loans_pred_opti_data!B172-ret_PESS!$G$35*loans_pred_opti_data!C172)*loans_pred_opti_data!D172</f>
        <v>-6.3887240024225989</v>
      </c>
    </row>
    <row r="173" spans="1:3" x14ac:dyDescent="0.2">
      <c r="A173" s="1">
        <v>0</v>
      </c>
      <c r="B173">
        <f>loans_pred_opti_data!D173*loans_pred_opti_data!B173</f>
        <v>358.21630645679005</v>
      </c>
      <c r="C173">
        <f>(loans_pred_opti_data!B173-ret_PESS!$G$35*loans_pred_opti_data!C173)*loans_pred_opti_data!D173</f>
        <v>258.97888929452802</v>
      </c>
    </row>
    <row r="174" spans="1:3" x14ac:dyDescent="0.2">
      <c r="A174" s="1">
        <v>0</v>
      </c>
      <c r="B174">
        <f>loans_pred_opti_data!D174*loans_pred_opti_data!B174</f>
        <v>264.32360989342942</v>
      </c>
      <c r="C174">
        <f>(loans_pred_opti_data!B174-ret_PESS!$G$35*loans_pred_opti_data!C174)*loans_pred_opti_data!D174</f>
        <v>190.35159841797926</v>
      </c>
    </row>
    <row r="175" spans="1:3" x14ac:dyDescent="0.2">
      <c r="A175" s="1">
        <v>0</v>
      </c>
      <c r="B175">
        <f>loans_pred_opti_data!D175*loans_pred_opti_data!B175</f>
        <v>91.648401743465556</v>
      </c>
      <c r="C175">
        <f>(loans_pred_opti_data!B175-ret_PESS!$G$35*loans_pred_opti_data!C175)*loans_pred_opti_data!D175</f>
        <v>-88.760791690879913</v>
      </c>
    </row>
    <row r="176" spans="1:3" x14ac:dyDescent="0.2">
      <c r="A176" s="1">
        <v>0</v>
      </c>
      <c r="B176">
        <f>loans_pred_opti_data!D176*loans_pred_opti_data!B176</f>
        <v>147.54663077433301</v>
      </c>
      <c r="C176">
        <f>(loans_pred_opti_data!B176-ret_PESS!$G$35*loans_pred_opti_data!C176)*loans_pred_opti_data!D176</f>
        <v>98.641127450014991</v>
      </c>
    </row>
    <row r="177" spans="1:3" x14ac:dyDescent="0.2">
      <c r="A177" s="1">
        <v>1</v>
      </c>
      <c r="B177">
        <f>loans_pred_opti_data!D177*loans_pred_opti_data!B177</f>
        <v>-11.833695740408661</v>
      </c>
      <c r="C177">
        <f>(loans_pred_opti_data!B177-ret_PESS!$G$35*loans_pred_opti_data!C177)*loans_pred_opti_data!D177</f>
        <v>-115.85683687776047</v>
      </c>
    </row>
    <row r="178" spans="1:3" x14ac:dyDescent="0.2">
      <c r="A178" s="1">
        <v>0</v>
      </c>
      <c r="B178">
        <f>loans_pred_opti_data!D178*loans_pred_opti_data!B178</f>
        <v>390.60609252146503</v>
      </c>
      <c r="C178">
        <f>(loans_pred_opti_data!B178-ret_PESS!$G$35*loans_pred_opti_data!C178)*loans_pred_opti_data!D178</f>
        <v>315.63185354865851</v>
      </c>
    </row>
    <row r="179" spans="1:3" x14ac:dyDescent="0.2">
      <c r="A179" s="1">
        <v>0</v>
      </c>
      <c r="B179">
        <f>loans_pred_opti_data!D179*loans_pred_opti_data!B179</f>
        <v>438.17479518757199</v>
      </c>
      <c r="C179">
        <f>(loans_pred_opti_data!B179-ret_PESS!$G$35*loans_pred_opti_data!C179)*loans_pred_opti_data!D179</f>
        <v>315.9110368767769</v>
      </c>
    </row>
    <row r="180" spans="1:3" x14ac:dyDescent="0.2">
      <c r="A180" s="1">
        <v>0</v>
      </c>
      <c r="B180">
        <f>loans_pred_opti_data!D180*loans_pred_opti_data!B180</f>
        <v>317.27238743696267</v>
      </c>
      <c r="C180">
        <f>(loans_pred_opti_data!B180-ret_PESS!$G$35*loans_pred_opti_data!C180)*loans_pred_opti_data!D180</f>
        <v>238.54943651551585</v>
      </c>
    </row>
    <row r="181" spans="1:3" x14ac:dyDescent="0.2">
      <c r="A181" s="1">
        <v>0</v>
      </c>
      <c r="B181">
        <f>loans_pred_opti_data!D181*loans_pred_opti_data!B181</f>
        <v>201.22798878520749</v>
      </c>
      <c r="C181">
        <f>(loans_pred_opti_data!B181-ret_PESS!$G$35*loans_pred_opti_data!C181)*loans_pred_opti_data!D181</f>
        <v>163.74086929880426</v>
      </c>
    </row>
    <row r="182" spans="1:3" x14ac:dyDescent="0.2">
      <c r="A182" s="1">
        <v>0</v>
      </c>
      <c r="B182">
        <f>loans_pred_opti_data!D182*loans_pred_opti_data!B182</f>
        <v>166.52539250706582</v>
      </c>
      <c r="C182">
        <f>(loans_pred_opti_data!B182-ret_PESS!$G$35*loans_pred_opti_data!C182)*loans_pred_opti_data!D182</f>
        <v>60.563468637710088</v>
      </c>
    </row>
    <row r="183" spans="1:3" x14ac:dyDescent="0.2">
      <c r="A183" s="1">
        <v>0</v>
      </c>
      <c r="B183">
        <f>loans_pred_opti_data!D183*loans_pred_opti_data!B183</f>
        <v>-52.679188268937473</v>
      </c>
      <c r="C183">
        <f>(loans_pred_opti_data!B183-ret_PESS!$G$35*loans_pred_opti_data!C183)*loans_pred_opti_data!D183</f>
        <v>-194.71697863440335</v>
      </c>
    </row>
    <row r="184" spans="1:3" x14ac:dyDescent="0.2">
      <c r="A184" s="1">
        <v>0</v>
      </c>
      <c r="B184">
        <f>loans_pred_opti_data!D184*loans_pred_opti_data!B184</f>
        <v>387.56927973053519</v>
      </c>
      <c r="C184">
        <f>(loans_pred_opti_data!B184-ret_PESS!$G$35*loans_pred_opti_data!C184)*loans_pred_opti_data!D184</f>
        <v>289.75827308189912</v>
      </c>
    </row>
    <row r="185" spans="1:3" x14ac:dyDescent="0.2">
      <c r="A185" s="1">
        <v>0</v>
      </c>
      <c r="B185">
        <f>loans_pred_opti_data!D185*loans_pred_opti_data!B185</f>
        <v>138.25383194928585</v>
      </c>
      <c r="C185">
        <f>(loans_pred_opti_data!B185-ret_PESS!$G$35*loans_pred_opti_data!C185)*loans_pred_opti_data!D185</f>
        <v>112.01284830880358</v>
      </c>
    </row>
    <row r="186" spans="1:3" x14ac:dyDescent="0.2">
      <c r="A186" s="1">
        <v>0</v>
      </c>
      <c r="B186">
        <f>loans_pred_opti_data!D186*loans_pred_opti_data!B186</f>
        <v>225.67088379669468</v>
      </c>
      <c r="C186">
        <f>(loans_pred_opti_data!B186-ret_PESS!$G$35*loans_pred_opti_data!C186)*loans_pred_opti_data!D186</f>
        <v>-71.124499056517593</v>
      </c>
    </row>
    <row r="187" spans="1:3" x14ac:dyDescent="0.2">
      <c r="A187" s="1">
        <v>0</v>
      </c>
      <c r="B187">
        <f>loans_pred_opti_data!D187*loans_pred_opti_data!B187</f>
        <v>167.60979429252001</v>
      </c>
      <c r="C187">
        <f>(loans_pred_opti_data!B187-ret_PESS!$G$35*loans_pred_opti_data!C187)*loans_pred_opti_data!D187</f>
        <v>126.85520818892165</v>
      </c>
    </row>
    <row r="188" spans="1:3" x14ac:dyDescent="0.2">
      <c r="A188" s="1">
        <v>0</v>
      </c>
      <c r="B188">
        <f>loans_pred_opti_data!D188*loans_pred_opti_data!B188</f>
        <v>410.969631567894</v>
      </c>
      <c r="C188">
        <f>(loans_pred_opti_data!B188-ret_PESS!$G$35*loans_pred_opti_data!C188)*loans_pred_opti_data!D188</f>
        <v>173.53332528532417</v>
      </c>
    </row>
    <row r="189" spans="1:3" x14ac:dyDescent="0.2">
      <c r="A189" s="1">
        <v>0</v>
      </c>
      <c r="B189">
        <f>loans_pred_opti_data!D189*loans_pred_opti_data!B189</f>
        <v>304.66925331850501</v>
      </c>
      <c r="C189">
        <f>(loans_pred_opti_data!B189-ret_PESS!$G$35*loans_pred_opti_data!C189)*loans_pred_opti_data!D189</f>
        <v>223.16008111130833</v>
      </c>
    </row>
    <row r="190" spans="1:3" x14ac:dyDescent="0.2">
      <c r="A190" s="1">
        <v>0</v>
      </c>
      <c r="B190">
        <f>loans_pred_opti_data!D190*loans_pred_opti_data!B190</f>
        <v>327.12627450687899</v>
      </c>
      <c r="C190">
        <f>(loans_pred_opti_data!B190-ret_PESS!$G$35*loans_pred_opti_data!C190)*loans_pred_opti_data!D190</f>
        <v>252.1520355340725</v>
      </c>
    </row>
    <row r="191" spans="1:3" x14ac:dyDescent="0.2">
      <c r="A191" s="1">
        <v>0</v>
      </c>
      <c r="B191">
        <f>loans_pred_opti_data!D191*loans_pred_opti_data!B191</f>
        <v>464.9976045122454</v>
      </c>
      <c r="C191">
        <f>(loans_pred_opti_data!B191-ret_PESS!$G$35*loans_pred_opti_data!C191)*loans_pred_opti_data!D191</f>
        <v>318.28109453929136</v>
      </c>
    </row>
    <row r="192" spans="1:3" x14ac:dyDescent="0.2">
      <c r="A192" s="1">
        <v>1</v>
      </c>
      <c r="B192">
        <f>loans_pred_opti_data!D192*loans_pred_opti_data!B192</f>
        <v>97.208615164165494</v>
      </c>
      <c r="C192">
        <f>(loans_pred_opti_data!B192-ret_PESS!$G$35*loans_pred_opti_data!C192)*loans_pred_opti_data!D192</f>
        <v>72.755863502006477</v>
      </c>
    </row>
    <row r="193" spans="1:3" x14ac:dyDescent="0.2">
      <c r="A193" s="1">
        <v>0</v>
      </c>
      <c r="B193">
        <f>loans_pred_opti_data!D193*loans_pred_opti_data!B193</f>
        <v>253.82715449156561</v>
      </c>
      <c r="C193">
        <f>(loans_pred_opti_data!B193-ret_PESS!$G$35*loans_pred_opti_data!C193)*loans_pred_opti_data!D193</f>
        <v>188.61981672580825</v>
      </c>
    </row>
    <row r="194" spans="1:3" x14ac:dyDescent="0.2">
      <c r="A194" s="1">
        <v>0</v>
      </c>
      <c r="B194">
        <f>loans_pred_opti_data!D194*loans_pred_opti_data!B194</f>
        <v>91.553093219449494</v>
      </c>
      <c r="C194">
        <f>(loans_pred_opti_data!B194-ret_PESS!$G$35*loans_pred_opti_data!C194)*loans_pred_opti_data!D194</f>
        <v>68.436839633371321</v>
      </c>
    </row>
    <row r="195" spans="1:3" x14ac:dyDescent="0.2">
      <c r="A195" s="1">
        <v>0</v>
      </c>
      <c r="B195">
        <f>loans_pred_opti_data!D195*loans_pred_opti_data!B195</f>
        <v>448.43292913087953</v>
      </c>
      <c r="C195">
        <f>(loans_pred_opti_data!B195-ret_PESS!$G$35*loans_pred_opti_data!C195)*loans_pred_opti_data!D195</f>
        <v>335.97157067166972</v>
      </c>
    </row>
    <row r="196" spans="1:3" x14ac:dyDescent="0.2">
      <c r="A196" s="1">
        <v>0</v>
      </c>
      <c r="B196">
        <f>loans_pred_opti_data!D196*loans_pred_opti_data!B196</f>
        <v>548.78025484437808</v>
      </c>
      <c r="C196">
        <f>(loans_pred_opti_data!B196-ret_PESS!$G$35*loans_pred_opti_data!C196)*loans_pred_opti_data!D196</f>
        <v>457.07450912638757</v>
      </c>
    </row>
    <row r="197" spans="1:3" x14ac:dyDescent="0.2">
      <c r="A197" s="1">
        <v>0</v>
      </c>
      <c r="B197">
        <f>loans_pred_opti_data!D197*loans_pred_opti_data!B197</f>
        <v>346.239732624331</v>
      </c>
      <c r="C197">
        <f>(loans_pred_opti_data!B197-ret_PESS!$G$35*loans_pred_opti_data!C197)*loans_pred_opti_data!D197</f>
        <v>197.89303920723302</v>
      </c>
    </row>
    <row r="198" spans="1:3" x14ac:dyDescent="0.2">
      <c r="A198" s="1">
        <v>1</v>
      </c>
      <c r="B198">
        <f>loans_pred_opti_data!D198*loans_pred_opti_data!B198</f>
        <v>434.52794654618879</v>
      </c>
      <c r="C198">
        <f>(loans_pred_opti_data!B198-ret_PESS!$G$35*loans_pred_opti_data!C198)*loans_pred_opti_data!D198</f>
        <v>305.06101141490808</v>
      </c>
    </row>
    <row r="199" spans="1:3" x14ac:dyDescent="0.2">
      <c r="A199" s="1">
        <v>0</v>
      </c>
      <c r="B199">
        <f>loans_pred_opti_data!D199*loans_pred_opti_data!B199</f>
        <v>939.18181902038509</v>
      </c>
      <c r="C199">
        <f>(loans_pred_opti_data!B199-ret_PESS!$G$35*loans_pred_opti_data!C199)*loans_pred_opti_data!D199</f>
        <v>804.32042825863437</v>
      </c>
    </row>
    <row r="200" spans="1:3" x14ac:dyDescent="0.2">
      <c r="A200" s="1">
        <v>0</v>
      </c>
      <c r="B200">
        <f>loans_pred_opti_data!D200*loans_pred_opti_data!B200</f>
        <v>332.48734211984163</v>
      </c>
      <c r="C200">
        <f>(loans_pred_opti_data!B200-ret_PESS!$G$35*loans_pred_opti_data!C200)*loans_pred_opti_data!D200</f>
        <v>272.50795094159639</v>
      </c>
    </row>
    <row r="201" spans="1:3" x14ac:dyDescent="0.2">
      <c r="A201" s="1">
        <v>0</v>
      </c>
      <c r="B201">
        <f>loans_pred_opti_data!D201*loans_pred_opti_data!B201</f>
        <v>316.61459685829703</v>
      </c>
      <c r="C201">
        <f>(loans_pred_opti_data!B201-ret_PESS!$G$35*loans_pred_opti_data!C201)*loans_pred_opti_data!D201</f>
        <v>235.10542465110029</v>
      </c>
    </row>
    <row r="202" spans="1:3" x14ac:dyDescent="0.2">
      <c r="A202" s="1">
        <v>0</v>
      </c>
      <c r="B202">
        <f>loans_pred_opti_data!D202*loans_pred_opti_data!B202</f>
        <v>133.13997184212081</v>
      </c>
      <c r="C202">
        <f>(loans_pred_opti_data!B202-ret_PESS!$G$35*loans_pred_opti_data!C202)*loans_pred_opti_data!D202</f>
        <v>-36.457389788286214</v>
      </c>
    </row>
    <row r="203" spans="1:3" x14ac:dyDescent="0.2">
      <c r="A203" s="1">
        <v>0</v>
      </c>
      <c r="B203">
        <f>loans_pred_opti_data!D203*loans_pred_opti_data!B203</f>
        <v>79.370616498231414</v>
      </c>
      <c r="C203">
        <f>(loans_pred_opti_data!B203-ret_PESS!$G$35*loans_pred_opti_data!C203)*loans_pred_opti_data!D203</f>
        <v>-10.289472929684964</v>
      </c>
    </row>
    <row r="204" spans="1:3" x14ac:dyDescent="0.2">
      <c r="A204" s="1">
        <v>0</v>
      </c>
      <c r="B204">
        <f>loans_pred_opti_data!D204*loans_pred_opti_data!B204</f>
        <v>306.39908540600698</v>
      </c>
      <c r="C204">
        <f>(loans_pred_opti_data!B204-ret_PESS!$G$35*loans_pred_opti_data!C204)*loans_pred_opti_data!D204</f>
        <v>224.88991319881032</v>
      </c>
    </row>
    <row r="205" spans="1:3" x14ac:dyDescent="0.2">
      <c r="A205" s="1">
        <v>0</v>
      </c>
      <c r="B205">
        <f>loans_pred_opti_data!D205*loans_pred_opti_data!B205</f>
        <v>157.46467922962302</v>
      </c>
      <c r="C205">
        <f>(loans_pred_opti_data!B205-ret_PESS!$G$35*loans_pred_opti_data!C205)*loans_pred_opti_data!D205</f>
        <v>116.71009312602465</v>
      </c>
    </row>
    <row r="206" spans="1:3" x14ac:dyDescent="0.2">
      <c r="A206" s="1">
        <v>0</v>
      </c>
      <c r="B206">
        <f>loans_pred_opti_data!D206*loans_pred_opti_data!B206</f>
        <v>178.12592968917122</v>
      </c>
      <c r="C206">
        <f>(loans_pred_opti_data!B206-ret_PESS!$G$35*loans_pred_opti_data!C206)*loans_pred_opti_data!D206</f>
        <v>129.22042636485318</v>
      </c>
    </row>
    <row r="207" spans="1:3" x14ac:dyDescent="0.2">
      <c r="A207" s="1">
        <v>0</v>
      </c>
      <c r="B207">
        <f>loans_pred_opti_data!D207*loans_pred_opti_data!B207</f>
        <v>3.0030555747374401</v>
      </c>
      <c r="C207">
        <f>(loans_pred_opti_data!B207-ret_PESS!$G$35*loans_pred_opti_data!C207)*loans_pred_opti_data!D207</f>
        <v>-86.966031192630368</v>
      </c>
    </row>
    <row r="208" spans="1:3" x14ac:dyDescent="0.2">
      <c r="A208" s="1">
        <v>1</v>
      </c>
      <c r="B208">
        <f>loans_pred_opti_data!D208*loans_pred_opti_data!B208</f>
        <v>89.758917297117009</v>
      </c>
      <c r="C208">
        <f>(loans_pred_opti_data!B208-ret_PESS!$G$35*loans_pred_opti_data!C208)*loans_pred_opti_data!D208</f>
        <v>44.774373913433102</v>
      </c>
    </row>
    <row r="209" spans="1:3" x14ac:dyDescent="0.2">
      <c r="A209" s="1">
        <v>0</v>
      </c>
      <c r="B209">
        <f>loans_pred_opti_data!D209*loans_pred_opti_data!B209</f>
        <v>1320.0184926052286</v>
      </c>
      <c r="C209">
        <f>(loans_pred_opti_data!B209-ret_PESS!$G$35*loans_pred_opti_data!C209)*loans_pred_opti_data!D209</f>
        <v>1023.2231097520163</v>
      </c>
    </row>
    <row r="210" spans="1:3" x14ac:dyDescent="0.2">
      <c r="A210" s="1">
        <v>0</v>
      </c>
      <c r="B210">
        <f>loans_pred_opti_data!D210*loans_pred_opti_data!B210</f>
        <v>503.84975982264802</v>
      </c>
      <c r="C210">
        <f>(loans_pred_opti_data!B210-ret_PESS!$G$35*loans_pred_opti_data!C210)*loans_pred_opti_data!D210</f>
        <v>417.53846973512753</v>
      </c>
    </row>
    <row r="211" spans="1:3" x14ac:dyDescent="0.2">
      <c r="A211" s="1">
        <v>0</v>
      </c>
      <c r="B211">
        <f>loans_pred_opti_data!D211*loans_pred_opti_data!B211</f>
        <v>177.51890792896401</v>
      </c>
      <c r="C211">
        <f>(loans_pred_opti_data!B211-ret_PESS!$G$35*loans_pred_opti_data!C211)*loans_pred_opti_data!D211</f>
        <v>96.009735721767299</v>
      </c>
    </row>
    <row r="212" spans="1:3" x14ac:dyDescent="0.2">
      <c r="A212" s="1">
        <v>0</v>
      </c>
      <c r="B212">
        <f>loans_pred_opti_data!D212*loans_pred_opti_data!B212</f>
        <v>219.86104235726251</v>
      </c>
      <c r="C212">
        <f>(loans_pred_opti_data!B212-ret_PESS!$G$35*loans_pred_opti_data!C212)*loans_pred_opti_data!D212</f>
        <v>152.38422728173666</v>
      </c>
    </row>
    <row r="213" spans="1:3" x14ac:dyDescent="0.2">
      <c r="A213" s="1">
        <v>0</v>
      </c>
      <c r="B213">
        <f>loans_pred_opti_data!D213*loans_pred_opti_data!B213</f>
        <v>7.8740073394201193</v>
      </c>
      <c r="C213">
        <f>(loans_pred_opti_data!B213-ret_PESS!$G$35*loans_pred_opti_data!C213)*loans_pred_opti_data!D213</f>
        <v>-84.591007004892603</v>
      </c>
    </row>
    <row r="214" spans="1:3" x14ac:dyDescent="0.2">
      <c r="A214" s="1">
        <v>1</v>
      </c>
      <c r="B214">
        <f>loans_pred_opti_data!D214*loans_pred_opti_data!B214</f>
        <v>163.80649984838047</v>
      </c>
      <c r="C214">
        <f>(loans_pred_opti_data!B214-ret_PESS!$G$35*loans_pred_opti_data!C214)*loans_pred_opti_data!D214</f>
        <v>118.16136341235031</v>
      </c>
    </row>
    <row r="215" spans="1:3" x14ac:dyDescent="0.2">
      <c r="A215" s="1">
        <v>1</v>
      </c>
      <c r="B215">
        <f>loans_pred_opti_data!D215*loans_pred_opti_data!B215</f>
        <v>234.31913249490441</v>
      </c>
      <c r="C215">
        <f>(loans_pred_opti_data!B215-ret_PESS!$G$35*loans_pred_opti_data!C215)*loans_pred_opti_data!D215</f>
        <v>165.03633611878718</v>
      </c>
    </row>
    <row r="216" spans="1:3" x14ac:dyDescent="0.2">
      <c r="A216" s="1">
        <v>0</v>
      </c>
      <c r="B216">
        <f>loans_pred_opti_data!D216*loans_pred_opti_data!B216</f>
        <v>328.50314217126396</v>
      </c>
      <c r="C216">
        <f>(loans_pred_opti_data!B216-ret_PESS!$G$35*loans_pred_opti_data!C216)*loans_pred_opti_data!D216</f>
        <v>263.2958044055066</v>
      </c>
    </row>
    <row r="217" spans="1:3" x14ac:dyDescent="0.2">
      <c r="A217" s="1">
        <v>0</v>
      </c>
      <c r="B217">
        <f>loans_pred_opti_data!D217*loans_pred_opti_data!B217</f>
        <v>325.60629193240499</v>
      </c>
      <c r="C217">
        <f>(loans_pred_opti_data!B217-ret_PESS!$G$35*loans_pred_opti_data!C217)*loans_pred_opti_data!D217</f>
        <v>244.09711972520827</v>
      </c>
    </row>
    <row r="218" spans="1:3" x14ac:dyDescent="0.2">
      <c r="A218" s="1">
        <v>0</v>
      </c>
      <c r="B218">
        <f>loans_pred_opti_data!D218*loans_pred_opti_data!B218</f>
        <v>310.74615768419159</v>
      </c>
      <c r="C218">
        <f>(loans_pred_opti_data!B218-ret_PESS!$G$35*loans_pred_opti_data!C218)*loans_pred_opti_data!D218</f>
        <v>218.28114333987887</v>
      </c>
    </row>
    <row r="219" spans="1:3" x14ac:dyDescent="0.2">
      <c r="A219" s="1">
        <v>0</v>
      </c>
      <c r="B219">
        <f>loans_pred_opti_data!D219*loans_pred_opti_data!B219</f>
        <v>338.42438604632582</v>
      </c>
      <c r="C219">
        <f>(loans_pred_opti_data!B219-ret_PESS!$G$35*loans_pred_opti_data!C219)*loans_pred_opti_data!D219</f>
        <v>232.46246217697012</v>
      </c>
    </row>
    <row r="220" spans="1:3" x14ac:dyDescent="0.2">
      <c r="A220" s="1">
        <v>0</v>
      </c>
      <c r="B220">
        <f>loans_pred_opti_data!D220*loans_pred_opti_data!B220</f>
        <v>188.80320519468319</v>
      </c>
      <c r="C220">
        <f>(loans_pred_opti_data!B220-ret_PESS!$G$35*loans_pred_opti_data!C220)*loans_pred_opti_data!D220</f>
        <v>120.57664772942927</v>
      </c>
    </row>
    <row r="221" spans="1:3" x14ac:dyDescent="0.2">
      <c r="A221" s="1">
        <v>0</v>
      </c>
      <c r="B221">
        <f>loans_pred_opti_data!D221*loans_pred_opti_data!B221</f>
        <v>926.66843631593247</v>
      </c>
      <c r="C221">
        <f>(loans_pred_opti_data!B221-ret_PESS!$G$35*loans_pred_opti_data!C221)*loans_pred_opti_data!D221</f>
        <v>714.67173427792363</v>
      </c>
    </row>
    <row r="222" spans="1:3" x14ac:dyDescent="0.2">
      <c r="A222" s="1">
        <v>0</v>
      </c>
      <c r="B222">
        <f>loans_pred_opti_data!D222*loans_pred_opti_data!B222</f>
        <v>478.20219666270754</v>
      </c>
      <c r="C222">
        <f>(loans_pred_opti_data!B222-ret_PESS!$G$35*loans_pred_opti_data!C222)*loans_pred_opti_data!D222</f>
        <v>365.74083820349779</v>
      </c>
    </row>
    <row r="223" spans="1:3" x14ac:dyDescent="0.2">
      <c r="A223" s="1">
        <v>0</v>
      </c>
      <c r="B223">
        <f>loans_pred_opti_data!D223*loans_pred_opti_data!B223</f>
        <v>379.00031829236218</v>
      </c>
      <c r="C223">
        <f>(loans_pred_opti_data!B223-ret_PESS!$G$35*loans_pred_opti_data!C223)*loans_pred_opti_data!D223</f>
        <v>274.0363837304331</v>
      </c>
    </row>
    <row r="224" spans="1:3" x14ac:dyDescent="0.2">
      <c r="A224" s="1">
        <v>0</v>
      </c>
      <c r="B224">
        <f>loans_pred_opti_data!D224*loans_pred_opti_data!B224</f>
        <v>374.45450203669503</v>
      </c>
      <c r="C224">
        <f>(loans_pred_opti_data!B224-ret_PESS!$G$35*loans_pred_opti_data!C224)*loans_pred_opti_data!D224</f>
        <v>299.48026306388857</v>
      </c>
    </row>
    <row r="225" spans="1:3" x14ac:dyDescent="0.2">
      <c r="A225" s="1">
        <v>0</v>
      </c>
      <c r="B225">
        <f>loans_pred_opti_data!D225*loans_pred_opti_data!B225</f>
        <v>358.0291084172332</v>
      </c>
      <c r="C225">
        <f>(loans_pred_opti_data!B225-ret_PESS!$G$35*loans_pred_opti_data!C225)*loans_pred_opti_data!D225</f>
        <v>252.12799586814407</v>
      </c>
    </row>
    <row r="226" spans="1:3" x14ac:dyDescent="0.2">
      <c r="A226" s="1">
        <v>0</v>
      </c>
      <c r="B226">
        <f>loans_pred_opti_data!D226*loans_pred_opti_data!B226</f>
        <v>321.88832505038999</v>
      </c>
      <c r="C226">
        <f>(loans_pred_opti_data!B226-ret_PESS!$G$35*loans_pred_opti_data!C226)*loans_pred_opti_data!D226</f>
        <v>224.07731840175396</v>
      </c>
    </row>
    <row r="227" spans="1:3" x14ac:dyDescent="0.2">
      <c r="A227" s="1">
        <v>0</v>
      </c>
      <c r="B227">
        <f>loans_pred_opti_data!D227*loans_pred_opti_data!B227</f>
        <v>527.75918962850449</v>
      </c>
      <c r="C227">
        <f>(loans_pred_opti_data!B227-ret_PESS!$G$35*loans_pred_opti_data!C227)*loans_pred_opti_data!D227</f>
        <v>419.79628550766319</v>
      </c>
    </row>
    <row r="228" spans="1:3" x14ac:dyDescent="0.2">
      <c r="A228" s="1">
        <v>0</v>
      </c>
      <c r="B228">
        <f>loans_pred_opti_data!D228*loans_pred_opti_data!B228</f>
        <v>349.77655294065482</v>
      </c>
      <c r="C228">
        <f>(loans_pred_opti_data!B228-ret_PESS!$G$35*loans_pred_opti_data!C228)*loans_pred_opti_data!D228</f>
        <v>259.80746617328697</v>
      </c>
    </row>
    <row r="229" spans="1:3" x14ac:dyDescent="0.2">
      <c r="A229" s="1">
        <v>0</v>
      </c>
      <c r="B229">
        <f>loans_pred_opti_data!D229*loans_pred_opti_data!B229</f>
        <v>288.01955177681799</v>
      </c>
      <c r="C229">
        <f>(loans_pred_opti_data!B229-ret_PESS!$G$35*loans_pred_opti_data!C229)*loans_pred_opti_data!D229</f>
        <v>206.51037956962131</v>
      </c>
    </row>
    <row r="230" spans="1:3" x14ac:dyDescent="0.2">
      <c r="A230" s="1">
        <v>0</v>
      </c>
      <c r="B230">
        <f>loans_pred_opti_data!D230*loans_pred_opti_data!B230</f>
        <v>-34.318248116321556</v>
      </c>
      <c r="C230">
        <f>(loans_pred_opti_data!B230-ret_PESS!$G$35*loans_pred_opti_data!C230)*loans_pred_opti_data!D230</f>
        <v>-99.933131743114899</v>
      </c>
    </row>
    <row r="231" spans="1:3" x14ac:dyDescent="0.2">
      <c r="A231" s="1">
        <v>0</v>
      </c>
      <c r="B231">
        <f>loans_pred_opti_data!D231*loans_pred_opti_data!B231</f>
        <v>156.23112217064411</v>
      </c>
      <c r="C231">
        <f>(loans_pred_opti_data!B231-ret_PESS!$G$35*loans_pred_opti_data!C231)*loans_pred_opti_data!D231</f>
        <v>-9.9742922271547805</v>
      </c>
    </row>
    <row r="232" spans="1:3" x14ac:dyDescent="0.2">
      <c r="A232" s="1">
        <v>0</v>
      </c>
      <c r="B232">
        <f>loans_pred_opti_data!D232*loans_pred_opti_data!B232</f>
        <v>579.378031571522</v>
      </c>
      <c r="C232">
        <f>(loans_pred_opti_data!B232-ret_PESS!$G$35*loans_pred_opti_data!C232)*loans_pred_opti_data!D232</f>
        <v>425.26967433100077</v>
      </c>
    </row>
    <row r="233" spans="1:3" x14ac:dyDescent="0.2">
      <c r="A233" s="1">
        <v>0</v>
      </c>
      <c r="B233">
        <f>loans_pred_opti_data!D233*loans_pred_opti_data!B233</f>
        <v>330.52898524041478</v>
      </c>
      <c r="C233">
        <f>(loans_pred_opti_data!B233-ret_PESS!$G$35*loans_pred_opti_data!C233)*loans_pred_opti_data!D233</f>
        <v>204.57226376609984</v>
      </c>
    </row>
    <row r="234" spans="1:3" x14ac:dyDescent="0.2">
      <c r="A234" s="1">
        <v>0</v>
      </c>
      <c r="B234">
        <f>loans_pred_opti_data!D234*loans_pred_opti_data!B234</f>
        <v>154.69436660553899</v>
      </c>
      <c r="C234">
        <f>(loans_pred_opti_data!B234-ret_PESS!$G$35*loans_pred_opti_data!C234)*loans_pred_opti_data!D234</f>
        <v>105.78886328122096</v>
      </c>
    </row>
    <row r="235" spans="1:3" x14ac:dyDescent="0.2">
      <c r="A235" s="1">
        <v>0</v>
      </c>
      <c r="B235">
        <f>loans_pred_opti_data!D235*loans_pred_opti_data!B235</f>
        <v>7.8666864482995269</v>
      </c>
      <c r="C235">
        <f>(loans_pred_opti_data!B235-ret_PESS!$G$35*loans_pred_opti_data!C235)*loans_pred_opti_data!D235</f>
        <v>-156.85475103523331</v>
      </c>
    </row>
    <row r="236" spans="1:3" x14ac:dyDescent="0.2">
      <c r="A236" s="1">
        <v>0</v>
      </c>
      <c r="B236">
        <f>loans_pred_opti_data!D236*loans_pred_opti_data!B236</f>
        <v>1188.9257214499562</v>
      </c>
      <c r="C236">
        <f>(loans_pred_opti_data!B236-ret_PESS!$G$35*loans_pred_opti_data!C236)*loans_pred_opti_data!D236</f>
        <v>892.13033859674385</v>
      </c>
    </row>
    <row r="237" spans="1:3" x14ac:dyDescent="0.2">
      <c r="A237" s="1">
        <v>0</v>
      </c>
      <c r="B237">
        <f>loans_pred_opti_data!D237*loans_pred_opti_data!B237</f>
        <v>1361.1084236983625</v>
      </c>
      <c r="C237">
        <f>(loans_pred_opti_data!B237-ret_PESS!$G$35*loans_pred_opti_data!C237)*loans_pred_opti_data!D237</f>
        <v>1064.3130408451502</v>
      </c>
    </row>
    <row r="238" spans="1:3" x14ac:dyDescent="0.2">
      <c r="A238" s="1">
        <v>0</v>
      </c>
      <c r="B238">
        <f>loans_pred_opti_data!D238*loans_pred_opti_data!B238</f>
        <v>325.75468370461238</v>
      </c>
      <c r="C238">
        <f>(loans_pred_opti_data!B238-ret_PESS!$G$35*loans_pred_opti_data!C238)*loans_pred_opti_data!D238</f>
        <v>211.64184261453701</v>
      </c>
    </row>
    <row r="239" spans="1:3" x14ac:dyDescent="0.2">
      <c r="A239" s="1">
        <v>0</v>
      </c>
      <c r="B239">
        <f>loans_pred_opti_data!D239*loans_pred_opti_data!B239</f>
        <v>449.17731595901762</v>
      </c>
      <c r="C239">
        <f>(loans_pred_opti_data!B239-ret_PESS!$G$35*loans_pred_opti_data!C239)*loans_pred_opti_data!D239</f>
        <v>329.2185336025272</v>
      </c>
    </row>
    <row r="240" spans="1:3" x14ac:dyDescent="0.2">
      <c r="A240" s="1">
        <v>0</v>
      </c>
      <c r="B240">
        <f>loans_pred_opti_data!D240*loans_pred_opti_data!B240</f>
        <v>-61.071613356763798</v>
      </c>
      <c r="C240">
        <f>(loans_pred_opti_data!B240-ret_PESS!$G$35*loans_pred_opti_data!C240)*loans_pred_opti_data!D240</f>
        <v>-357.86699620997609</v>
      </c>
    </row>
    <row r="241" spans="1:3" x14ac:dyDescent="0.2">
      <c r="A241" s="1">
        <v>0</v>
      </c>
      <c r="B241">
        <f>loans_pred_opti_data!D241*loans_pred_opti_data!B241</f>
        <v>384.45399852212751</v>
      </c>
      <c r="C241">
        <f>(loans_pred_opti_data!B241-ret_PESS!$G$35*loans_pred_opti_data!C241)*loans_pred_opti_data!D241</f>
        <v>298.23362370340004</v>
      </c>
    </row>
    <row r="242" spans="1:3" x14ac:dyDescent="0.2">
      <c r="A242" s="1">
        <v>0</v>
      </c>
      <c r="B242">
        <f>loans_pred_opti_data!D242*loans_pred_opti_data!B242</f>
        <v>52.843182039495645</v>
      </c>
      <c r="C242">
        <f>(loans_pred_opti_data!B242-ret_PESS!$G$35*loans_pred_opti_data!C242)*loans_pred_opti_data!D242</f>
        <v>-0.57596322862898619</v>
      </c>
    </row>
    <row r="243" spans="1:3" x14ac:dyDescent="0.2">
      <c r="A243" s="1">
        <v>0</v>
      </c>
      <c r="B243">
        <f>loans_pred_opti_data!D243*loans_pred_opti_data!B243</f>
        <v>370.08809406473563</v>
      </c>
      <c r="C243">
        <f>(loans_pred_opti_data!B243-ret_PESS!$G$35*loans_pred_opti_data!C243)*loans_pred_opti_data!D243</f>
        <v>275.62055295899938</v>
      </c>
    </row>
    <row r="244" spans="1:3" x14ac:dyDescent="0.2">
      <c r="A244" s="1">
        <v>0</v>
      </c>
      <c r="B244">
        <f>loans_pred_opti_data!D244*loans_pred_opti_data!B244</f>
        <v>394.17212514760052</v>
      </c>
      <c r="C244">
        <f>(loans_pred_opti_data!B244-ret_PESS!$G$35*loans_pred_opti_data!C244)*loans_pred_opti_data!D244</f>
        <v>285.15360732047486</v>
      </c>
    </row>
    <row r="245" spans="1:3" x14ac:dyDescent="0.2">
      <c r="A245" s="1">
        <v>0</v>
      </c>
      <c r="B245">
        <f>loans_pred_opti_data!D245*loans_pred_opti_data!B245</f>
        <v>117.32748166615937</v>
      </c>
      <c r="C245">
        <f>(loans_pred_opti_data!B245-ret_PESS!$G$35*loans_pred_opti_data!C245)*loans_pred_opti_data!D245</f>
        <v>91.706967274922718</v>
      </c>
    </row>
    <row r="246" spans="1:3" x14ac:dyDescent="0.2">
      <c r="A246" s="1">
        <v>0</v>
      </c>
      <c r="B246">
        <f>loans_pred_opti_data!D246*loans_pred_opti_data!B246</f>
        <v>201.2289027686252</v>
      </c>
      <c r="C246">
        <f>(loans_pred_opti_data!B246-ret_PESS!$G$35*loans_pred_opti_data!C246)*loans_pred_opti_data!D246</f>
        <v>144.17248222358748</v>
      </c>
    </row>
    <row r="247" spans="1:3" x14ac:dyDescent="0.2">
      <c r="A247" s="1">
        <v>0</v>
      </c>
      <c r="B247">
        <f>loans_pred_opti_data!D247*loans_pred_opti_data!B247</f>
        <v>66.858997368743005</v>
      </c>
      <c r="C247">
        <f>(loans_pred_opti_data!B247-ret_PESS!$G$35*loans_pred_opti_data!C247)*loans_pred_opti_data!D247</f>
        <v>29.371877882339746</v>
      </c>
    </row>
    <row r="248" spans="1:3" x14ac:dyDescent="0.2">
      <c r="A248" s="1">
        <v>0</v>
      </c>
      <c r="B248">
        <f>loans_pred_opti_data!D248*loans_pred_opti_data!B248</f>
        <v>259.17438345195444</v>
      </c>
      <c r="C248">
        <f>(loans_pred_opti_data!B248-ret_PESS!$G$35*loans_pred_opti_data!C248)*loans_pred_opti_data!D248</f>
        <v>179.70294054993767</v>
      </c>
    </row>
    <row r="249" spans="1:3" x14ac:dyDescent="0.2">
      <c r="A249" s="1">
        <v>0</v>
      </c>
      <c r="B249">
        <f>loans_pred_opti_data!D249*loans_pred_opti_data!B249</f>
        <v>374.96043219276993</v>
      </c>
      <c r="C249">
        <f>(loans_pred_opti_data!B249-ret_PESS!$G$35*loans_pred_opti_data!C249)*loans_pred_opti_data!D249</f>
        <v>283.67015932070956</v>
      </c>
    </row>
    <row r="250" spans="1:3" x14ac:dyDescent="0.2">
      <c r="A250" s="1">
        <v>0</v>
      </c>
      <c r="B250">
        <f>loans_pred_opti_data!D250*loans_pred_opti_data!B250</f>
        <v>163.9292626364975</v>
      </c>
      <c r="C250">
        <f>(loans_pred_opti_data!B250-ret_PESS!$G$35*loans_pred_opti_data!C250)*loans_pred_opti_data!D250</f>
        <v>123.17467653289914</v>
      </c>
    </row>
    <row r="251" spans="1:3" x14ac:dyDescent="0.2">
      <c r="A251" s="1">
        <v>0</v>
      </c>
      <c r="B251">
        <f>loans_pred_opti_data!D251*loans_pred_opti_data!B251</f>
        <v>241.99429227307198</v>
      </c>
      <c r="C251">
        <f>(loans_pred_opti_data!B251-ret_PESS!$G$35*loans_pred_opti_data!C251)*loans_pred_opti_data!D251</f>
        <v>144.18328562443594</v>
      </c>
    </row>
    <row r="252" spans="1:3" x14ac:dyDescent="0.2">
      <c r="A252" s="1">
        <v>0</v>
      </c>
      <c r="B252">
        <f>loans_pred_opti_data!D252*loans_pred_opti_data!B252</f>
        <v>1195.8271558606064</v>
      </c>
      <c r="C252">
        <f>(loans_pred_opti_data!B252-ret_PESS!$G$35*loans_pred_opti_data!C252)*loans_pred_opti_data!D252</f>
        <v>899.03177300739412</v>
      </c>
    </row>
    <row r="253" spans="1:3" x14ac:dyDescent="0.2">
      <c r="A253" s="1">
        <v>0</v>
      </c>
      <c r="B253">
        <f>loans_pred_opti_data!D253*loans_pred_opti_data!B253</f>
        <v>301.20061382914525</v>
      </c>
      <c r="C253">
        <f>(loans_pred_opti_data!B253-ret_PESS!$G$35*loans_pred_opti_data!C253)*loans_pred_opti_data!D253</f>
        <v>227.53842403836288</v>
      </c>
    </row>
    <row r="254" spans="1:3" x14ac:dyDescent="0.2">
      <c r="A254" s="1">
        <v>0</v>
      </c>
      <c r="B254">
        <f>loans_pred_opti_data!D254*loans_pred_opti_data!B254</f>
        <v>406.79408651795995</v>
      </c>
      <c r="C254">
        <f>(loans_pred_opti_data!B254-ret_PESS!$G$35*loans_pred_opti_data!C254)*loans_pred_opti_data!D254</f>
        <v>194.79738447995121</v>
      </c>
    </row>
    <row r="255" spans="1:3" x14ac:dyDescent="0.2">
      <c r="A255" s="1">
        <v>0</v>
      </c>
      <c r="B255">
        <f>loans_pred_opti_data!D255*loans_pred_opti_data!B255</f>
        <v>-4.5462701568852939</v>
      </c>
      <c r="C255">
        <f>(loans_pred_opti_data!B255-ret_PESS!$G$35*loans_pred_opti_data!C255)*loans_pred_opti_data!D255</f>
        <v>-274.4180718512705</v>
      </c>
    </row>
    <row r="256" spans="1:3" x14ac:dyDescent="0.2">
      <c r="A256" s="1">
        <v>0</v>
      </c>
      <c r="B256">
        <f>loans_pred_opti_data!D256*loans_pred_opti_data!B256</f>
        <v>98.605932522784997</v>
      </c>
      <c r="C256">
        <f>(loans_pred_opti_data!B256-ret_PESS!$G$35*loans_pred_opti_data!C256)*loans_pred_opti_data!D256</f>
        <v>61.118813036381738</v>
      </c>
    </row>
    <row r="257" spans="1:3" x14ac:dyDescent="0.2">
      <c r="A257" s="1">
        <v>1</v>
      </c>
      <c r="B257">
        <f>loans_pred_opti_data!D257*loans_pred_opti_data!B257</f>
        <v>626.91402592995848</v>
      </c>
      <c r="C257">
        <f>(loans_pred_opti_data!B257-ret_PESS!$G$35*loans_pred_opti_data!C257)*loans_pred_opti_data!D257</f>
        <v>491.96039577890679</v>
      </c>
    </row>
    <row r="258" spans="1:3" x14ac:dyDescent="0.2">
      <c r="A258" s="1">
        <v>0</v>
      </c>
      <c r="B258">
        <f>loans_pred_opti_data!D258*loans_pred_opti_data!B258</f>
        <v>674.80561633271429</v>
      </c>
      <c r="C258">
        <f>(loans_pred_opti_data!B258-ret_PESS!$G$35*loans_pred_opti_data!C258)*loans_pred_opti_data!D258</f>
        <v>561.52204809284376</v>
      </c>
    </row>
    <row r="259" spans="1:3" x14ac:dyDescent="0.2">
      <c r="A259" s="1">
        <v>0</v>
      </c>
      <c r="B259">
        <f>loans_pred_opti_data!D259*loans_pred_opti_data!B259</f>
        <v>176.67293263165658</v>
      </c>
      <c r="C259">
        <f>(loans_pred_opti_data!B259-ret_PESS!$G$35*loans_pred_opti_data!C259)*loans_pred_opti_data!D259</f>
        <v>122.69148057123587</v>
      </c>
    </row>
    <row r="260" spans="1:3" x14ac:dyDescent="0.2">
      <c r="A260" s="1">
        <v>0</v>
      </c>
      <c r="B260">
        <f>loans_pred_opti_data!D260*loans_pred_opti_data!B260</f>
        <v>196.46115634650002</v>
      </c>
      <c r="C260">
        <f>(loans_pred_opti_data!B260-ret_PESS!$G$35*loans_pred_opti_data!C260)*loans_pred_opti_data!D260</f>
        <v>147.55565302218199</v>
      </c>
    </row>
    <row r="261" spans="1:3" x14ac:dyDescent="0.2">
      <c r="A261" s="1">
        <v>0</v>
      </c>
      <c r="B261">
        <f>loans_pred_opti_data!D261*loans_pred_opti_data!B261</f>
        <v>880.43388546364997</v>
      </c>
      <c r="C261">
        <f>(loans_pred_opti_data!B261-ret_PESS!$G$35*loans_pred_opti_data!C261)*loans_pred_opti_data!D261</f>
        <v>642.99757918108014</v>
      </c>
    </row>
    <row r="262" spans="1:3" x14ac:dyDescent="0.2">
      <c r="A262" s="1">
        <v>0</v>
      </c>
      <c r="B262">
        <f>loans_pred_opti_data!D262*loans_pred_opti_data!B262</f>
        <v>333.90325058458609</v>
      </c>
      <c r="C262">
        <f>(loans_pred_opti_data!B262-ret_PESS!$G$35*loans_pred_opti_data!C262)*loans_pred_opti_data!D262</f>
        <v>225.94034646374476</v>
      </c>
    </row>
    <row r="263" spans="1:3" x14ac:dyDescent="0.2">
      <c r="A263" s="1">
        <v>0</v>
      </c>
      <c r="B263">
        <f>loans_pred_opti_data!D263*loans_pred_opti_data!B263</f>
        <v>37.279249920228764</v>
      </c>
      <c r="C263">
        <f>(loans_pred_opti_data!B263-ret_PESS!$G$35*loans_pred_opti_data!C263)*loans_pred_opti_data!D263</f>
        <v>7.2895543311061601</v>
      </c>
    </row>
    <row r="264" spans="1:3" x14ac:dyDescent="0.2">
      <c r="A264" s="1">
        <v>0</v>
      </c>
      <c r="B264">
        <f>loans_pred_opti_data!D264*loans_pred_opti_data!B264</f>
        <v>-59.411350268564647</v>
      </c>
      <c r="C264">
        <f>(loans_pred_opti_data!B264-ret_PESS!$G$35*loans_pred_opti_data!C264)*loans_pred_opti_data!D264</f>
        <v>-262.92818422505309</v>
      </c>
    </row>
    <row r="265" spans="1:3" x14ac:dyDescent="0.2">
      <c r="A265" s="1">
        <v>0</v>
      </c>
      <c r="B265">
        <f>loans_pred_opti_data!D265*loans_pred_opti_data!B265</f>
        <v>124.2165142758025</v>
      </c>
      <c r="C265">
        <f>(loans_pred_opti_data!B265-ret_PESS!$G$35*loans_pred_opti_data!C265)*loans_pred_opti_data!D265</f>
        <v>85.689424965672188</v>
      </c>
    </row>
    <row r="266" spans="1:3" x14ac:dyDescent="0.2">
      <c r="A266" s="1">
        <v>0</v>
      </c>
      <c r="B266">
        <f>loans_pred_opti_data!D266*loans_pred_opti_data!B266</f>
        <v>537.72969152391579</v>
      </c>
      <c r="C266">
        <f>(loans_pred_opti_data!B266-ret_PESS!$G$35*loans_pred_opti_data!C266)*loans_pred_opti_data!D266</f>
        <v>467.60176832780547</v>
      </c>
    </row>
    <row r="267" spans="1:3" x14ac:dyDescent="0.2">
      <c r="A267" s="1">
        <v>0</v>
      </c>
      <c r="B267">
        <f>loans_pred_opti_data!D267*loans_pred_opti_data!B267</f>
        <v>490.89346429398603</v>
      </c>
      <c r="C267">
        <f>(loans_pred_opti_data!B267-ret_PESS!$G$35*loans_pred_opti_data!C267)*loans_pred_opti_data!D267</f>
        <v>378.43210583477628</v>
      </c>
    </row>
    <row r="268" spans="1:3" x14ac:dyDescent="0.2">
      <c r="A268" s="1">
        <v>0</v>
      </c>
      <c r="B268">
        <f>loans_pred_opti_data!D268*loans_pred_opti_data!B268</f>
        <v>398.83449068819971</v>
      </c>
      <c r="C268">
        <f>(loans_pred_opti_data!B268-ret_PESS!$G$35*loans_pred_opti_data!C268)*loans_pred_opti_data!D268</f>
        <v>309.99001750542402</v>
      </c>
    </row>
    <row r="269" spans="1:3" x14ac:dyDescent="0.2">
      <c r="A269" s="1">
        <v>0</v>
      </c>
      <c r="B269">
        <f>loans_pred_opti_data!D269*loans_pred_opti_data!B269</f>
        <v>123.00011092874833</v>
      </c>
      <c r="C269">
        <f>(loans_pred_opti_data!B269-ret_PESS!$G$35*loans_pred_opti_data!C269)*loans_pred_opti_data!D269</f>
        <v>63.498415217494731</v>
      </c>
    </row>
    <row r="270" spans="1:3" x14ac:dyDescent="0.2">
      <c r="A270" s="1">
        <v>0</v>
      </c>
      <c r="B270">
        <f>loans_pred_opti_data!D270*loans_pred_opti_data!B270</f>
        <v>801.88473059542241</v>
      </c>
      <c r="C270">
        <f>(loans_pred_opti_data!B270-ret_PESS!$G$35*loans_pred_opti_data!C270)*loans_pred_opti_data!D270</f>
        <v>667.02333983367168</v>
      </c>
    </row>
    <row r="271" spans="1:3" x14ac:dyDescent="0.2">
      <c r="A271" s="1">
        <v>0</v>
      </c>
      <c r="B271">
        <f>loans_pred_opti_data!D271*loans_pred_opti_data!B271</f>
        <v>195.52764827151918</v>
      </c>
      <c r="C271">
        <f>(loans_pred_opti_data!B271-ret_PESS!$G$35*loans_pred_opti_data!C271)*loans_pred_opti_data!D271</f>
        <v>140.79645382137045</v>
      </c>
    </row>
    <row r="272" spans="1:3" x14ac:dyDescent="0.2">
      <c r="A272" s="1">
        <v>0</v>
      </c>
      <c r="B272">
        <f>loans_pred_opti_data!D272*loans_pred_opti_data!B272</f>
        <v>853.01373535059997</v>
      </c>
      <c r="C272">
        <f>(loans_pred_opti_data!B272-ret_PESS!$G$35*loans_pred_opti_data!C272)*loans_pred_opti_data!D272</f>
        <v>691.19996024805266</v>
      </c>
    </row>
    <row r="273" spans="1:3" x14ac:dyDescent="0.2">
      <c r="A273" s="1">
        <v>0</v>
      </c>
      <c r="B273">
        <f>loans_pred_opti_data!D273*loans_pred_opti_data!B273</f>
        <v>533.81501241697913</v>
      </c>
      <c r="C273">
        <f>(loans_pred_opti_data!B273-ret_PESS!$G$35*loans_pred_opti_data!C273)*loans_pred_opti_data!D273</f>
        <v>430.24146431195459</v>
      </c>
    </row>
    <row r="274" spans="1:3" x14ac:dyDescent="0.2">
      <c r="A274" s="1">
        <v>0</v>
      </c>
      <c r="B274">
        <f>loans_pred_opti_data!D274*loans_pred_opti_data!B274</f>
        <v>259.63109333850167</v>
      </c>
      <c r="C274">
        <f>(loans_pred_opti_data!B274-ret_PESS!$G$35*loans_pred_opti_data!C274)*loans_pred_opti_data!D274</f>
        <v>205.64964127808102</v>
      </c>
    </row>
    <row r="275" spans="1:3" x14ac:dyDescent="0.2">
      <c r="A275" s="1">
        <v>0</v>
      </c>
      <c r="B275">
        <f>loans_pred_opti_data!D275*loans_pred_opti_data!B275</f>
        <v>507.2379444382251</v>
      </c>
      <c r="C275">
        <f>(loans_pred_opti_data!B275-ret_PESS!$G$35*loans_pred_opti_data!C275)*loans_pred_opti_data!D275</f>
        <v>398.71273352508769</v>
      </c>
    </row>
    <row r="276" spans="1:3" x14ac:dyDescent="0.2">
      <c r="A276" s="1">
        <v>0</v>
      </c>
      <c r="B276">
        <f>loans_pred_opti_data!D276*loans_pred_opti_data!B276</f>
        <v>184.42412510350601</v>
      </c>
      <c r="C276">
        <f>(loans_pred_opti_data!B276-ret_PESS!$G$35*loans_pred_opti_data!C276)*loans_pred_opti_data!D276</f>
        <v>146.93700561710276</v>
      </c>
    </row>
    <row r="277" spans="1:3" x14ac:dyDescent="0.2">
      <c r="A277" s="1">
        <v>0</v>
      </c>
      <c r="B277">
        <f>loans_pred_opti_data!D277*loans_pred_opti_data!B277</f>
        <v>359.91850270629595</v>
      </c>
      <c r="C277">
        <f>(loans_pred_opti_data!B277-ret_PESS!$G$35*loans_pred_opti_data!C277)*loans_pred_opti_data!D277</f>
        <v>269.94941593892815</v>
      </c>
    </row>
    <row r="278" spans="1:3" x14ac:dyDescent="0.2">
      <c r="A278" s="1">
        <v>0</v>
      </c>
      <c r="B278">
        <f>loans_pred_opti_data!D278*loans_pred_opti_data!B278</f>
        <v>254.28818135173321</v>
      </c>
      <c r="C278">
        <f>(loans_pred_opti_data!B278-ret_PESS!$G$35*loans_pred_opti_data!C278)*loans_pred_opti_data!D278</f>
        <v>205.38267802741518</v>
      </c>
    </row>
    <row r="279" spans="1:3" x14ac:dyDescent="0.2">
      <c r="A279" s="1">
        <v>0</v>
      </c>
      <c r="B279">
        <f>loans_pred_opti_data!D279*loans_pred_opti_data!B279</f>
        <v>385.01421956115138</v>
      </c>
      <c r="C279">
        <f>(loans_pred_opti_data!B279-ret_PESS!$G$35*loans_pred_opti_data!C279)*loans_pred_opti_data!D279</f>
        <v>261.61604701414944</v>
      </c>
    </row>
    <row r="280" spans="1:3" x14ac:dyDescent="0.2">
      <c r="A280" s="1">
        <v>0</v>
      </c>
      <c r="B280">
        <f>loans_pred_opti_data!D280*loans_pred_opti_data!B280</f>
        <v>248.65162167510641</v>
      </c>
      <c r="C280">
        <f>(loans_pred_opti_data!B280-ret_PESS!$G$35*loans_pred_opti_data!C280)*loans_pred_opti_data!D280</f>
        <v>187.00827877889793</v>
      </c>
    </row>
    <row r="281" spans="1:3" x14ac:dyDescent="0.2">
      <c r="A281" s="1">
        <v>0</v>
      </c>
      <c r="B281">
        <f>loans_pred_opti_data!D281*loans_pred_opti_data!B281</f>
        <v>279.174369099432</v>
      </c>
      <c r="C281">
        <f>(loans_pred_opti_data!B281-ret_PESS!$G$35*loans_pred_opti_data!C281)*loans_pred_opti_data!D281</f>
        <v>109.57700746902499</v>
      </c>
    </row>
    <row r="282" spans="1:3" x14ac:dyDescent="0.2">
      <c r="A282" s="1">
        <v>0</v>
      </c>
      <c r="B282">
        <f>loans_pred_opti_data!D282*loans_pred_opti_data!B282</f>
        <v>331.37321440499437</v>
      </c>
      <c r="C282">
        <f>(loans_pred_opti_data!B282-ret_PESS!$G$35*loans_pred_opti_data!C282)*loans_pred_opti_data!D282</f>
        <v>271.39382322674919</v>
      </c>
    </row>
    <row r="283" spans="1:3" x14ac:dyDescent="0.2">
      <c r="A283" s="1">
        <v>0</v>
      </c>
      <c r="B283">
        <f>loans_pred_opti_data!D283*loans_pred_opti_data!B283</f>
        <v>487.43278295275678</v>
      </c>
      <c r="C283">
        <f>(loans_pred_opti_data!B283-ret_PESS!$G$35*loans_pred_opti_data!C283)*loans_pred_opti_data!D283</f>
        <v>357.96584782147607</v>
      </c>
    </row>
    <row r="284" spans="1:3" x14ac:dyDescent="0.2">
      <c r="A284" s="1">
        <v>1</v>
      </c>
      <c r="B284">
        <f>loans_pred_opti_data!D284*loans_pred_opti_data!B284</f>
        <v>500.84385594588883</v>
      </c>
      <c r="C284">
        <f>(loans_pred_opti_data!B284-ret_PESS!$G$35*loans_pred_opti_data!C284)*loans_pred_opti_data!D284</f>
        <v>330.82250091140583</v>
      </c>
    </row>
    <row r="285" spans="1:3" x14ac:dyDescent="0.2">
      <c r="A285" s="1">
        <v>1</v>
      </c>
      <c r="B285">
        <f>loans_pred_opti_data!D285*loans_pred_opti_data!B285</f>
        <v>485.79554775530789</v>
      </c>
      <c r="C285">
        <f>(loans_pred_opti_data!B285-ret_PESS!$G$35*loans_pred_opti_data!C285)*loans_pred_opti_data!D285</f>
        <v>358.33934150153686</v>
      </c>
    </row>
    <row r="286" spans="1:3" x14ac:dyDescent="0.2">
      <c r="A286" s="1">
        <v>0</v>
      </c>
      <c r="B286">
        <f>loans_pred_opti_data!D286*loans_pred_opti_data!B286</f>
        <v>-73.52930287653912</v>
      </c>
      <c r="C286">
        <f>(loans_pred_opti_data!B286-ret_PESS!$G$35*loans_pred_opti_data!C286)*loans_pred_opti_data!D286</f>
        <v>-277.04613683302756</v>
      </c>
    </row>
    <row r="287" spans="1:3" x14ac:dyDescent="0.2">
      <c r="A287" s="1">
        <v>0</v>
      </c>
      <c r="B287">
        <f>loans_pred_opti_data!D287*loans_pred_opti_data!B287</f>
        <v>429.69936276902399</v>
      </c>
      <c r="C287">
        <f>(loans_pred_opti_data!B287-ret_PESS!$G$35*loans_pred_opti_data!C287)*loans_pred_opti_data!D287</f>
        <v>331.88835612038793</v>
      </c>
    </row>
    <row r="288" spans="1:3" x14ac:dyDescent="0.2">
      <c r="A288" s="1">
        <v>0</v>
      </c>
      <c r="B288">
        <f>loans_pred_opti_data!D288*loans_pred_opti_data!B288</f>
        <v>299.41724460353998</v>
      </c>
      <c r="C288">
        <f>(loans_pred_opti_data!B288-ret_PESS!$G$35*loans_pred_opti_data!C288)*loans_pred_opti_data!D288</f>
        <v>186.95588614433026</v>
      </c>
    </row>
    <row r="289" spans="1:3" x14ac:dyDescent="0.2">
      <c r="A289" s="1">
        <v>0</v>
      </c>
      <c r="B289">
        <f>loans_pred_opti_data!D289*loans_pred_opti_data!B289</f>
        <v>251.60760280331411</v>
      </c>
      <c r="C289">
        <f>(loans_pred_opti_data!B289-ret_PESS!$G$35*loans_pred_opti_data!C289)*loans_pred_opti_data!D289</f>
        <v>194.55118225827641</v>
      </c>
    </row>
    <row r="290" spans="1:3" x14ac:dyDescent="0.2">
      <c r="A290" s="1">
        <v>0</v>
      </c>
      <c r="B290">
        <f>loans_pred_opti_data!D290*loans_pred_opti_data!B290</f>
        <v>958.41170514418161</v>
      </c>
      <c r="C290">
        <f>(loans_pred_opti_data!B290-ret_PESS!$G$35*loans_pred_opti_data!C290)*loans_pred_opti_data!D290</f>
        <v>712.49553078009149</v>
      </c>
    </row>
    <row r="291" spans="1:3" x14ac:dyDescent="0.2">
      <c r="A291" s="1">
        <v>0</v>
      </c>
      <c r="B291">
        <f>loans_pred_opti_data!D291*loans_pred_opti_data!B291</f>
        <v>523.50143280076645</v>
      </c>
      <c r="C291">
        <f>(loans_pred_opti_data!B291-ret_PESS!$G$35*loans_pred_opti_data!C291)*loans_pred_opti_data!D291</f>
        <v>437.19014271324596</v>
      </c>
    </row>
    <row r="292" spans="1:3" x14ac:dyDescent="0.2">
      <c r="A292" s="1">
        <v>0</v>
      </c>
      <c r="B292">
        <f>loans_pred_opti_data!D292*loans_pred_opti_data!B292</f>
        <v>335.88681848846375</v>
      </c>
      <c r="C292">
        <f>(loans_pred_opti_data!B292-ret_PESS!$G$35*loans_pred_opti_data!C292)*loans_pred_opti_data!D292</f>
        <v>234.00035322946789</v>
      </c>
    </row>
    <row r="293" spans="1:3" x14ac:dyDescent="0.2">
      <c r="A293" s="1">
        <v>0</v>
      </c>
      <c r="B293">
        <f>loans_pred_opti_data!D293*loans_pred_opti_data!B293</f>
        <v>193.40085498486661</v>
      </c>
      <c r="C293">
        <f>(loans_pred_opti_data!B293-ret_PESS!$G$35*loans_pred_opti_data!C293)*loans_pred_opti_data!D293</f>
        <v>46.684345011912541</v>
      </c>
    </row>
    <row r="294" spans="1:3" x14ac:dyDescent="0.2">
      <c r="A294" s="1">
        <v>0</v>
      </c>
      <c r="B294">
        <f>loans_pred_opti_data!D294*loans_pred_opti_data!B294</f>
        <v>213.61775916018931</v>
      </c>
      <c r="C294">
        <f>(loans_pred_opti_data!B294-ret_PESS!$G$35*loans_pred_opti_data!C294)*loans_pred_opti_data!D294</f>
        <v>156.56133861515158</v>
      </c>
    </row>
    <row r="295" spans="1:3" x14ac:dyDescent="0.2">
      <c r="A295" s="1">
        <v>0</v>
      </c>
      <c r="B295">
        <f>loans_pred_opti_data!D295*loans_pred_opti_data!B295</f>
        <v>-222.85065812992536</v>
      </c>
      <c r="C295">
        <f>(loans_pred_opti_data!B295-ret_PESS!$G$35*loans_pred_opti_data!C295)*loans_pred_opti_data!D295</f>
        <v>-426.36749208641385</v>
      </c>
    </row>
    <row r="296" spans="1:3" x14ac:dyDescent="0.2">
      <c r="A296" s="1">
        <v>0</v>
      </c>
      <c r="B296">
        <f>loans_pred_opti_data!D296*loans_pred_opti_data!B296</f>
        <v>1123.352996799264</v>
      </c>
      <c r="C296">
        <f>(loans_pred_opti_data!B296-ret_PESS!$G$35*loans_pred_opti_data!C296)*loans_pred_opti_data!D296</f>
        <v>826.55761394605179</v>
      </c>
    </row>
    <row r="297" spans="1:3" x14ac:dyDescent="0.2">
      <c r="A297" s="1">
        <v>0</v>
      </c>
      <c r="B297">
        <f>loans_pred_opti_data!D297*loans_pred_opti_data!B297</f>
        <v>360.27121498595812</v>
      </c>
      <c r="C297">
        <f>(loans_pred_opti_data!B297-ret_PESS!$G$35*loans_pred_opti_data!C297)*loans_pred_opti_data!D297</f>
        <v>254.37010243686893</v>
      </c>
    </row>
    <row r="298" spans="1:3" x14ac:dyDescent="0.2">
      <c r="A298" s="1">
        <v>0</v>
      </c>
      <c r="B298">
        <f>loans_pred_opti_data!D298*loans_pred_opti_data!B298</f>
        <v>377.416096124592</v>
      </c>
      <c r="C298">
        <f>(loans_pred_opti_data!B298-ret_PESS!$G$35*loans_pred_opti_data!C298)*loans_pred_opti_data!D298</f>
        <v>287.4470093572242</v>
      </c>
    </row>
    <row r="299" spans="1:3" x14ac:dyDescent="0.2">
      <c r="A299" s="1">
        <v>0</v>
      </c>
      <c r="B299">
        <f>loans_pred_opti_data!D299*loans_pred_opti_data!B299</f>
        <v>36.996878372971636</v>
      </c>
      <c r="C299">
        <f>(loans_pred_opti_data!B299-ret_PESS!$G$35*loans_pred_opti_data!C299)*loans_pred_opti_data!D299</f>
        <v>-123.98373673624185</v>
      </c>
    </row>
    <row r="300" spans="1:3" x14ac:dyDescent="0.2">
      <c r="A300" s="1">
        <v>0</v>
      </c>
      <c r="B300">
        <f>loans_pred_opti_data!D300*loans_pred_opti_data!B300</f>
        <v>186.5007839922815</v>
      </c>
      <c r="C300">
        <f>(loans_pred_opti_data!B300-ret_PESS!$G$35*loans_pred_opti_data!C300)*loans_pred_opti_data!D300</f>
        <v>134.01881671131696</v>
      </c>
    </row>
    <row r="301" spans="1:3" x14ac:dyDescent="0.2">
      <c r="A301" s="1">
        <v>0</v>
      </c>
      <c r="B301">
        <f>loans_pred_opti_data!D301*loans_pred_opti_data!B301</f>
        <v>69.116106284244395</v>
      </c>
      <c r="C301">
        <f>(loans_pred_opti_data!B301-ret_PESS!$G$35*loans_pred_opti_data!C301)*loans_pred_opti_data!D301</f>
        <v>49.247932956450668</v>
      </c>
    </row>
    <row r="302" spans="1:3" x14ac:dyDescent="0.2">
      <c r="A302" s="1">
        <v>0</v>
      </c>
      <c r="B302">
        <f>loans_pred_opti_data!D302*loans_pred_opti_data!B302</f>
        <v>658.86378359666185</v>
      </c>
      <c r="C302">
        <f>(loans_pred_opti_data!B302-ret_PESS!$G$35*loans_pred_opti_data!C302)*loans_pred_opti_data!D302</f>
        <v>542.34354197850917</v>
      </c>
    </row>
    <row r="303" spans="1:3" x14ac:dyDescent="0.2">
      <c r="A303" s="1">
        <v>0</v>
      </c>
      <c r="B303">
        <f>loans_pred_opti_data!D303*loans_pred_opti_data!B303</f>
        <v>463.09907625887229</v>
      </c>
      <c r="C303">
        <f>(loans_pred_opti_data!B303-ret_PESS!$G$35*loans_pred_opti_data!C303)*loans_pred_opti_data!D303</f>
        <v>385.41891518010385</v>
      </c>
    </row>
    <row r="304" spans="1:3" x14ac:dyDescent="0.2">
      <c r="A304" s="1">
        <v>0</v>
      </c>
      <c r="B304">
        <f>loans_pred_opti_data!D304*loans_pred_opti_data!B304</f>
        <v>18.6786650579072</v>
      </c>
      <c r="C304">
        <f>(loans_pred_opti_data!B304-ret_PESS!$G$35*loans_pred_opti_data!C304)*loans_pred_opti_data!D304</f>
        <v>-101.28011729858321</v>
      </c>
    </row>
    <row r="305" spans="1:3" x14ac:dyDescent="0.2">
      <c r="A305" s="1">
        <v>0</v>
      </c>
      <c r="B305">
        <f>loans_pred_opti_data!D305*loans_pred_opti_data!B305</f>
        <v>159.7880024311105</v>
      </c>
      <c r="C305">
        <f>(loans_pred_opti_data!B305-ret_PESS!$G$35*loans_pred_opti_data!C305)*loans_pred_opti_data!D305</f>
        <v>121.26091312098019</v>
      </c>
    </row>
    <row r="306" spans="1:3" x14ac:dyDescent="0.2">
      <c r="A306" s="1">
        <v>0</v>
      </c>
      <c r="B306">
        <f>loans_pred_opti_data!D306*loans_pred_opti_data!B306</f>
        <v>210.33360239583746</v>
      </c>
      <c r="C306">
        <f>(loans_pred_opti_data!B306-ret_PESS!$G$35*loans_pred_opti_data!C306)*loans_pred_opti_data!D306</f>
        <v>137.99421206195038</v>
      </c>
    </row>
    <row r="307" spans="1:3" x14ac:dyDescent="0.2">
      <c r="A307" s="1">
        <v>0</v>
      </c>
      <c r="B307">
        <f>loans_pred_opti_data!D307*loans_pred_opti_data!B307</f>
        <v>206.65724952904617</v>
      </c>
      <c r="C307">
        <f>(loans_pred_opti_data!B307-ret_PESS!$G$35*loans_pred_opti_data!C307)*loans_pred_opti_data!D307</f>
        <v>142.17940401243257</v>
      </c>
    </row>
    <row r="308" spans="1:3" x14ac:dyDescent="0.2">
      <c r="A308" s="1">
        <v>0</v>
      </c>
      <c r="B308">
        <f>loans_pred_opti_data!D308*loans_pred_opti_data!B308</f>
        <v>265.77815204966998</v>
      </c>
      <c r="C308">
        <f>(loans_pred_opti_data!B308-ret_PESS!$G$35*loans_pred_opti_data!C308)*loans_pred_opti_data!D308</f>
        <v>190.80391307686349</v>
      </c>
    </row>
    <row r="309" spans="1:3" x14ac:dyDescent="0.2">
      <c r="A309" s="1">
        <v>0</v>
      </c>
      <c r="B309">
        <f>loans_pred_opti_data!D309*loans_pred_opti_data!B309</f>
        <v>167.20802881834649</v>
      </c>
      <c r="C309">
        <f>(loans_pred_opti_data!B309-ret_PESS!$G$35*loans_pred_opti_data!C309)*loans_pred_opti_data!D309</f>
        <v>109.41739485315105</v>
      </c>
    </row>
    <row r="310" spans="1:3" x14ac:dyDescent="0.2">
      <c r="A310" s="1">
        <v>1</v>
      </c>
      <c r="B310">
        <f>loans_pred_opti_data!D310*loans_pred_opti_data!B310</f>
        <v>354.8497366265841</v>
      </c>
      <c r="C310">
        <f>(loans_pred_opti_data!B310-ret_PESS!$G$35*loans_pred_opti_data!C310)*loans_pred_opti_data!D310</f>
        <v>265.18964719866773</v>
      </c>
    </row>
    <row r="311" spans="1:3" x14ac:dyDescent="0.2">
      <c r="A311" s="1">
        <v>0</v>
      </c>
      <c r="B311">
        <f>loans_pred_opti_data!D311*loans_pred_opti_data!B311</f>
        <v>787.20129485987843</v>
      </c>
      <c r="C311">
        <f>(loans_pred_opti_data!B311-ret_PESS!$G$35*loans_pred_opti_data!C311)*loans_pred_opti_data!D311</f>
        <v>700.890004772358</v>
      </c>
    </row>
    <row r="312" spans="1:3" x14ac:dyDescent="0.2">
      <c r="A312" s="1">
        <v>1</v>
      </c>
      <c r="B312">
        <f>loans_pred_opti_data!D312*loans_pred_opti_data!B312</f>
        <v>114.93761211835299</v>
      </c>
      <c r="C312">
        <f>(loans_pred_opti_data!B312-ret_PESS!$G$35*loans_pred_opti_data!C312)*loans_pred_opti_data!D312</f>
        <v>74.183026014754645</v>
      </c>
    </row>
    <row r="313" spans="1:3" x14ac:dyDescent="0.2">
      <c r="A313" s="1">
        <v>0</v>
      </c>
      <c r="B313">
        <f>loans_pred_opti_data!D313*loans_pred_opti_data!B313</f>
        <v>-19.757384567722497</v>
      </c>
      <c r="C313">
        <f>(loans_pred_opti_data!B313-ret_PESS!$G$35*loans_pred_opti_data!C313)*loans_pred_opti_data!D313</f>
        <v>-111.03852051711442</v>
      </c>
    </row>
    <row r="314" spans="1:3" x14ac:dyDescent="0.2">
      <c r="A314" s="1">
        <v>0</v>
      </c>
      <c r="B314">
        <f>loans_pred_opti_data!D314*loans_pred_opti_data!B314</f>
        <v>403.81738364567099</v>
      </c>
      <c r="C314">
        <f>(loans_pred_opti_data!B314-ret_PESS!$G$35*loans_pred_opti_data!C314)*loans_pred_opti_data!D314</f>
        <v>328.84314467286453</v>
      </c>
    </row>
    <row r="315" spans="1:3" x14ac:dyDescent="0.2">
      <c r="A315" s="1">
        <v>0</v>
      </c>
      <c r="B315">
        <f>loans_pred_opti_data!D315*loans_pred_opti_data!B315</f>
        <v>-71.30374280667661</v>
      </c>
      <c r="C315">
        <f>(loans_pred_opti_data!B315-ret_PESS!$G$35*loans_pred_opti_data!C315)*loans_pred_opti_data!D315</f>
        <v>-193.56750111747166</v>
      </c>
    </row>
    <row r="316" spans="1:3" x14ac:dyDescent="0.2">
      <c r="A316" s="1">
        <v>0</v>
      </c>
      <c r="B316">
        <f>loans_pred_opti_data!D316*loans_pred_opti_data!B316</f>
        <v>369.50512512594719</v>
      </c>
      <c r="C316">
        <f>(loans_pred_opti_data!B316-ret_PESS!$G$35*loans_pred_opti_data!C316)*loans_pred_opti_data!D316</f>
        <v>279.53603835857939</v>
      </c>
    </row>
    <row r="317" spans="1:3" x14ac:dyDescent="0.2">
      <c r="A317" s="1">
        <v>0</v>
      </c>
      <c r="B317">
        <f>loans_pred_opti_data!D317*loans_pred_opti_data!B317</f>
        <v>217.86609639132641</v>
      </c>
      <c r="C317">
        <f>(loans_pred_opti_data!B317-ret_PESS!$G$35*loans_pred_opti_data!C317)*loans_pred_opti_data!D317</f>
        <v>152.65875862556905</v>
      </c>
    </row>
    <row r="318" spans="1:3" x14ac:dyDescent="0.2">
      <c r="A318" s="1">
        <v>0</v>
      </c>
      <c r="B318">
        <f>loans_pred_opti_data!D318*loans_pred_opti_data!B318</f>
        <v>1091.6885183074892</v>
      </c>
      <c r="C318">
        <f>(loans_pred_opti_data!B318-ret_PESS!$G$35*loans_pred_opti_data!C318)*loans_pred_opti_data!D318</f>
        <v>854.25221202491934</v>
      </c>
    </row>
    <row r="319" spans="1:3" x14ac:dyDescent="0.2">
      <c r="A319" s="1">
        <v>0</v>
      </c>
      <c r="B319">
        <f>loans_pred_opti_data!D319*loans_pred_opti_data!B319</f>
        <v>361.6800017527957</v>
      </c>
      <c r="C319">
        <f>(loans_pred_opti_data!B319-ret_PESS!$G$35*loans_pred_opti_data!C319)*loans_pred_opti_data!D319</f>
        <v>255.71807788343995</v>
      </c>
    </row>
    <row r="320" spans="1:3" x14ac:dyDescent="0.2">
      <c r="A320" s="1">
        <v>0</v>
      </c>
      <c r="B320">
        <f>loans_pred_opti_data!D320*loans_pred_opti_data!B320</f>
        <v>124.9290755763712</v>
      </c>
      <c r="C320">
        <f>(loans_pred_opti_data!B320-ret_PESS!$G$35*loans_pred_opti_data!C320)*loans_pred_opti_data!D320</f>
        <v>94.107404128266964</v>
      </c>
    </row>
    <row r="321" spans="1:3" x14ac:dyDescent="0.2">
      <c r="A321" s="1">
        <v>0</v>
      </c>
      <c r="B321">
        <f>loans_pred_opti_data!D321*loans_pred_opti_data!B321</f>
        <v>181.53913721454049</v>
      </c>
      <c r="C321">
        <f>(loans_pred_opti_data!B321-ret_PESS!$G$35*loans_pred_opti_data!C321)*loans_pred_opti_data!D321</f>
        <v>109.56386780064624</v>
      </c>
    </row>
    <row r="322" spans="1:3" x14ac:dyDescent="0.2">
      <c r="A322" s="1">
        <v>0</v>
      </c>
      <c r="B322">
        <f>loans_pred_opti_data!D322*loans_pred_opti_data!B322</f>
        <v>335.74308833375909</v>
      </c>
      <c r="C322">
        <f>(loans_pred_opti_data!B322-ret_PESS!$G$35*loans_pred_opti_data!C322)*loans_pred_opti_data!D322</f>
        <v>268.2662732582333</v>
      </c>
    </row>
    <row r="323" spans="1:3" x14ac:dyDescent="0.2">
      <c r="A323" s="1">
        <v>0</v>
      </c>
      <c r="B323">
        <f>loans_pred_opti_data!D323*loans_pred_opti_data!B323</f>
        <v>95.920630786324807</v>
      </c>
      <c r="C323">
        <f>(loans_pred_opti_data!B323-ret_PESS!$G$35*loans_pred_opti_data!C323)*loans_pred_opti_data!D323</f>
        <v>63.316961903446128</v>
      </c>
    </row>
    <row r="324" spans="1:3" x14ac:dyDescent="0.2">
      <c r="A324" s="1">
        <v>0</v>
      </c>
      <c r="B324">
        <f>loans_pred_opti_data!D324*loans_pred_opti_data!B324</f>
        <v>470.60608859108396</v>
      </c>
      <c r="C324">
        <f>(loans_pred_opti_data!B324-ret_PESS!$G$35*loans_pred_opti_data!C324)*loans_pred_opti_data!D324</f>
        <v>348.34233028028888</v>
      </c>
    </row>
    <row r="325" spans="1:3" x14ac:dyDescent="0.2">
      <c r="A325" s="1">
        <v>0</v>
      </c>
      <c r="B325">
        <f>loans_pred_opti_data!D325*loans_pred_opti_data!B325</f>
        <v>254.75487007388466</v>
      </c>
      <c r="C325">
        <f>(loans_pred_opti_data!B325-ret_PESS!$G$35*loans_pred_opti_data!C325)*loans_pred_opti_data!D325</f>
        <v>204.14725876724029</v>
      </c>
    </row>
    <row r="326" spans="1:3" x14ac:dyDescent="0.2">
      <c r="A326" s="1">
        <v>0</v>
      </c>
      <c r="B326">
        <f>loans_pred_opti_data!D326*loans_pred_opti_data!B326</f>
        <v>653.14600514292749</v>
      </c>
      <c r="C326">
        <f>(loans_pred_opti_data!B326-ret_PESS!$G$35*loans_pred_opti_data!C326)*loans_pred_opti_data!D326</f>
        <v>537.56473721253656</v>
      </c>
    </row>
    <row r="327" spans="1:3" x14ac:dyDescent="0.2">
      <c r="A327" s="1">
        <v>0</v>
      </c>
      <c r="B327">
        <f>loans_pred_opti_data!D327*loans_pred_opti_data!B327</f>
        <v>822.231510373525</v>
      </c>
      <c r="C327">
        <f>(loans_pred_opti_data!B327-ret_PESS!$G$35*loans_pred_opti_data!C327)*loans_pred_opti_data!D327</f>
        <v>610.23480833551628</v>
      </c>
    </row>
    <row r="328" spans="1:3" x14ac:dyDescent="0.2">
      <c r="A328" s="1">
        <v>0</v>
      </c>
      <c r="B328">
        <f>loans_pred_opti_data!D328*loans_pred_opti_data!B328</f>
        <v>349.50057229221801</v>
      </c>
      <c r="C328">
        <f>(loans_pred_opti_data!B328-ret_PESS!$G$35*loans_pred_opti_data!C328)*loans_pred_opti_data!D328</f>
        <v>267.99140008502127</v>
      </c>
    </row>
    <row r="329" spans="1:3" x14ac:dyDescent="0.2">
      <c r="A329" s="1">
        <v>0</v>
      </c>
      <c r="B329">
        <f>loans_pred_opti_data!D329*loans_pred_opti_data!B329</f>
        <v>-71.749624532626527</v>
      </c>
      <c r="C329">
        <f>(loans_pred_opti_data!B329-ret_PESS!$G$35*loans_pred_opti_data!C329)*loans_pred_opti_data!D329</f>
        <v>-249.82685424455389</v>
      </c>
    </row>
    <row r="330" spans="1:3" x14ac:dyDescent="0.2">
      <c r="A330" s="1">
        <v>0</v>
      </c>
      <c r="B330">
        <f>loans_pred_opti_data!D330*loans_pred_opti_data!B330</f>
        <v>166.60884069063781</v>
      </c>
      <c r="C330">
        <f>(loans_pred_opti_data!B330-ret_PESS!$G$35*loans_pred_opti_data!C330)*loans_pred_opti_data!D330</f>
        <v>61.644906128708698</v>
      </c>
    </row>
    <row r="331" spans="1:3" x14ac:dyDescent="0.2">
      <c r="A331" s="1">
        <v>0</v>
      </c>
      <c r="B331">
        <f>loans_pred_opti_data!D331*loans_pred_opti_data!B331</f>
        <v>284.42696676765297</v>
      </c>
      <c r="C331">
        <f>(loans_pred_opti_data!B331-ret_PESS!$G$35*loans_pred_opti_data!C331)*loans_pred_opti_data!D331</f>
        <v>189.67255407678681</v>
      </c>
    </row>
    <row r="332" spans="1:3" x14ac:dyDescent="0.2">
      <c r="A332" s="1">
        <v>0</v>
      </c>
      <c r="B332">
        <f>loans_pred_opti_data!D332*loans_pred_opti_data!B332</f>
        <v>463.6675586089504</v>
      </c>
      <c r="C332">
        <f>(loans_pred_opti_data!B332-ret_PESS!$G$35*loans_pred_opti_data!C332)*loans_pred_opti_data!D332</f>
        <v>333.25288307743574</v>
      </c>
    </row>
    <row r="333" spans="1:3" x14ac:dyDescent="0.2">
      <c r="A333" s="1">
        <v>0</v>
      </c>
      <c r="B333">
        <f>loans_pred_opti_data!D333*loans_pred_opti_data!B333</f>
        <v>153.7350377223899</v>
      </c>
      <c r="C333">
        <f>(loans_pred_opti_data!B333-ret_PESS!$G$35*loans_pred_opti_data!C333)*loans_pred_opti_data!D333</f>
        <v>96.678617177352209</v>
      </c>
    </row>
    <row r="334" spans="1:3" x14ac:dyDescent="0.2">
      <c r="A334" s="1">
        <v>0</v>
      </c>
      <c r="B334">
        <f>loans_pred_opti_data!D334*loans_pred_opti_data!B334</f>
        <v>87.599567347064394</v>
      </c>
      <c r="C334">
        <f>(loans_pred_opti_data!B334-ret_PESS!$G$35*loans_pred_opti_data!C334)*loans_pred_opti_data!D334</f>
        <v>38.694064022746375</v>
      </c>
    </row>
    <row r="335" spans="1:3" x14ac:dyDescent="0.2">
      <c r="A335" s="1">
        <v>0</v>
      </c>
      <c r="B335">
        <f>loans_pred_opti_data!D335*loans_pred_opti_data!B335</f>
        <v>135.56649866627899</v>
      </c>
      <c r="C335">
        <f>(loans_pred_opti_data!B335-ret_PESS!$G$35*loans_pred_opti_data!C335)*loans_pred_opti_data!D335</f>
        <v>-3.1310228501900994</v>
      </c>
    </row>
    <row r="336" spans="1:3" x14ac:dyDescent="0.2">
      <c r="A336" s="1">
        <v>0</v>
      </c>
      <c r="B336">
        <f>loans_pred_opti_data!D336*loans_pred_opti_data!B336</f>
        <v>890.80443696121085</v>
      </c>
      <c r="C336">
        <f>(loans_pred_opti_data!B336-ret_PESS!$G$35*loans_pred_opti_data!C336)*loans_pred_opti_data!D336</f>
        <v>739.75967930805007</v>
      </c>
    </row>
    <row r="337" spans="1:3" x14ac:dyDescent="0.2">
      <c r="A337" s="1">
        <v>0</v>
      </c>
      <c r="B337">
        <f>loans_pred_opti_data!D337*loans_pred_opti_data!B337</f>
        <v>520.38115426560603</v>
      </c>
      <c r="C337">
        <f>(loans_pred_opti_data!B337-ret_PESS!$G$35*loans_pred_opti_data!C337)*loans_pred_opti_data!D337</f>
        <v>350.78379263519901</v>
      </c>
    </row>
    <row r="338" spans="1:3" x14ac:dyDescent="0.2">
      <c r="A338" s="1">
        <v>0</v>
      </c>
      <c r="B338">
        <f>loans_pred_opti_data!D338*loans_pred_opti_data!B338</f>
        <v>616.02485588446598</v>
      </c>
      <c r="C338">
        <f>(loans_pred_opti_data!B338-ret_PESS!$G$35*loans_pred_opti_data!C338)*loans_pred_opti_data!D338</f>
        <v>461.91649864394481</v>
      </c>
    </row>
    <row r="339" spans="1:3" x14ac:dyDescent="0.2">
      <c r="A339" s="1">
        <v>0</v>
      </c>
      <c r="B339">
        <f>loans_pred_opti_data!D339*loans_pred_opti_data!B339</f>
        <v>537.72070120907995</v>
      </c>
      <c r="C339">
        <f>(loans_pred_opti_data!B339-ret_PESS!$G$35*loans_pred_opti_data!C339)*loans_pred_opti_data!D339</f>
        <v>408.2537660777993</v>
      </c>
    </row>
    <row r="340" spans="1:3" x14ac:dyDescent="0.2">
      <c r="A340" s="1">
        <v>0</v>
      </c>
      <c r="B340">
        <f>loans_pred_opti_data!D340*loans_pred_opti_data!B340</f>
        <v>187.78070130511344</v>
      </c>
      <c r="C340">
        <f>(loans_pred_opti_data!B340-ret_PESS!$G$35*loans_pred_opti_data!C340)*loans_pred_opti_data!D340</f>
        <v>144.58084003529916</v>
      </c>
    </row>
    <row r="341" spans="1:3" x14ac:dyDescent="0.2">
      <c r="A341" s="1">
        <v>0</v>
      </c>
      <c r="B341">
        <f>loans_pred_opti_data!D341*loans_pred_opti_data!B341</f>
        <v>366.63272884190599</v>
      </c>
      <c r="C341">
        <f>(loans_pred_opti_data!B341-ret_PESS!$G$35*loans_pred_opti_data!C341)*loans_pred_opti_data!D341</f>
        <v>291.65848986909953</v>
      </c>
    </row>
    <row r="342" spans="1:3" x14ac:dyDescent="0.2">
      <c r="A342" s="1">
        <v>0</v>
      </c>
      <c r="B342">
        <f>loans_pred_opti_data!D342*loans_pred_opti_data!B342</f>
        <v>347.73625468536102</v>
      </c>
      <c r="C342">
        <f>(loans_pred_opti_data!B342-ret_PESS!$G$35*loans_pred_opti_data!C342)*loans_pred_opti_data!D342</f>
        <v>266.22708247816428</v>
      </c>
    </row>
    <row r="343" spans="1:3" x14ac:dyDescent="0.2">
      <c r="A343" s="1">
        <v>0</v>
      </c>
      <c r="B343">
        <f>loans_pred_opti_data!D343*loans_pred_opti_data!B343</f>
        <v>-42.26961410077103</v>
      </c>
      <c r="C343">
        <f>(loans_pred_opti_data!B343-ret_PESS!$G$35*loans_pred_opti_data!C343)*loans_pred_opti_data!D343</f>
        <v>-177.88496847242968</v>
      </c>
    </row>
    <row r="344" spans="1:3" x14ac:dyDescent="0.2">
      <c r="A344" s="1">
        <v>0</v>
      </c>
      <c r="B344">
        <f>loans_pred_opti_data!D344*loans_pred_opti_data!B344</f>
        <v>558.79953246637206</v>
      </c>
      <c r="C344">
        <f>(loans_pred_opti_data!B344-ret_PESS!$G$35*loans_pred_opti_data!C344)*loans_pred_opti_data!D344</f>
        <v>355.28269850988357</v>
      </c>
    </row>
    <row r="345" spans="1:3" x14ac:dyDescent="0.2">
      <c r="A345" s="1">
        <v>0</v>
      </c>
      <c r="B345">
        <f>loans_pred_opti_data!D345*loans_pred_opti_data!B345</f>
        <v>113.87280319256681</v>
      </c>
      <c r="C345">
        <f>(loans_pred_opti_data!B345-ret_PESS!$G$35*loans_pred_opti_data!C345)*loans_pred_opti_data!D345</f>
        <v>83.051131744462566</v>
      </c>
    </row>
    <row r="346" spans="1:3" x14ac:dyDescent="0.2">
      <c r="A346" s="1">
        <v>0</v>
      </c>
      <c r="B346">
        <f>loans_pred_opti_data!D346*loans_pred_opti_data!B346</f>
        <v>92.235800142253197</v>
      </c>
      <c r="C346">
        <f>(loans_pred_opti_data!B346-ret_PESS!$G$35*loans_pred_opti_data!C346)*loans_pred_opti_data!D346</f>
        <v>47.251256758569298</v>
      </c>
    </row>
    <row r="347" spans="1:3" x14ac:dyDescent="0.2">
      <c r="A347" s="1">
        <v>0</v>
      </c>
      <c r="B347">
        <f>loans_pred_opti_data!D347*loans_pred_opti_data!B347</f>
        <v>147.9883290728238</v>
      </c>
      <c r="C347">
        <f>(loans_pred_opti_data!B347-ret_PESS!$G$35*loans_pred_opti_data!C347)*loans_pred_opti_data!D347</f>
        <v>99.082825748505755</v>
      </c>
    </row>
    <row r="348" spans="1:3" x14ac:dyDescent="0.2">
      <c r="A348" s="1">
        <v>0</v>
      </c>
      <c r="B348">
        <f>loans_pred_opti_data!D348*loans_pred_opti_data!B348</f>
        <v>9.3607839307833398</v>
      </c>
      <c r="C348">
        <f>(loans_pred_opti_data!B348-ret_PESS!$G$35*loans_pred_opti_data!C348)*loans_pred_opti_data!D348</f>
        <v>-67.693394689477259</v>
      </c>
    </row>
    <row r="349" spans="1:3" x14ac:dyDescent="0.2">
      <c r="A349" s="1">
        <v>1</v>
      </c>
      <c r="B349">
        <f>loans_pred_opti_data!D349*loans_pred_opti_data!B349</f>
        <v>80.810148760137992</v>
      </c>
      <c r="C349">
        <f>(loans_pred_opti_data!B349-ret_PESS!$G$35*loans_pred_opti_data!C349)*loans_pred_opti_data!D349</f>
        <v>59.234978746465025</v>
      </c>
    </row>
    <row r="350" spans="1:3" x14ac:dyDescent="0.2">
      <c r="A350" s="1">
        <v>0</v>
      </c>
      <c r="B350">
        <f>loans_pred_opti_data!D350*loans_pred_opti_data!B350</f>
        <v>227.72537540066548</v>
      </c>
      <c r="C350">
        <f>(loans_pred_opti_data!B350-ret_PESS!$G$35*loans_pred_opti_data!C350)*loans_pred_opti_data!D350</f>
        <v>166.59349624526794</v>
      </c>
    </row>
    <row r="351" spans="1:3" x14ac:dyDescent="0.2">
      <c r="A351" s="1">
        <v>0</v>
      </c>
      <c r="B351">
        <f>loans_pred_opti_data!D351*loans_pred_opti_data!B351</f>
        <v>158.4268776495511</v>
      </c>
      <c r="C351">
        <f>(loans_pred_opti_data!B351-ret_PESS!$G$35*loans_pred_opti_data!C351)*loans_pred_opti_data!D351</f>
        <v>5.7892521821847893</v>
      </c>
    </row>
    <row r="352" spans="1:3" x14ac:dyDescent="0.2">
      <c r="A352" s="1">
        <v>0</v>
      </c>
      <c r="B352">
        <f>loans_pred_opti_data!D352*loans_pred_opti_data!B352</f>
        <v>511.5556461071069</v>
      </c>
      <c r="C352">
        <f>(loans_pred_opti_data!B352-ret_PESS!$G$35*loans_pred_opti_data!C352)*loans_pred_opti_data!D352</f>
        <v>411.38521390076806</v>
      </c>
    </row>
    <row r="353" spans="1:3" x14ac:dyDescent="0.2">
      <c r="A353" s="1">
        <v>0</v>
      </c>
      <c r="B353">
        <f>loans_pred_opti_data!D353*loans_pred_opti_data!B353</f>
        <v>301.0505760411985</v>
      </c>
      <c r="C353">
        <f>(loans_pred_opti_data!B353-ret_PESS!$G$35*loans_pred_opti_data!C353)*loans_pred_opti_data!D353</f>
        <v>225.70146587352795</v>
      </c>
    </row>
    <row r="354" spans="1:3" x14ac:dyDescent="0.2">
      <c r="A354" s="1">
        <v>0</v>
      </c>
      <c r="B354">
        <f>loans_pred_opti_data!D354*loans_pred_opti_data!B354</f>
        <v>200.58613880382629</v>
      </c>
      <c r="C354">
        <f>(loans_pred_opti_data!B354-ret_PESS!$G$35*loans_pred_opti_data!C354)*loans_pred_opti_data!D354</f>
        <v>143.52971825878859</v>
      </c>
    </row>
    <row r="355" spans="1:3" x14ac:dyDescent="0.2">
      <c r="A355" s="1">
        <v>0</v>
      </c>
      <c r="B355">
        <f>loans_pred_opti_data!D355*loans_pred_opti_data!B355</f>
        <v>495.55961987699635</v>
      </c>
      <c r="C355">
        <f>(loans_pred_opti_data!B355-ret_PESS!$G$35*loans_pred_opti_data!C355)*loans_pred_opti_data!D355</f>
        <v>397.74861322836028</v>
      </c>
    </row>
    <row r="356" spans="1:3" x14ac:dyDescent="0.2">
      <c r="A356" s="1">
        <v>0</v>
      </c>
      <c r="B356">
        <f>loans_pred_opti_data!D356*loans_pred_opti_data!B356</f>
        <v>37.669079505080752</v>
      </c>
      <c r="C356">
        <f>(loans_pred_opti_data!B356-ret_PESS!$G$35*loans_pred_opti_data!C356)*loans_pred_opti_data!D356</f>
        <v>-193.83131912042481</v>
      </c>
    </row>
    <row r="357" spans="1:3" x14ac:dyDescent="0.2">
      <c r="A357" s="1">
        <v>0</v>
      </c>
      <c r="B357">
        <f>loans_pred_opti_data!D357*loans_pred_opti_data!B357</f>
        <v>34.125352966598051</v>
      </c>
      <c r="C357">
        <f>(loans_pred_opti_data!B357-ret_PESS!$G$35*loans_pred_opti_data!C357)*loans_pred_opti_data!D357</f>
        <v>-3.3617665198052</v>
      </c>
    </row>
    <row r="358" spans="1:3" x14ac:dyDescent="0.2">
      <c r="A358" s="1">
        <v>0</v>
      </c>
      <c r="B358">
        <f>loans_pred_opti_data!D358*loans_pred_opti_data!B358</f>
        <v>303.4352044228329</v>
      </c>
      <c r="C358">
        <f>(loans_pred_opti_data!B358-ret_PESS!$G$35*loans_pred_opti_data!C358)*loans_pred_opti_data!D358</f>
        <v>213.77511499491652</v>
      </c>
    </row>
    <row r="359" spans="1:3" x14ac:dyDescent="0.2">
      <c r="A359" s="1">
        <v>1</v>
      </c>
      <c r="B359">
        <f>loans_pred_opti_data!D359*loans_pred_opti_data!B359</f>
        <v>166.13404549768799</v>
      </c>
      <c r="C359">
        <f>(loans_pred_opti_data!B359-ret_PESS!$G$35*loans_pred_opti_data!C359)*loans_pred_opti_data!D359</f>
        <v>92.775790511210971</v>
      </c>
    </row>
    <row r="360" spans="1:3" x14ac:dyDescent="0.2">
      <c r="A360" s="1">
        <v>0</v>
      </c>
      <c r="B360">
        <f>loans_pred_opti_data!D360*loans_pred_opti_data!B360</f>
        <v>310.50698644108161</v>
      </c>
      <c r="C360">
        <f>(loans_pred_opti_data!B360-ret_PESS!$G$35*loans_pred_opti_data!C360)*loans_pred_opti_data!D360</f>
        <v>248.86364354487313</v>
      </c>
    </row>
    <row r="361" spans="1:3" x14ac:dyDescent="0.2">
      <c r="A361" s="1">
        <v>0</v>
      </c>
      <c r="B361">
        <f>loans_pred_opti_data!D361*loans_pred_opti_data!B361</f>
        <v>296.94294999475602</v>
      </c>
      <c r="C361">
        <f>(loans_pred_opti_data!B361-ret_PESS!$G$35*loans_pred_opti_data!C361)*loans_pred_opti_data!D361</f>
        <v>112.71781592372639</v>
      </c>
    </row>
    <row r="362" spans="1:3" x14ac:dyDescent="0.2">
      <c r="A362" s="1">
        <v>0</v>
      </c>
      <c r="B362">
        <f>loans_pred_opti_data!D362*loans_pred_opti_data!B362</f>
        <v>1364.9905036720329</v>
      </c>
      <c r="C362">
        <f>(loans_pred_opti_data!B362-ret_PESS!$G$35*loans_pred_opti_data!C362)*loans_pred_opti_data!D362</f>
        <v>1176.184556605582</v>
      </c>
    </row>
    <row r="363" spans="1:3" x14ac:dyDescent="0.2">
      <c r="A363" s="1">
        <v>0</v>
      </c>
      <c r="B363">
        <f>loans_pred_opti_data!D363*loans_pred_opti_data!B363</f>
        <v>781.78547005734129</v>
      </c>
      <c r="C363">
        <f>(loans_pred_opti_data!B363-ret_PESS!$G$35*loans_pred_opti_data!C363)*loans_pred_opti_data!D363</f>
        <v>663.10744618700062</v>
      </c>
    </row>
    <row r="364" spans="1:3" x14ac:dyDescent="0.2">
      <c r="A364" s="1">
        <v>0</v>
      </c>
      <c r="B364">
        <f>loans_pred_opti_data!D364*loans_pred_opti_data!B364</f>
        <v>401.12562113131764</v>
      </c>
      <c r="C364">
        <f>(loans_pred_opti_data!B364-ret_PESS!$G$35*loans_pred_opti_data!C364)*loans_pred_opti_data!D364</f>
        <v>292.56220156810832</v>
      </c>
    </row>
    <row r="365" spans="1:3" x14ac:dyDescent="0.2">
      <c r="A365" s="1">
        <v>0</v>
      </c>
      <c r="B365">
        <f>loans_pred_opti_data!D365*loans_pred_opti_data!B365</f>
        <v>139.88217562054498</v>
      </c>
      <c r="C365">
        <f>(loans_pred_opti_data!B365-ret_PESS!$G$35*loans_pred_opti_data!C365)*loans_pred_opti_data!D365</f>
        <v>58.373003413348286</v>
      </c>
    </row>
    <row r="366" spans="1:3" x14ac:dyDescent="0.2">
      <c r="A366" s="1">
        <v>0</v>
      </c>
      <c r="B366">
        <f>loans_pred_opti_data!D366*loans_pred_opti_data!B366</f>
        <v>95.088705642575917</v>
      </c>
      <c r="C366">
        <f>(loans_pred_opti_data!B366-ret_PESS!$G$35*loans_pred_opti_data!C366)*loans_pred_opti_data!D366</f>
        <v>67.783132953165023</v>
      </c>
    </row>
    <row r="367" spans="1:3" x14ac:dyDescent="0.2">
      <c r="A367" s="1">
        <v>0</v>
      </c>
      <c r="B367">
        <f>loans_pred_opti_data!D367*loans_pred_opti_data!B367</f>
        <v>1050.4471873982322</v>
      </c>
      <c r="C367">
        <f>(loans_pred_opti_data!B367-ret_PESS!$G$35*loans_pred_opti_data!C367)*loans_pred_opti_data!D367</f>
        <v>899.40242974507146</v>
      </c>
    </row>
    <row r="368" spans="1:3" x14ac:dyDescent="0.2">
      <c r="A368" s="1">
        <v>1</v>
      </c>
      <c r="B368">
        <f>loans_pred_opti_data!D368*loans_pred_opti_data!B368</f>
        <v>499.65716290149152</v>
      </c>
      <c r="C368">
        <f>(loans_pred_opti_data!B368-ret_PESS!$G$35*loans_pred_opti_data!C368)*loans_pred_opti_data!D368</f>
        <v>387.19580444228177</v>
      </c>
    </row>
    <row r="369" spans="1:3" x14ac:dyDescent="0.2">
      <c r="A369" s="1">
        <v>1</v>
      </c>
      <c r="B369">
        <f>loans_pred_opti_data!D369*loans_pred_opti_data!B369</f>
        <v>7.1078159033721269</v>
      </c>
      <c r="C369">
        <f>(loans_pred_opti_data!B369-ret_PESS!$G$35*loans_pred_opti_data!C369)*loans_pred_opti_data!D369</f>
        <v>-216.54870474672714</v>
      </c>
    </row>
    <row r="370" spans="1:3" x14ac:dyDescent="0.2">
      <c r="A370" s="1">
        <v>0</v>
      </c>
      <c r="B370">
        <f>loans_pred_opti_data!D370*loans_pred_opti_data!B370</f>
        <v>215.65514647585647</v>
      </c>
      <c r="C370">
        <f>(loans_pred_opti_data!B370-ret_PESS!$G$35*loans_pred_opti_data!C370)*loans_pred_opti_data!D370</f>
        <v>163.54805038975596</v>
      </c>
    </row>
    <row r="371" spans="1:3" x14ac:dyDescent="0.2">
      <c r="A371" s="1">
        <v>0</v>
      </c>
      <c r="B371">
        <f>loans_pred_opti_data!D371*loans_pred_opti_data!B371</f>
        <v>1415.5611540227501</v>
      </c>
      <c r="C371">
        <f>(loans_pred_opti_data!B371-ret_PESS!$G$35*loans_pred_opti_data!C371)*loans_pred_opti_data!D371</f>
        <v>1118.7657711695376</v>
      </c>
    </row>
    <row r="372" spans="1:3" x14ac:dyDescent="0.2">
      <c r="A372" s="1">
        <v>0</v>
      </c>
      <c r="B372">
        <f>loans_pred_opti_data!D372*loans_pred_opti_data!B372</f>
        <v>573.23979056399162</v>
      </c>
      <c r="C372">
        <f>(loans_pred_opti_data!B372-ret_PESS!$G$35*loans_pred_opti_data!C372)*loans_pred_opti_data!D372</f>
        <v>497.71741173741123</v>
      </c>
    </row>
    <row r="373" spans="1:3" x14ac:dyDescent="0.2">
      <c r="A373" s="1">
        <v>0</v>
      </c>
      <c r="B373">
        <f>loans_pred_opti_data!D373*loans_pred_opti_data!B373</f>
        <v>365.19795300566699</v>
      </c>
      <c r="C373">
        <f>(loans_pred_opti_data!B373-ret_PESS!$G$35*loans_pred_opti_data!C373)*loans_pred_opti_data!D373</f>
        <v>290.22371403286047</v>
      </c>
    </row>
    <row r="374" spans="1:3" x14ac:dyDescent="0.2">
      <c r="A374" s="1">
        <v>0</v>
      </c>
      <c r="B374">
        <f>loans_pred_opti_data!D374*loans_pred_opti_data!B374</f>
        <v>407.07117294363076</v>
      </c>
      <c r="C374">
        <f>(loans_pred_opti_data!B374-ret_PESS!$G$35*loans_pred_opti_data!C374)*loans_pred_opti_data!D374</f>
        <v>304.3564655508859</v>
      </c>
    </row>
    <row r="375" spans="1:3" x14ac:dyDescent="0.2">
      <c r="A375" s="1">
        <v>0</v>
      </c>
      <c r="B375">
        <f>loans_pred_opti_data!D375*loans_pred_opti_data!B375</f>
        <v>1018.652715318609</v>
      </c>
      <c r="C375">
        <f>(loans_pred_opti_data!B375-ret_PESS!$G$35*loans_pred_opti_data!C375)*loans_pred_opti_data!D375</f>
        <v>721.85733246539678</v>
      </c>
    </row>
    <row r="376" spans="1:3" x14ac:dyDescent="0.2">
      <c r="A376" s="1">
        <v>0</v>
      </c>
      <c r="B376">
        <f>loans_pred_opti_data!D376*loans_pred_opti_data!B376</f>
        <v>-141.75529904325799</v>
      </c>
      <c r="C376">
        <f>(loans_pred_opti_data!B376-ret_PESS!$G$35*loans_pred_opti_data!C376)*loans_pred_opti_data!D376</f>
        <v>-271.15110992218274</v>
      </c>
    </row>
    <row r="377" spans="1:3" x14ac:dyDescent="0.2">
      <c r="A377" s="1">
        <v>0</v>
      </c>
      <c r="B377">
        <f>loans_pred_opti_data!D377*loans_pred_opti_data!B377</f>
        <v>146.40707333567175</v>
      </c>
      <c r="C377">
        <f>(loans_pred_opti_data!B377-ret_PESS!$G$35*loans_pred_opti_data!C377)*loans_pred_opti_data!D377</f>
        <v>67.68412241422493</v>
      </c>
    </row>
    <row r="378" spans="1:3" x14ac:dyDescent="0.2">
      <c r="A378" s="1">
        <v>0</v>
      </c>
      <c r="B378">
        <f>loans_pred_opti_data!D378*loans_pred_opti_data!B378</f>
        <v>405.8763655936296</v>
      </c>
      <c r="C378">
        <f>(loans_pred_opti_data!B378-ret_PESS!$G$35*loans_pred_opti_data!C378)*loans_pred_opti_data!D378</f>
        <v>313.41135124931685</v>
      </c>
    </row>
    <row r="379" spans="1:3" x14ac:dyDescent="0.2">
      <c r="A379" s="1">
        <v>0</v>
      </c>
      <c r="B379">
        <f>loans_pred_opti_data!D379*loans_pred_opti_data!B379</f>
        <v>222.89243879302077</v>
      </c>
      <c r="C379">
        <f>(loans_pred_opti_data!B379-ret_PESS!$G$35*loans_pred_opti_data!C379)*loans_pred_opti_data!D379</f>
        <v>161.24909589681229</v>
      </c>
    </row>
    <row r="380" spans="1:3" x14ac:dyDescent="0.2">
      <c r="A380" s="1">
        <v>0</v>
      </c>
      <c r="B380">
        <f>loans_pred_opti_data!D380*loans_pred_opti_data!B380</f>
        <v>98.189538309665551</v>
      </c>
      <c r="C380">
        <f>(loans_pred_opti_data!B380-ret_PESS!$G$35*loans_pred_opti_data!C380)*loans_pred_opti_data!D380</f>
        <v>61.510410816427033</v>
      </c>
    </row>
    <row r="381" spans="1:3" x14ac:dyDescent="0.2">
      <c r="A381" s="1">
        <v>0</v>
      </c>
      <c r="B381">
        <f>loans_pred_opti_data!D381*loans_pred_opti_data!B381</f>
        <v>165.02453986770246</v>
      </c>
      <c r="C381">
        <f>(loans_pred_opti_data!B381-ret_PESS!$G$35*loans_pred_opti_data!C381)*loans_pred_opti_data!D381</f>
        <v>112.04357793302461</v>
      </c>
    </row>
    <row r="382" spans="1:3" x14ac:dyDescent="0.2">
      <c r="A382" s="1">
        <v>0</v>
      </c>
      <c r="B382">
        <f>loans_pred_opti_data!D382*loans_pred_opti_data!B382</f>
        <v>575.01235231066596</v>
      </c>
      <c r="C382">
        <f>(loans_pred_opti_data!B382-ret_PESS!$G$35*loans_pred_opti_data!C382)*loans_pred_opti_data!D382</f>
        <v>467.12323970126539</v>
      </c>
    </row>
    <row r="383" spans="1:3" x14ac:dyDescent="0.2">
      <c r="A383" s="1">
        <v>0</v>
      </c>
      <c r="B383">
        <f>loans_pred_opti_data!D383*loans_pred_opti_data!B383</f>
        <v>102.78857690211792</v>
      </c>
      <c r="C383">
        <f>(loans_pred_opti_data!B383-ret_PESS!$G$35*loans_pred_opti_data!C383)*loans_pred_opti_data!D383</f>
        <v>76.298095934778985</v>
      </c>
    </row>
    <row r="384" spans="1:3" x14ac:dyDescent="0.2">
      <c r="A384" s="1">
        <v>1</v>
      </c>
      <c r="B384">
        <f>loans_pred_opti_data!D384*loans_pred_opti_data!B384</f>
        <v>52.702754068697253</v>
      </c>
      <c r="C384">
        <f>(loans_pred_opti_data!B384-ret_PESS!$G$35*loans_pred_opti_data!C384)*loans_pred_opti_data!D384</f>
        <v>-244.09262878451503</v>
      </c>
    </row>
    <row r="385" spans="1:3" x14ac:dyDescent="0.2">
      <c r="A385" s="1">
        <v>0</v>
      </c>
      <c r="B385">
        <f>loans_pred_opti_data!D385*loans_pred_opti_data!B385</f>
        <v>566.74370236813388</v>
      </c>
      <c r="C385">
        <f>(loans_pred_opti_data!B385-ret_PESS!$G$35*loans_pred_opti_data!C385)*loans_pred_opti_data!D385</f>
        <v>425.60469750182568</v>
      </c>
    </row>
    <row r="386" spans="1:3" x14ac:dyDescent="0.2">
      <c r="A386" s="1">
        <v>0</v>
      </c>
      <c r="B386">
        <f>loans_pred_opti_data!D386*loans_pred_opti_data!B386</f>
        <v>244.26791760918817</v>
      </c>
      <c r="C386">
        <f>(loans_pred_opti_data!B386-ret_PESS!$G$35*loans_pred_opti_data!C386)*loans_pred_opti_data!D386</f>
        <v>191.78595032822363</v>
      </c>
    </row>
    <row r="387" spans="1:3" x14ac:dyDescent="0.2">
      <c r="A387" s="1">
        <v>0</v>
      </c>
      <c r="B387">
        <f>loans_pred_opti_data!D387*loans_pred_opti_data!B387</f>
        <v>146.04361733402001</v>
      </c>
      <c r="C387">
        <f>(loans_pred_opti_data!B387-ret_PESS!$G$35*loans_pred_opti_data!C387)*loans_pred_opti_data!D387</f>
        <v>108.55649784761674</v>
      </c>
    </row>
    <row r="388" spans="1:3" x14ac:dyDescent="0.2">
      <c r="A388" s="1">
        <v>0</v>
      </c>
      <c r="B388">
        <f>loans_pred_opti_data!D388*loans_pred_opti_data!B388</f>
        <v>490.76603504241302</v>
      </c>
      <c r="C388">
        <f>(loans_pred_opti_data!B388-ret_PESS!$G$35*loans_pred_opti_data!C388)*loans_pred_opti_data!D388</f>
        <v>364.42681812125812</v>
      </c>
    </row>
    <row r="389" spans="1:3" x14ac:dyDescent="0.2">
      <c r="A389" s="1">
        <v>0</v>
      </c>
      <c r="B389">
        <f>loans_pred_opti_data!D389*loans_pred_opti_data!B389</f>
        <v>-1.9384710951684598</v>
      </c>
      <c r="C389">
        <f>(loans_pred_opti_data!B389-ret_PESS!$G$35*loans_pred_opti_data!C389)*loans_pred_opti_data!D389</f>
        <v>-50.843974419486486</v>
      </c>
    </row>
    <row r="390" spans="1:3" x14ac:dyDescent="0.2">
      <c r="A390" s="1">
        <v>0</v>
      </c>
      <c r="B390">
        <f>loans_pred_opti_data!D390*loans_pred_opti_data!B390</f>
        <v>267.37011280828887</v>
      </c>
      <c r="C390">
        <f>(loans_pred_opti_data!B390-ret_PESS!$G$35*loans_pred_opti_data!C390)*loans_pred_opti_data!D390</f>
        <v>194.01185782181184</v>
      </c>
    </row>
    <row r="391" spans="1:3" x14ac:dyDescent="0.2">
      <c r="A391" s="1">
        <v>0</v>
      </c>
      <c r="B391">
        <f>loans_pred_opti_data!D391*loans_pred_opti_data!B391</f>
        <v>310.07919991504707</v>
      </c>
      <c r="C391">
        <f>(loans_pred_opti_data!B391-ret_PESS!$G$35*loans_pred_opti_data!C391)*loans_pred_opti_data!D391</f>
        <v>231.83039459613821</v>
      </c>
    </row>
    <row r="392" spans="1:3" x14ac:dyDescent="0.2">
      <c r="A392" s="1">
        <v>0</v>
      </c>
      <c r="B392">
        <f>loans_pred_opti_data!D392*loans_pred_opti_data!B392</f>
        <v>339.51296278696475</v>
      </c>
      <c r="C392">
        <f>(loans_pred_opti_data!B392-ret_PESS!$G$35*loans_pred_opti_data!C392)*loans_pred_opti_data!D392</f>
        <v>272.97332569859896</v>
      </c>
    </row>
    <row r="393" spans="1:3" x14ac:dyDescent="0.2">
      <c r="A393" s="1">
        <v>0</v>
      </c>
      <c r="B393">
        <f>loans_pred_opti_data!D393*loans_pred_opti_data!B393</f>
        <v>570.36070463071974</v>
      </c>
      <c r="C393">
        <f>(loans_pred_opti_data!B393-ret_PESS!$G$35*loans_pred_opti_data!C393)*loans_pred_opti_data!D393</f>
        <v>452.98749665235641</v>
      </c>
    </row>
    <row r="394" spans="1:3" x14ac:dyDescent="0.2">
      <c r="A394" s="1">
        <v>0</v>
      </c>
      <c r="B394">
        <f>loans_pred_opti_data!D394*loans_pred_opti_data!B394</f>
        <v>504.09550863217282</v>
      </c>
      <c r="C394">
        <f>(loans_pred_opti_data!B394-ret_PESS!$G$35*loans_pred_opti_data!C394)*loans_pred_opti_data!D394</f>
        <v>399.13157407024374</v>
      </c>
    </row>
    <row r="395" spans="1:3" x14ac:dyDescent="0.2">
      <c r="A395" s="1">
        <v>0</v>
      </c>
      <c r="B395">
        <f>loans_pred_opti_data!D395*loans_pred_opti_data!B395</f>
        <v>1480.7077146816359</v>
      </c>
      <c r="C395">
        <f>(loans_pred_opti_data!B395-ret_PESS!$G$35*loans_pred_opti_data!C395)*loans_pred_opti_data!D395</f>
        <v>1183.9123318284235</v>
      </c>
    </row>
    <row r="396" spans="1:3" x14ac:dyDescent="0.2">
      <c r="A396" s="1">
        <v>0</v>
      </c>
      <c r="B396">
        <f>loans_pred_opti_data!D396*loans_pred_opti_data!B396</f>
        <v>259.2940702650435</v>
      </c>
      <c r="C396">
        <f>(loans_pred_opti_data!B396-ret_PESS!$G$35*loans_pred_opti_data!C396)*loans_pred_opti_data!D396</f>
        <v>189.94530950680894</v>
      </c>
    </row>
    <row r="397" spans="1:3" x14ac:dyDescent="0.2">
      <c r="A397" s="1">
        <v>0</v>
      </c>
      <c r="B397">
        <f>loans_pred_opti_data!D397*loans_pred_opti_data!B397</f>
        <v>307.79071499181163</v>
      </c>
      <c r="C397">
        <f>(loans_pred_opti_data!B397-ret_PESS!$G$35*loans_pred_opti_data!C397)*loans_pred_opti_data!D397</f>
        <v>231.69186243441305</v>
      </c>
    </row>
    <row r="398" spans="1:3" x14ac:dyDescent="0.2">
      <c r="A398" s="1">
        <v>0</v>
      </c>
      <c r="B398">
        <f>loans_pred_opti_data!D398*loans_pred_opti_data!B398</f>
        <v>2.093365838055437</v>
      </c>
      <c r="C398">
        <f>(loans_pred_opti_data!B398-ret_PESS!$G$35*loans_pred_opti_data!C398)*loans_pred_opti_data!D398</f>
        <v>-76.155439480853403</v>
      </c>
    </row>
    <row r="399" spans="1:3" x14ac:dyDescent="0.2">
      <c r="A399" s="1">
        <v>0</v>
      </c>
      <c r="B399">
        <f>loans_pred_opti_data!D399*loans_pred_opti_data!B399</f>
        <v>201.61658104999762</v>
      </c>
      <c r="C399">
        <f>(loans_pred_opti_data!B399-ret_PESS!$G$35*loans_pred_opti_data!C399)*loans_pred_opti_data!D399</f>
        <v>117.27056220559029</v>
      </c>
    </row>
    <row r="400" spans="1:3" x14ac:dyDescent="0.2">
      <c r="A400" s="1">
        <v>0</v>
      </c>
      <c r="B400">
        <f>loans_pred_opti_data!D400*loans_pred_opti_data!B400</f>
        <v>210.71244338625402</v>
      </c>
      <c r="C400">
        <f>(loans_pred_opti_data!B400-ret_PESS!$G$35*loans_pred_opti_data!C400)*loans_pred_opti_data!D400</f>
        <v>129.20327117905731</v>
      </c>
    </row>
    <row r="401" spans="1:3" x14ac:dyDescent="0.2">
      <c r="A401" s="1">
        <v>0</v>
      </c>
      <c r="B401">
        <f>loans_pred_opti_data!D401*loans_pred_opti_data!B401</f>
        <v>1407.8877410309565</v>
      </c>
      <c r="C401">
        <f>(loans_pred_opti_data!B401-ret_PESS!$G$35*loans_pred_opti_data!C401)*loans_pred_opti_data!D401</f>
        <v>1111.0923581777442</v>
      </c>
    </row>
    <row r="402" spans="1:3" x14ac:dyDescent="0.2">
      <c r="A402" s="1">
        <v>0</v>
      </c>
      <c r="B402">
        <f>loans_pred_opti_data!D402*loans_pred_opti_data!B402</f>
        <v>139.91517677620701</v>
      </c>
      <c r="C402">
        <f>(loans_pred_opti_data!B402-ret_PESS!$G$35*loans_pred_opti_data!C402)*loans_pred_opti_data!D402</f>
        <v>102.42805728980373</v>
      </c>
    </row>
    <row r="403" spans="1:3" x14ac:dyDescent="0.2">
      <c r="A403" s="1">
        <v>0</v>
      </c>
      <c r="B403">
        <f>loans_pred_opti_data!D403*loans_pred_opti_data!B403</f>
        <v>-50.51086665561072</v>
      </c>
      <c r="C403">
        <f>(loans_pred_opti_data!B403-ret_PESS!$G$35*loans_pred_opti_data!C403)*loans_pred_opti_data!D403</f>
        <v>-186.18875595993634</v>
      </c>
    </row>
    <row r="404" spans="1:3" x14ac:dyDescent="0.2">
      <c r="A404" s="1">
        <v>0</v>
      </c>
      <c r="B404">
        <f>loans_pred_opti_data!D404*loans_pred_opti_data!B404</f>
        <v>46.689557527259751</v>
      </c>
      <c r="C404">
        <f>(loans_pred_opti_data!B404-ret_PESS!$G$35*loans_pred_opti_data!C404)*loans_pred_opti_data!D404</f>
        <v>-165.30714451074903</v>
      </c>
    </row>
    <row r="405" spans="1:3" x14ac:dyDescent="0.2">
      <c r="A405" s="1">
        <v>0</v>
      </c>
      <c r="B405">
        <f>loans_pred_opti_data!D405*loans_pred_opti_data!B405</f>
        <v>190.90547539433697</v>
      </c>
      <c r="C405">
        <f>(loans_pred_opti_data!B405-ret_PESS!$G$35*loans_pred_opti_data!C405)*loans_pred_opti_data!D405</f>
        <v>153.41835590793374</v>
      </c>
    </row>
    <row r="406" spans="1:3" x14ac:dyDescent="0.2">
      <c r="A406" s="1">
        <v>0</v>
      </c>
      <c r="B406">
        <f>loans_pred_opti_data!D406*loans_pred_opti_data!B406</f>
        <v>402.63234602600551</v>
      </c>
      <c r="C406">
        <f>(loans_pred_opti_data!B406-ret_PESS!$G$35*loans_pred_opti_data!C406)*loans_pred_opti_data!D406</f>
        <v>290.17098756679576</v>
      </c>
    </row>
    <row r="407" spans="1:3" x14ac:dyDescent="0.2">
      <c r="A407" s="1">
        <v>0</v>
      </c>
      <c r="B407">
        <f>loans_pred_opti_data!D407*loans_pred_opti_data!B407</f>
        <v>344.14448783053348</v>
      </c>
      <c r="C407">
        <f>(loans_pred_opti_data!B407-ret_PESS!$G$35*loans_pred_opti_data!C407)*loans_pred_opti_data!D407</f>
        <v>265.89568251162461</v>
      </c>
    </row>
    <row r="408" spans="1:3" x14ac:dyDescent="0.2">
      <c r="A408" s="1">
        <v>1</v>
      </c>
      <c r="B408">
        <f>loans_pred_opti_data!D408*loans_pred_opti_data!B408</f>
        <v>-42.139425535066273</v>
      </c>
      <c r="C408">
        <f>(loans_pred_opti_data!B408-ret_PESS!$G$35*loans_pred_opti_data!C408)*loans_pred_opti_data!D408</f>
        <v>-207.49685312471311</v>
      </c>
    </row>
    <row r="409" spans="1:3" x14ac:dyDescent="0.2">
      <c r="A409" s="1">
        <v>0</v>
      </c>
      <c r="B409">
        <f>loans_pred_opti_data!D409*loans_pred_opti_data!B409</f>
        <v>621.0705053167776</v>
      </c>
      <c r="C409">
        <f>(loans_pred_opti_data!B409-ret_PESS!$G$35*loans_pred_opti_data!C409)*loans_pred_opti_data!D409</f>
        <v>491.60357018549689</v>
      </c>
    </row>
    <row r="410" spans="1:3" x14ac:dyDescent="0.2">
      <c r="A410" s="1">
        <v>0</v>
      </c>
      <c r="B410">
        <f>loans_pred_opti_data!D410*loans_pred_opti_data!B410</f>
        <v>266.20088911155699</v>
      </c>
      <c r="C410">
        <f>(loans_pred_opti_data!B410-ret_PESS!$G$35*loans_pred_opti_data!C410)*loans_pred_opti_data!D410</f>
        <v>191.2266501387505</v>
      </c>
    </row>
    <row r="411" spans="1:3" x14ac:dyDescent="0.2">
      <c r="A411" s="1">
        <v>0</v>
      </c>
      <c r="B411">
        <f>loans_pred_opti_data!D411*loans_pred_opti_data!B411</f>
        <v>-38.327976975260881</v>
      </c>
      <c r="C411">
        <f>(loans_pred_opti_data!B411-ret_PESS!$G$35*loans_pred_opti_data!C411)*loans_pred_opti_data!D411</f>
        <v>-128.29706374262869</v>
      </c>
    </row>
    <row r="412" spans="1:3" x14ac:dyDescent="0.2">
      <c r="A412" s="1">
        <v>0</v>
      </c>
      <c r="B412">
        <f>loans_pred_opti_data!D412*loans_pred_opti_data!B412</f>
        <v>493.63441025263404</v>
      </c>
      <c r="C412">
        <f>(loans_pred_opti_data!B412-ret_PESS!$G$35*loans_pred_opti_data!C412)*loans_pred_opti_data!D412</f>
        <v>324.03704862222702</v>
      </c>
    </row>
    <row r="413" spans="1:3" x14ac:dyDescent="0.2">
      <c r="A413" s="1">
        <v>0</v>
      </c>
      <c r="B413">
        <f>loans_pred_opti_data!D413*loans_pred_opti_data!B413</f>
        <v>7.9766114856652601</v>
      </c>
      <c r="C413">
        <f>(loans_pred_opti_data!B413-ret_PESS!$G$35*loans_pred_opti_data!C413)*loans_pred_opti_data!D413</f>
        <v>-154.83685567952548</v>
      </c>
    </row>
    <row r="414" spans="1:3" x14ac:dyDescent="0.2">
      <c r="A414" s="1">
        <v>0</v>
      </c>
      <c r="B414">
        <f>loans_pred_opti_data!D414*loans_pred_opti_data!B414</f>
        <v>795.04575017470199</v>
      </c>
      <c r="C414">
        <f>(loans_pred_opti_data!B414-ret_PESS!$G$35*loans_pred_opti_data!C414)*loans_pred_opti_data!D414</f>
        <v>633.21208126060105</v>
      </c>
    </row>
    <row r="415" spans="1:3" x14ac:dyDescent="0.2">
      <c r="A415" s="1">
        <v>0</v>
      </c>
      <c r="B415">
        <f>loans_pred_opti_data!D415*loans_pred_opti_data!B415</f>
        <v>42.56251350252348</v>
      </c>
      <c r="C415">
        <f>(loans_pred_opti_data!B415-ret_PESS!$G$35*loans_pred_opti_data!C415)*loans_pred_opti_data!D415</f>
        <v>33.565604825786707</v>
      </c>
    </row>
    <row r="416" spans="1:3" x14ac:dyDescent="0.2">
      <c r="A416" s="1">
        <v>0</v>
      </c>
      <c r="B416">
        <f>loans_pred_opti_data!D416*loans_pred_opti_data!B416</f>
        <v>512.90147032405378</v>
      </c>
      <c r="C416">
        <f>(loans_pred_opti_data!B416-ret_PESS!$G$35*loans_pred_opti_data!C416)*loans_pred_opti_data!D416</f>
        <v>415.8012689755933</v>
      </c>
    </row>
    <row r="417" spans="1:3" x14ac:dyDescent="0.2">
      <c r="A417" s="1">
        <v>0</v>
      </c>
      <c r="B417">
        <f>loans_pred_opti_data!D417*loans_pred_opti_data!B417</f>
        <v>221.52916198400899</v>
      </c>
      <c r="C417">
        <f>(loans_pred_opti_data!B417-ret_PESS!$G$35*loans_pred_opti_data!C417)*loans_pred_opti_data!D417</f>
        <v>102.85113811366833</v>
      </c>
    </row>
    <row r="418" spans="1:3" x14ac:dyDescent="0.2">
      <c r="A418" s="1">
        <v>1</v>
      </c>
      <c r="B418">
        <f>loans_pred_opti_data!D418*loans_pred_opti_data!B418</f>
        <v>813.63537063953493</v>
      </c>
      <c r="C418">
        <f>(loans_pred_opti_data!B418-ret_PESS!$G$35*loans_pred_opti_data!C418)*loans_pred_opti_data!D418</f>
        <v>601.63866860152609</v>
      </c>
    </row>
    <row r="419" spans="1:3" x14ac:dyDescent="0.2">
      <c r="A419" s="1">
        <v>0</v>
      </c>
      <c r="B419">
        <f>loans_pred_opti_data!D419*loans_pred_opti_data!B419</f>
        <v>423.09284936876611</v>
      </c>
      <c r="C419">
        <f>(loans_pred_opti_data!B419-ret_PESS!$G$35*loans_pred_opti_data!C419)*loans_pred_opti_data!D419</f>
        <v>322.83656755391411</v>
      </c>
    </row>
    <row r="420" spans="1:3" x14ac:dyDescent="0.2">
      <c r="A420" s="1">
        <v>0</v>
      </c>
      <c r="B420">
        <f>loans_pred_opti_data!D420*loans_pred_opti_data!B420</f>
        <v>196.09257405894527</v>
      </c>
      <c r="C420">
        <f>(loans_pred_opti_data!B420-ret_PESS!$G$35*loans_pred_opti_data!C420)*loans_pred_opti_data!D420</f>
        <v>48.148551108044927</v>
      </c>
    </row>
    <row r="421" spans="1:3" x14ac:dyDescent="0.2">
      <c r="A421" s="1">
        <v>0</v>
      </c>
      <c r="B421">
        <f>loans_pred_opti_data!D421*loans_pred_opti_data!B421</f>
        <v>119.76670084618901</v>
      </c>
      <c r="C421">
        <f>(loans_pred_opti_data!B421-ret_PESS!$G$35*loans_pred_opti_data!C421)*loans_pred_opti_data!D421</f>
        <v>81.239611536058703</v>
      </c>
    </row>
    <row r="422" spans="1:3" x14ac:dyDescent="0.2">
      <c r="A422" s="1">
        <v>1</v>
      </c>
      <c r="B422">
        <f>loans_pred_opti_data!D422*loans_pred_opti_data!B422</f>
        <v>257.9976803101755</v>
      </c>
      <c r="C422">
        <f>(loans_pred_opti_data!B422-ret_PESS!$G$35*loans_pred_opti_data!C422)*loans_pred_opti_data!D422</f>
        <v>187.14702448087334</v>
      </c>
    </row>
    <row r="423" spans="1:3" x14ac:dyDescent="0.2">
      <c r="A423" s="1">
        <v>0</v>
      </c>
      <c r="B423">
        <f>loans_pred_opti_data!D423*loans_pred_opti_data!B423</f>
        <v>253.70191724358406</v>
      </c>
      <c r="C423">
        <f>(loans_pred_opti_data!B423-ret_PESS!$G$35*loans_pred_opti_data!C423)*loans_pred_opti_data!D423</f>
        <v>187.47571482523671</v>
      </c>
    </row>
    <row r="424" spans="1:3" x14ac:dyDescent="0.2">
      <c r="A424" s="1">
        <v>0</v>
      </c>
      <c r="B424">
        <f>loans_pred_opti_data!D424*loans_pred_opti_data!B424</f>
        <v>234.74257640468818</v>
      </c>
      <c r="C424">
        <f>(loans_pred_opti_data!B424-ret_PESS!$G$35*loans_pred_opti_data!C424)*loans_pred_opti_data!D424</f>
        <v>166.51601893943425</v>
      </c>
    </row>
    <row r="425" spans="1:3" x14ac:dyDescent="0.2">
      <c r="A425" s="1">
        <v>0</v>
      </c>
      <c r="B425">
        <f>loans_pred_opti_data!D425*loans_pred_opti_data!B425</f>
        <v>407.38602498902884</v>
      </c>
      <c r="C425">
        <f>(loans_pred_opti_data!B425-ret_PESS!$G$35*loans_pred_opti_data!C425)*loans_pred_opti_data!D425</f>
        <v>277.91908985774808</v>
      </c>
    </row>
    <row r="426" spans="1:3" x14ac:dyDescent="0.2">
      <c r="A426" s="1">
        <v>1</v>
      </c>
      <c r="B426">
        <f>loans_pred_opti_data!D426*loans_pred_opti_data!B426</f>
        <v>123.55754987472777</v>
      </c>
      <c r="C426">
        <f>(loans_pred_opti_data!B426-ret_PESS!$G$35*loans_pred_opti_data!C426)*loans_pred_opti_data!D426</f>
        <v>72.818090175747813</v>
      </c>
    </row>
    <row r="427" spans="1:3" x14ac:dyDescent="0.2">
      <c r="A427" s="1">
        <v>1</v>
      </c>
      <c r="B427">
        <f>loans_pred_opti_data!D427*loans_pred_opti_data!B427</f>
        <v>-31.962881305784901</v>
      </c>
      <c r="C427">
        <f>(loans_pred_opti_data!B427-ret_PESS!$G$35*loans_pred_opti_data!C427)*loans_pred_opti_data!D427</f>
        <v>-234.41973175208329</v>
      </c>
    </row>
    <row r="428" spans="1:3" x14ac:dyDescent="0.2">
      <c r="A428" s="1">
        <v>0</v>
      </c>
      <c r="B428">
        <f>loans_pred_opti_data!D428*loans_pred_opti_data!B428</f>
        <v>109.47996076421281</v>
      </c>
      <c r="C428">
        <f>(loans_pred_opti_data!B428-ret_PESS!$G$35*loans_pred_opti_data!C428)*loans_pred_opti_data!D428</f>
        <v>-94.036873192275621</v>
      </c>
    </row>
    <row r="429" spans="1:3" x14ac:dyDescent="0.2">
      <c r="A429" s="1">
        <v>0</v>
      </c>
      <c r="B429">
        <f>loans_pred_opti_data!D429*loans_pred_opti_data!B429</f>
        <v>241.48265973376959</v>
      </c>
      <c r="C429">
        <f>(loans_pred_opti_data!B429-ret_PESS!$G$35*loans_pred_opti_data!C429)*loans_pred_opti_data!D429</f>
        <v>176.27532196801221</v>
      </c>
    </row>
    <row r="430" spans="1:3" x14ac:dyDescent="0.2">
      <c r="A430" s="1">
        <v>0</v>
      </c>
      <c r="B430">
        <f>loans_pred_opti_data!D430*loans_pred_opti_data!B430</f>
        <v>433.79572781463594</v>
      </c>
      <c r="C430">
        <f>(loans_pred_opti_data!B430-ret_PESS!$G$35*loans_pred_opti_data!C430)*loans_pred_opti_data!D430</f>
        <v>335.98472116599987</v>
      </c>
    </row>
    <row r="431" spans="1:3" x14ac:dyDescent="0.2">
      <c r="A431" s="1">
        <v>0</v>
      </c>
      <c r="B431">
        <f>loans_pred_opti_data!D431*loans_pred_opti_data!B431</f>
        <v>303.25476543906399</v>
      </c>
      <c r="C431">
        <f>(loans_pred_opti_data!B431-ret_PESS!$G$35*loans_pred_opti_data!C431)*loans_pred_opti_data!D431</f>
        <v>243.27537426081881</v>
      </c>
    </row>
    <row r="432" spans="1:3" x14ac:dyDescent="0.2">
      <c r="A432" s="1">
        <v>0</v>
      </c>
      <c r="B432">
        <f>loans_pred_opti_data!D432*loans_pred_opti_data!B432</f>
        <v>275.31382932096602</v>
      </c>
      <c r="C432">
        <f>(loans_pred_opti_data!B432-ret_PESS!$G$35*loans_pred_opti_data!C432)*loans_pred_opti_data!D432</f>
        <v>182.84881497665327</v>
      </c>
    </row>
    <row r="433" spans="1:3" x14ac:dyDescent="0.2">
      <c r="A433" s="1">
        <v>0</v>
      </c>
      <c r="B433">
        <f>loans_pred_opti_data!D433*loans_pred_opti_data!B433</f>
        <v>431.86274962519116</v>
      </c>
      <c r="C433">
        <f>(loans_pred_opti_data!B433-ret_PESS!$G$35*loans_pred_opti_data!C433)*loans_pred_opti_data!D433</f>
        <v>337.72949887348915</v>
      </c>
    </row>
    <row r="434" spans="1:3" x14ac:dyDescent="0.2">
      <c r="A434" s="1">
        <v>0</v>
      </c>
      <c r="B434">
        <f>loans_pred_opti_data!D434*loans_pred_opti_data!B434</f>
        <v>513.41087225419142</v>
      </c>
      <c r="C434">
        <f>(loans_pred_opti_data!B434-ret_PESS!$G$35*loans_pred_opti_data!C434)*loans_pred_opti_data!D434</f>
        <v>444.36184018417498</v>
      </c>
    </row>
    <row r="435" spans="1:3" x14ac:dyDescent="0.2">
      <c r="A435" s="1">
        <v>0</v>
      </c>
      <c r="B435">
        <f>loans_pred_opti_data!D435*loans_pred_opti_data!B435</f>
        <v>73.321535493755036</v>
      </c>
      <c r="C435">
        <f>(loans_pred_opti_data!B435-ret_PESS!$G$35*loans_pred_opti_data!C435)*loans_pred_opti_data!D435</f>
        <v>53.759334164027834</v>
      </c>
    </row>
    <row r="436" spans="1:3" x14ac:dyDescent="0.2">
      <c r="A436" s="1">
        <v>0</v>
      </c>
      <c r="B436">
        <f>loans_pred_opti_data!D436*loans_pred_opti_data!B436</f>
        <v>263.7174840517074</v>
      </c>
      <c r="C436">
        <f>(loans_pred_opti_data!B436-ret_PESS!$G$35*loans_pred_opti_data!C436)*loans_pred_opti_data!D436</f>
        <v>136.26127779793634</v>
      </c>
    </row>
    <row r="437" spans="1:3" x14ac:dyDescent="0.2">
      <c r="A437" s="1">
        <v>0</v>
      </c>
      <c r="B437">
        <f>loans_pred_opti_data!D437*loans_pred_opti_data!B437</f>
        <v>202.15114972043901</v>
      </c>
      <c r="C437">
        <f>(loans_pred_opti_data!B437-ret_PESS!$G$35*loans_pred_opti_data!C437)*loans_pred_opti_data!D437</f>
        <v>120.6419775132423</v>
      </c>
    </row>
    <row r="438" spans="1:3" x14ac:dyDescent="0.2">
      <c r="A438" s="1">
        <v>0</v>
      </c>
      <c r="B438">
        <f>loans_pred_opti_data!D438*loans_pred_opti_data!B438</f>
        <v>243.975737471765</v>
      </c>
      <c r="C438">
        <f>(loans_pred_opti_data!B438-ret_PESS!$G$35*loans_pred_opti_data!C438)*loans_pred_opti_data!D438</f>
        <v>162.46656526456829</v>
      </c>
    </row>
    <row r="439" spans="1:3" x14ac:dyDescent="0.2">
      <c r="A439" s="1">
        <v>0</v>
      </c>
      <c r="B439">
        <f>loans_pred_opti_data!D439*loans_pred_opti_data!B439</f>
        <v>86.550982904043607</v>
      </c>
      <c r="C439">
        <f>(loans_pred_opti_data!B439-ret_PESS!$G$35*loans_pred_opti_data!C439)*loans_pred_opti_data!D439</f>
        <v>5.0418106968468965</v>
      </c>
    </row>
    <row r="440" spans="1:3" x14ac:dyDescent="0.2">
      <c r="A440" s="1">
        <v>0</v>
      </c>
      <c r="B440">
        <f>loans_pred_opti_data!D440*loans_pred_opti_data!B440</f>
        <v>42.301530880551361</v>
      </c>
      <c r="C440">
        <f>(loans_pred_opti_data!B440-ret_PESS!$G$35*loans_pred_opti_data!C440)*loans_pred_opti_data!D440</f>
        <v>-110.33609458681497</v>
      </c>
    </row>
    <row r="441" spans="1:3" x14ac:dyDescent="0.2">
      <c r="A441" s="1">
        <v>0</v>
      </c>
      <c r="B441">
        <f>loans_pred_opti_data!D441*loans_pred_opti_data!B441</f>
        <v>233.14746923047977</v>
      </c>
      <c r="C441">
        <f>(loans_pred_opti_data!B441-ret_PESS!$G$35*loans_pred_opti_data!C441)*loans_pred_opti_data!D441</f>
        <v>152.04584288431906</v>
      </c>
    </row>
    <row r="442" spans="1:3" x14ac:dyDescent="0.2">
      <c r="A442" s="1">
        <v>0</v>
      </c>
      <c r="B442">
        <f>loans_pred_opti_data!D442*loans_pred_opti_data!B442</f>
        <v>366.91310656917034</v>
      </c>
      <c r="C442">
        <f>(loans_pred_opti_data!B442-ret_PESS!$G$35*loans_pred_opti_data!C442)*loans_pred_opti_data!D442</f>
        <v>230.27255604123047</v>
      </c>
    </row>
    <row r="443" spans="1:3" x14ac:dyDescent="0.2">
      <c r="A443" s="1">
        <v>0</v>
      </c>
      <c r="B443">
        <f>loans_pred_opti_data!D443*loans_pred_opti_data!B443</f>
        <v>694.77581520153603</v>
      </c>
      <c r="C443">
        <f>(loans_pred_opti_data!B443-ret_PESS!$G$35*loans_pred_opti_data!C443)*loans_pred_opti_data!D443</f>
        <v>491.25898124504761</v>
      </c>
    </row>
    <row r="444" spans="1:3" x14ac:dyDescent="0.2">
      <c r="A444" s="1">
        <v>0</v>
      </c>
      <c r="B444">
        <f>loans_pred_opti_data!D444*loans_pred_opti_data!B444</f>
        <v>220.82458239082837</v>
      </c>
      <c r="C444">
        <f>(loans_pred_opti_data!B444-ret_PESS!$G$35*loans_pred_opti_data!C444)*loans_pred_opti_data!D444</f>
        <v>145.42859809917141</v>
      </c>
    </row>
    <row r="445" spans="1:3" x14ac:dyDescent="0.2">
      <c r="A445" s="1">
        <v>0</v>
      </c>
      <c r="B445">
        <f>loans_pred_opti_data!D445*loans_pred_opti_data!B445</f>
        <v>378.43889938854608</v>
      </c>
      <c r="C445">
        <f>(loans_pred_opti_data!B445-ret_PESS!$G$35*loans_pred_opti_data!C445)*loans_pred_opti_data!D445</f>
        <v>280.97238872389767</v>
      </c>
    </row>
    <row r="446" spans="1:3" x14ac:dyDescent="0.2">
      <c r="A446" s="1">
        <v>0</v>
      </c>
      <c r="B446">
        <f>loans_pred_opti_data!D446*loans_pred_opti_data!B446</f>
        <v>389.61947473764923</v>
      </c>
      <c r="C446">
        <f>(loans_pred_opti_data!B446-ret_PESS!$G$35*loans_pred_opti_data!C446)*loans_pred_opti_data!D446</f>
        <v>271.43117503721402</v>
      </c>
    </row>
    <row r="447" spans="1:3" x14ac:dyDescent="0.2">
      <c r="A447" s="1">
        <v>0</v>
      </c>
      <c r="B447">
        <f>loans_pred_opti_data!D447*loans_pred_opti_data!B447</f>
        <v>7.5712884263192208</v>
      </c>
      <c r="C447">
        <f>(loans_pred_opti_data!B447-ret_PESS!$G$35*loans_pred_opti_data!C447)*loans_pred_opti_data!D447</f>
        <v>-149.30627108180727</v>
      </c>
    </row>
    <row r="448" spans="1:3" x14ac:dyDescent="0.2">
      <c r="A448" s="1">
        <v>0</v>
      </c>
      <c r="B448">
        <f>loans_pred_opti_data!D448*loans_pred_opti_data!B448</f>
        <v>94.952796668230178</v>
      </c>
      <c r="C448">
        <f>(loans_pred_opti_data!B448-ret_PESS!$G$35*loans_pred_opti_data!C448)*loans_pred_opti_data!D448</f>
        <v>56.153627999802815</v>
      </c>
    </row>
    <row r="449" spans="1:3" x14ac:dyDescent="0.2">
      <c r="A449" s="1">
        <v>0</v>
      </c>
      <c r="B449">
        <f>loans_pred_opti_data!D449*loans_pred_opti_data!B449</f>
        <v>418.28755425896446</v>
      </c>
      <c r="C449">
        <f>(loans_pred_opti_data!B449-ret_PESS!$G$35*loans_pred_opti_data!C449)*loans_pred_opti_data!D449</f>
        <v>265.25408343995264</v>
      </c>
    </row>
    <row r="450" spans="1:3" x14ac:dyDescent="0.2">
      <c r="A450" s="1">
        <v>0</v>
      </c>
      <c r="B450">
        <f>loans_pred_opti_data!D450*loans_pred_opti_data!B450</f>
        <v>333.16339260995102</v>
      </c>
      <c r="C450">
        <f>(loans_pred_opti_data!B450-ret_PESS!$G$35*loans_pred_opti_data!C450)*loans_pred_opti_data!D450</f>
        <v>258.1891536371445</v>
      </c>
    </row>
    <row r="451" spans="1:3" x14ac:dyDescent="0.2">
      <c r="A451" s="1">
        <v>0</v>
      </c>
      <c r="B451">
        <f>loans_pred_opti_data!D451*loans_pred_opti_data!B451</f>
        <v>929.31948384821703</v>
      </c>
      <c r="C451">
        <f>(loans_pred_opti_data!B451-ret_PESS!$G$35*loans_pred_opti_data!C451)*loans_pred_opti_data!D451</f>
        <v>632.52410099500469</v>
      </c>
    </row>
    <row r="452" spans="1:3" x14ac:dyDescent="0.2">
      <c r="A452" s="1">
        <v>0</v>
      </c>
      <c r="B452">
        <f>loans_pred_opti_data!D452*loans_pred_opti_data!B452</f>
        <v>469.22241038024521</v>
      </c>
      <c r="C452">
        <f>(loans_pred_opti_data!B452-ret_PESS!$G$35*loans_pred_opti_data!C452)*loans_pred_opti_data!D452</f>
        <v>355.10956929016982</v>
      </c>
    </row>
    <row r="453" spans="1:3" x14ac:dyDescent="0.2">
      <c r="A453" s="1">
        <v>0</v>
      </c>
      <c r="B453">
        <f>loans_pred_opti_data!D453*loans_pred_opti_data!B453</f>
        <v>1146.10165829368</v>
      </c>
      <c r="C453">
        <f>(loans_pred_opti_data!B453-ret_PESS!$G$35*loans_pred_opti_data!C453)*loans_pred_opti_data!D453</f>
        <v>1027.4236344233393</v>
      </c>
    </row>
    <row r="454" spans="1:3" x14ac:dyDescent="0.2">
      <c r="A454" s="1">
        <v>0</v>
      </c>
      <c r="B454">
        <f>loans_pred_opti_data!D454*loans_pred_opti_data!B454</f>
        <v>-448.38247324862601</v>
      </c>
      <c r="C454">
        <f>(loans_pred_opti_data!B454-ret_PESS!$G$35*loans_pred_opti_data!C454)*loans_pred_opti_data!D454</f>
        <v>-745.17785610183842</v>
      </c>
    </row>
    <row r="455" spans="1:3" x14ac:dyDescent="0.2">
      <c r="A455" s="1">
        <v>0</v>
      </c>
      <c r="B455">
        <f>loans_pred_opti_data!D455*loans_pred_opti_data!B455</f>
        <v>84.703742507754896</v>
      </c>
      <c r="C455">
        <f>(loans_pred_opti_data!B455-ret_PESS!$G$35*loans_pred_opti_data!C455)*loans_pred_opti_data!D455</f>
        <v>62.211470815912939</v>
      </c>
    </row>
    <row r="456" spans="1:3" x14ac:dyDescent="0.2">
      <c r="A456" s="1">
        <v>0</v>
      </c>
      <c r="B456">
        <f>loans_pred_opti_data!D456*loans_pred_opti_data!B456</f>
        <v>160.73375002288859</v>
      </c>
      <c r="C456">
        <f>(loans_pred_opti_data!B456-ret_PESS!$G$35*loans_pred_opti_data!C456)*loans_pred_opti_data!D456</f>
        <v>115.74920663920469</v>
      </c>
    </row>
    <row r="457" spans="1:3" x14ac:dyDescent="0.2">
      <c r="A457" s="1">
        <v>1</v>
      </c>
      <c r="B457">
        <f>loans_pred_opti_data!D457*loans_pred_opti_data!B457</f>
        <v>271.94038292485999</v>
      </c>
      <c r="C457">
        <f>(loans_pred_opti_data!B457-ret_PESS!$G$35*loans_pred_opti_data!C457)*loans_pred_opti_data!D457</f>
        <v>196.9661439520535</v>
      </c>
    </row>
    <row r="458" spans="1:3" x14ac:dyDescent="0.2">
      <c r="A458" s="1">
        <v>0</v>
      </c>
      <c r="B458">
        <f>loans_pred_opti_data!D458*loans_pred_opti_data!B458</f>
        <v>503.1218028188672</v>
      </c>
      <c r="C458">
        <f>(loans_pred_opti_data!B458-ret_PESS!$G$35*loans_pred_opti_data!C458)*loans_pred_opti_data!D458</f>
        <v>416.81051273134671</v>
      </c>
    </row>
    <row r="459" spans="1:3" x14ac:dyDescent="0.2">
      <c r="A459" s="1">
        <v>0</v>
      </c>
      <c r="B459">
        <f>loans_pred_opti_data!D459*loans_pred_opti_data!B459</f>
        <v>214.54198122396716</v>
      </c>
      <c r="C459">
        <f>(loans_pred_opti_data!B459-ret_PESS!$G$35*loans_pred_opti_data!C459)*loans_pred_opti_data!D459</f>
        <v>150.14973518028174</v>
      </c>
    </row>
    <row r="460" spans="1:3" x14ac:dyDescent="0.2">
      <c r="A460" s="1">
        <v>0</v>
      </c>
      <c r="B460">
        <f>loans_pred_opti_data!D460*loans_pred_opti_data!B460</f>
        <v>159.58240154819342</v>
      </c>
      <c r="C460">
        <f>(loans_pred_opti_data!B460-ret_PESS!$G$35*loans_pred_opti_data!C460)*loans_pred_opti_data!D460</f>
        <v>102.52598100315572</v>
      </c>
    </row>
    <row r="461" spans="1:3" x14ac:dyDescent="0.2">
      <c r="A461" s="1">
        <v>0</v>
      </c>
      <c r="B461">
        <f>loans_pred_opti_data!D461*loans_pred_opti_data!B461</f>
        <v>150.098841021006</v>
      </c>
      <c r="C461">
        <f>(loans_pred_opti_data!B461-ret_PESS!$G$35*loans_pred_opti_data!C461)*loans_pred_opti_data!D461</f>
        <v>105.11429763732208</v>
      </c>
    </row>
    <row r="462" spans="1:3" x14ac:dyDescent="0.2">
      <c r="A462" s="1">
        <v>0</v>
      </c>
      <c r="B462">
        <f>loans_pred_opti_data!D462*loans_pred_opti_data!B462</f>
        <v>351.19214105967842</v>
      </c>
      <c r="C462">
        <f>(loans_pred_opti_data!B462-ret_PESS!$G$35*loans_pred_opti_data!C462)*loans_pred_opti_data!D462</f>
        <v>253.38113441104238</v>
      </c>
    </row>
    <row r="463" spans="1:3" x14ac:dyDescent="0.2">
      <c r="A463" s="1">
        <v>0</v>
      </c>
      <c r="B463">
        <f>loans_pred_opti_data!D463*loans_pred_opti_data!B463</f>
        <v>56.1879040812154</v>
      </c>
      <c r="C463">
        <f>(loans_pred_opti_data!B463-ret_PESS!$G$35*loans_pred_opti_data!C463)*loans_pred_opti_data!D463</f>
        <v>39.886069639776061</v>
      </c>
    </row>
    <row r="464" spans="1:3" x14ac:dyDescent="0.2">
      <c r="A464" s="1">
        <v>0</v>
      </c>
      <c r="B464">
        <f>loans_pred_opti_data!D464*loans_pred_opti_data!B464</f>
        <v>654.81166108038099</v>
      </c>
      <c r="C464">
        <f>(loans_pred_opti_data!B464-ret_PESS!$G$35*loans_pred_opti_data!C464)*loans_pred_opti_data!D464</f>
        <v>542.60698396660439</v>
      </c>
    </row>
    <row r="465" spans="1:3" x14ac:dyDescent="0.2">
      <c r="A465" s="1">
        <v>1</v>
      </c>
      <c r="B465">
        <f>loans_pred_opti_data!D465*loans_pred_opti_data!B465</f>
        <v>272.2199588612383</v>
      </c>
      <c r="C465">
        <f>(loans_pred_opti_data!B465-ret_PESS!$G$35*loans_pred_opti_data!C465)*loans_pred_opti_data!D465</f>
        <v>182.55986943332192</v>
      </c>
    </row>
    <row r="466" spans="1:3" x14ac:dyDescent="0.2">
      <c r="A466" s="1">
        <v>1</v>
      </c>
      <c r="B466">
        <f>loans_pred_opti_data!D466*loans_pred_opti_data!B466</f>
        <v>319.47865083891986</v>
      </c>
      <c r="C466">
        <f>(loans_pred_opti_data!B466-ret_PESS!$G$35*loans_pred_opti_data!C466)*loans_pred_opti_data!D466</f>
        <v>225.74310280064364</v>
      </c>
    </row>
    <row r="467" spans="1:3" x14ac:dyDescent="0.2">
      <c r="A467" s="1">
        <v>0</v>
      </c>
      <c r="B467">
        <f>loans_pred_opti_data!D467*loans_pred_opti_data!B467</f>
        <v>730.35809444383085</v>
      </c>
      <c r="C467">
        <f>(loans_pred_opti_data!B467-ret_PESS!$G$35*loans_pred_opti_data!C467)*loans_pred_opti_data!D467</f>
        <v>593.53010831845904</v>
      </c>
    </row>
    <row r="468" spans="1:3" x14ac:dyDescent="0.2">
      <c r="A468" s="1">
        <v>0</v>
      </c>
      <c r="B468">
        <f>loans_pred_opti_data!D468*loans_pred_opti_data!B468</f>
        <v>258.70478725568404</v>
      </c>
      <c r="C468">
        <f>(loans_pred_opti_data!B468-ret_PESS!$G$35*loans_pred_opti_data!C468)*loans_pred_opti_data!D468</f>
        <v>21.268480973114187</v>
      </c>
    </row>
    <row r="469" spans="1:3" x14ac:dyDescent="0.2">
      <c r="A469" s="1">
        <v>0</v>
      </c>
      <c r="B469">
        <f>loans_pred_opti_data!D469*loans_pred_opti_data!B469</f>
        <v>533.91795545744185</v>
      </c>
      <c r="C469">
        <f>(loans_pred_opti_data!B469-ret_PESS!$G$35*loans_pred_opti_data!C469)*loans_pred_opti_data!D469</f>
        <v>428.95402089551277</v>
      </c>
    </row>
    <row r="470" spans="1:3" x14ac:dyDescent="0.2">
      <c r="A470" s="1">
        <v>0</v>
      </c>
      <c r="B470">
        <f>loans_pred_opti_data!D470*loans_pred_opti_data!B470</f>
        <v>410.40143715568439</v>
      </c>
      <c r="C470">
        <f>(loans_pred_opti_data!B470-ret_PESS!$G$35*loans_pred_opti_data!C470)*loans_pred_opti_data!D470</f>
        <v>312.59043050704832</v>
      </c>
    </row>
    <row r="471" spans="1:3" x14ac:dyDescent="0.2">
      <c r="A471" s="1">
        <v>0</v>
      </c>
      <c r="B471">
        <f>loans_pred_opti_data!D471*loans_pred_opti_data!B471</f>
        <v>9.3470909482500613</v>
      </c>
      <c r="C471">
        <f>(loans_pred_opti_data!B471-ret_PESS!$G$35*loans_pred_opti_data!C471)*loans_pred_opti_data!D471</f>
        <v>-14.732339870581374</v>
      </c>
    </row>
    <row r="472" spans="1:3" x14ac:dyDescent="0.2">
      <c r="A472" s="1">
        <v>0</v>
      </c>
      <c r="B472">
        <f>loans_pred_opti_data!D472*loans_pred_opti_data!B472</f>
        <v>1294.8704785630109</v>
      </c>
      <c r="C472">
        <f>(loans_pred_opti_data!B472-ret_PESS!$G$35*loans_pred_opti_data!C472)*loans_pred_opti_data!D472</f>
        <v>1040.4744361174003</v>
      </c>
    </row>
    <row r="473" spans="1:3" x14ac:dyDescent="0.2">
      <c r="A473" s="1">
        <v>1</v>
      </c>
      <c r="B473">
        <f>loans_pred_opti_data!D473*loans_pred_opti_data!B473</f>
        <v>273.23703351393857</v>
      </c>
      <c r="C473">
        <f>(loans_pred_opti_data!B473-ret_PESS!$G$35*loans_pred_opti_data!C473)*loans_pred_opti_data!D473</f>
        <v>187.65240269638204</v>
      </c>
    </row>
    <row r="474" spans="1:3" x14ac:dyDescent="0.2">
      <c r="A474" s="1">
        <v>0</v>
      </c>
      <c r="B474">
        <f>loans_pred_opti_data!D474*loans_pred_opti_data!B474</f>
        <v>233.5279851699282</v>
      </c>
      <c r="C474">
        <f>(loans_pred_opti_data!B474-ret_PESS!$G$35*loans_pred_opti_data!C474)*loans_pred_opti_data!D474</f>
        <v>160.16973018345118</v>
      </c>
    </row>
    <row r="475" spans="1:3" x14ac:dyDescent="0.2">
      <c r="A475" s="1">
        <v>0</v>
      </c>
      <c r="B475">
        <f>loans_pred_opti_data!D475*loans_pred_opti_data!B475</f>
        <v>728.33377589759243</v>
      </c>
      <c r="C475">
        <f>(loans_pred_opti_data!B475-ret_PESS!$G$35*loans_pred_opti_data!C475)*loans_pred_opti_data!D475</f>
        <v>593.47238513584171</v>
      </c>
    </row>
    <row r="476" spans="1:3" x14ac:dyDescent="0.2">
      <c r="A476" s="1">
        <v>0</v>
      </c>
      <c r="B476">
        <f>loans_pred_opti_data!D476*loans_pred_opti_data!B476</f>
        <v>158.512453341894</v>
      </c>
      <c r="C476">
        <f>(loans_pred_opti_data!B476-ret_PESS!$G$35*loans_pred_opti_data!C476)*loans_pred_opti_data!D476</f>
        <v>113.52790995821009</v>
      </c>
    </row>
    <row r="477" spans="1:3" x14ac:dyDescent="0.2">
      <c r="A477" s="1">
        <v>0</v>
      </c>
      <c r="B477">
        <f>loans_pred_opti_data!D477*loans_pred_opti_data!B477</f>
        <v>528.82316952262079</v>
      </c>
      <c r="C477">
        <f>(loans_pred_opti_data!B477-ret_PESS!$G$35*loans_pred_opti_data!C477)*loans_pred_opti_data!D477</f>
        <v>398.40849399110601</v>
      </c>
    </row>
    <row r="478" spans="1:3" x14ac:dyDescent="0.2">
      <c r="A478" s="1">
        <v>0</v>
      </c>
      <c r="B478">
        <f>loans_pred_opti_data!D478*loans_pred_opti_data!B478</f>
        <v>455.1402749390071</v>
      </c>
      <c r="C478">
        <f>(loans_pred_opti_data!B478-ret_PESS!$G$35*loans_pred_opti_data!C478)*loans_pred_opti_data!D478</f>
        <v>353.1753099359903</v>
      </c>
    </row>
    <row r="479" spans="1:3" x14ac:dyDescent="0.2">
      <c r="A479" s="1">
        <v>0</v>
      </c>
      <c r="B479">
        <f>loans_pred_opti_data!D479*loans_pred_opti_data!B479</f>
        <v>534.41343180677404</v>
      </c>
      <c r="C479">
        <f>(loans_pred_opti_data!B479-ret_PESS!$G$35*loans_pred_opti_data!C479)*loans_pred_opti_data!D479</f>
        <v>412.14967349597896</v>
      </c>
    </row>
    <row r="480" spans="1:3" x14ac:dyDescent="0.2">
      <c r="A480" s="1">
        <v>0</v>
      </c>
      <c r="B480">
        <f>loans_pred_opti_data!D480*loans_pred_opti_data!B480</f>
        <v>-81.491742719002559</v>
      </c>
      <c r="C480">
        <f>(loans_pred_opti_data!B480-ret_PESS!$G$35*loans_pred_opti_data!C480)*loans_pred_opti_data!D480</f>
        <v>-265.71687679003219</v>
      </c>
    </row>
    <row r="481" spans="1:3" x14ac:dyDescent="0.2">
      <c r="A481" s="1">
        <v>0</v>
      </c>
      <c r="B481">
        <f>loans_pred_opti_data!D481*loans_pred_opti_data!B481</f>
        <v>267.35326834804079</v>
      </c>
      <c r="C481">
        <f>(loans_pred_opti_data!B481-ret_PESS!$G$35*loans_pred_opti_data!C481)*loans_pred_opti_data!D481</f>
        <v>177.38418158067299</v>
      </c>
    </row>
    <row r="482" spans="1:3" x14ac:dyDescent="0.2">
      <c r="A482" s="1">
        <v>0</v>
      </c>
      <c r="B482">
        <f>loans_pred_opti_data!D482*loans_pred_opti_data!B482</f>
        <v>263.4903575274717</v>
      </c>
      <c r="C482">
        <f>(loans_pred_opti_data!B482-ret_PESS!$G$35*loans_pred_opti_data!C482)*loans_pred_opti_data!D482</f>
        <v>9.0943150818611862</v>
      </c>
    </row>
    <row r="483" spans="1:3" x14ac:dyDescent="0.2">
      <c r="A483" s="1">
        <v>0</v>
      </c>
      <c r="B483">
        <f>loans_pred_opti_data!D483*loans_pred_opti_data!B483</f>
        <v>210.62984449200601</v>
      </c>
      <c r="C483">
        <f>(loans_pred_opti_data!B483-ret_PESS!$G$35*loans_pred_opti_data!C483)*loans_pred_opti_data!D483</f>
        <v>135.6556055191995</v>
      </c>
    </row>
    <row r="484" spans="1:3" x14ac:dyDescent="0.2">
      <c r="A484" s="1">
        <v>0</v>
      </c>
      <c r="B484">
        <f>loans_pred_opti_data!D484*loans_pred_opti_data!B484</f>
        <v>309.6841943938864</v>
      </c>
      <c r="C484">
        <f>(loans_pred_opti_data!B484-ret_PESS!$G$35*loans_pred_opti_data!C484)*loans_pred_opti_data!D484</f>
        <v>189.72541203739598</v>
      </c>
    </row>
    <row r="485" spans="1:3" x14ac:dyDescent="0.2">
      <c r="A485" s="1">
        <v>0</v>
      </c>
      <c r="B485">
        <f>loans_pred_opti_data!D485*loans_pred_opti_data!B485</f>
        <v>659.52434900369644</v>
      </c>
      <c r="C485">
        <f>(loans_pred_opti_data!B485-ret_PESS!$G$35*loans_pred_opti_data!C485)*loans_pred_opti_data!D485</f>
        <v>546.2407807638258</v>
      </c>
    </row>
    <row r="486" spans="1:3" x14ac:dyDescent="0.2">
      <c r="A486" s="1">
        <v>0</v>
      </c>
      <c r="B486">
        <f>loans_pred_opti_data!D486*loans_pred_opti_data!B486</f>
        <v>226.62632738119439</v>
      </c>
      <c r="C486">
        <f>(loans_pred_opti_data!B486-ret_PESS!$G$35*loans_pred_opti_data!C486)*loans_pred_opti_data!D486</f>
        <v>181.64178399751052</v>
      </c>
    </row>
    <row r="487" spans="1:3" x14ac:dyDescent="0.2">
      <c r="A487" s="1">
        <v>0</v>
      </c>
      <c r="B487">
        <f>loans_pred_opti_data!D487*loans_pred_opti_data!B487</f>
        <v>319.73992824441314</v>
      </c>
      <c r="C487">
        <f>(loans_pred_opti_data!B487-ret_PESS!$G$35*loans_pred_opti_data!C487)*loans_pred_opti_data!D487</f>
        <v>247.76465883051893</v>
      </c>
    </row>
    <row r="488" spans="1:3" x14ac:dyDescent="0.2">
      <c r="A488" s="1">
        <v>0</v>
      </c>
      <c r="B488">
        <f>loans_pred_opti_data!D488*loans_pred_opti_data!B488</f>
        <v>671.85418203937729</v>
      </c>
      <c r="C488">
        <f>(loans_pred_opti_data!B488-ret_PESS!$G$35*loans_pred_opti_data!C488)*loans_pred_opti_data!D488</f>
        <v>568.28063393435275</v>
      </c>
    </row>
    <row r="489" spans="1:3" x14ac:dyDescent="0.2">
      <c r="A489" s="1">
        <v>0</v>
      </c>
      <c r="B489">
        <f>loans_pred_opti_data!D489*loans_pred_opti_data!B489</f>
        <v>254.65485913168021</v>
      </c>
      <c r="C489">
        <f>(loans_pred_opti_data!B489-ret_PESS!$G$35*loans_pred_opti_data!C489)*loans_pred_opti_data!D489</f>
        <v>209.67031574799631</v>
      </c>
    </row>
    <row r="490" spans="1:3" x14ac:dyDescent="0.2">
      <c r="A490" s="1">
        <v>0</v>
      </c>
      <c r="B490">
        <f>loans_pred_opti_data!D490*loans_pred_opti_data!B490</f>
        <v>224.74143740612831</v>
      </c>
      <c r="C490">
        <f>(loans_pred_opti_data!B490-ret_PESS!$G$35*loans_pred_opti_data!C490)*loans_pred_opti_data!D490</f>
        <v>163.2020123896948</v>
      </c>
    </row>
    <row r="491" spans="1:3" x14ac:dyDescent="0.2">
      <c r="A491" s="1">
        <v>0</v>
      </c>
      <c r="B491">
        <f>loans_pred_opti_data!D491*loans_pred_opti_data!B491</f>
        <v>323.02600805302922</v>
      </c>
      <c r="C491">
        <f>(loans_pred_opti_data!B491-ret_PESS!$G$35*loans_pred_opti_data!C491)*loans_pred_opti_data!D491</f>
        <v>225.21500140439312</v>
      </c>
    </row>
    <row r="492" spans="1:3" x14ac:dyDescent="0.2">
      <c r="A492" s="1">
        <v>0</v>
      </c>
      <c r="B492">
        <f>loans_pred_opti_data!D492*loans_pred_opti_data!B492</f>
        <v>301.71225773492802</v>
      </c>
      <c r="C492">
        <f>(loans_pred_opti_data!B492-ret_PESS!$G$35*loans_pred_opti_data!C492)*loans_pred_opti_data!D492</f>
        <v>220.20308552773128</v>
      </c>
    </row>
    <row r="493" spans="1:3" x14ac:dyDescent="0.2">
      <c r="A493" s="1">
        <v>0</v>
      </c>
      <c r="B493">
        <f>loans_pred_opti_data!D493*loans_pred_opti_data!B493</f>
        <v>851.24566704877509</v>
      </c>
      <c r="C493">
        <f>(loans_pred_opti_data!B493-ret_PESS!$G$35*loans_pred_opti_data!C493)*loans_pred_opti_data!D493</f>
        <v>690.12817349988848</v>
      </c>
    </row>
    <row r="494" spans="1:3" x14ac:dyDescent="0.2">
      <c r="A494" s="1">
        <v>0</v>
      </c>
      <c r="B494">
        <f>loans_pred_opti_data!D494*loans_pred_opti_data!B494</f>
        <v>260.35269062283788</v>
      </c>
      <c r="C494">
        <f>(loans_pred_opti_data!B494-ret_PESS!$G$35*loans_pred_opti_data!C494)*loans_pred_opti_data!D494</f>
        <v>112.27856865154504</v>
      </c>
    </row>
    <row r="495" spans="1:3" x14ac:dyDescent="0.2">
      <c r="A495" s="1">
        <v>0</v>
      </c>
      <c r="B495">
        <f>loans_pred_opti_data!D495*loans_pred_opti_data!B495</f>
        <v>312.92042099516516</v>
      </c>
      <c r="C495">
        <f>(loans_pred_opti_data!B495-ret_PESS!$G$35*loans_pred_opti_data!C495)*loans_pred_opti_data!D495</f>
        <v>198.8075799050898</v>
      </c>
    </row>
    <row r="496" spans="1:3" x14ac:dyDescent="0.2">
      <c r="A496" s="1">
        <v>0</v>
      </c>
      <c r="B496">
        <f>loans_pred_opti_data!D496*loans_pred_opti_data!B496</f>
        <v>511.61274424177998</v>
      </c>
      <c r="C496">
        <f>(loans_pred_opti_data!B496-ret_PESS!$G$35*loans_pred_opti_data!C496)*loans_pred_opti_data!D496</f>
        <v>342.01538261137296</v>
      </c>
    </row>
    <row r="497" spans="1:3" x14ac:dyDescent="0.2">
      <c r="A497" s="1">
        <v>0</v>
      </c>
      <c r="B497">
        <f>loans_pred_opti_data!D497*loans_pred_opti_data!B497</f>
        <v>284.431003382401</v>
      </c>
      <c r="C497">
        <f>(loans_pred_opti_data!B497-ret_PESS!$G$35*loans_pred_opti_data!C497)*loans_pred_opti_data!D497</f>
        <v>202.92183117520429</v>
      </c>
    </row>
    <row r="498" spans="1:3" x14ac:dyDescent="0.2">
      <c r="A498" s="1">
        <v>0</v>
      </c>
      <c r="B498">
        <f>loans_pred_opti_data!D498*loans_pred_opti_data!B498</f>
        <v>1015.607505076843</v>
      </c>
      <c r="C498">
        <f>(loans_pred_opti_data!B498-ret_PESS!$G$35*loans_pred_opti_data!C498)*loans_pred_opti_data!D498</f>
        <v>718.81212222363069</v>
      </c>
    </row>
    <row r="499" spans="1:3" x14ac:dyDescent="0.2">
      <c r="A499" s="1">
        <v>0</v>
      </c>
      <c r="B499">
        <f>loans_pred_opti_data!D499*loans_pred_opti_data!B499</f>
        <v>-139.67629579590331</v>
      </c>
      <c r="C499">
        <f>(loans_pred_opti_data!B499-ret_PESS!$G$35*loans_pred_opti_data!C499)*loans_pred_opti_data!D499</f>
        <v>-394.07233824151388</v>
      </c>
    </row>
    <row r="500" spans="1:3" x14ac:dyDescent="0.2">
      <c r="A500" s="1">
        <v>0</v>
      </c>
      <c r="B500">
        <f>loans_pred_opti_data!D500*loans_pred_opti_data!B500</f>
        <v>208.02339024494478</v>
      </c>
      <c r="C500">
        <f>(loans_pred_opti_data!B500-ret_PESS!$G$35*loans_pred_opti_data!C500)*loans_pred_opti_data!D500</f>
        <v>142.60836674117112</v>
      </c>
    </row>
    <row r="501" spans="1:3" x14ac:dyDescent="0.2">
      <c r="A501" s="1">
        <v>0</v>
      </c>
      <c r="B501">
        <f>loans_pred_opti_data!D501*loans_pred_opti_data!B501</f>
        <v>467.6386006648458</v>
      </c>
      <c r="C501">
        <f>(loans_pred_opti_data!B501-ret_PESS!$G$35*loans_pred_opti_data!C501)*loans_pred_opti_data!D501</f>
        <v>370.53839931638527</v>
      </c>
    </row>
    <row r="502" spans="1:3" x14ac:dyDescent="0.2">
      <c r="A502" s="1">
        <v>0</v>
      </c>
      <c r="B502">
        <f>loans_pred_opti_data!D502*loans_pred_opti_data!B502</f>
        <v>575.4917530943701</v>
      </c>
      <c r="C502">
        <f>(loans_pred_opti_data!B502-ret_PESS!$G$35*loans_pred_opti_data!C502)*loans_pred_opti_data!D502</f>
        <v>459.91048516397916</v>
      </c>
    </row>
    <row r="503" spans="1:3" x14ac:dyDescent="0.2">
      <c r="A503" s="1">
        <v>0</v>
      </c>
      <c r="B503">
        <f>loans_pred_opti_data!D503*loans_pred_opti_data!B503</f>
        <v>231.28195070834619</v>
      </c>
      <c r="C503">
        <f>(loans_pred_opti_data!B503-ret_PESS!$G$35*loans_pred_opti_data!C503)*loans_pred_opti_data!D503</f>
        <v>109.15107759523315</v>
      </c>
    </row>
    <row r="504" spans="1:3" x14ac:dyDescent="0.2">
      <c r="A504" s="1">
        <v>0</v>
      </c>
      <c r="B504">
        <f>loans_pred_opti_data!D504*loans_pred_opti_data!B504</f>
        <v>320.7347326856497</v>
      </c>
      <c r="C504">
        <f>(loans_pred_opti_data!B504-ret_PESS!$G$35*loans_pred_opti_data!C504)*loans_pred_opti_data!D504</f>
        <v>238.26306981556257</v>
      </c>
    </row>
    <row r="505" spans="1:3" x14ac:dyDescent="0.2">
      <c r="A505" s="1">
        <v>0</v>
      </c>
      <c r="B505">
        <f>loans_pred_opti_data!D505*loans_pred_opti_data!B505</f>
        <v>88.352561195027249</v>
      </c>
      <c r="C505">
        <f>(loans_pred_opti_data!B505-ret_PESS!$G$35*loans_pred_opti_data!C505)*loans_pred_opti_data!D505</f>
        <v>43.522516481069061</v>
      </c>
    </row>
    <row r="506" spans="1:3" x14ac:dyDescent="0.2">
      <c r="A506" s="1">
        <v>0</v>
      </c>
      <c r="B506">
        <f>loans_pred_opti_data!D506*loans_pred_opti_data!B506</f>
        <v>543.73956373165197</v>
      </c>
      <c r="C506">
        <f>(loans_pred_opti_data!B506-ret_PESS!$G$35*loans_pred_opti_data!C506)*loans_pred_opti_data!D506</f>
        <v>415.90848628301694</v>
      </c>
    </row>
    <row r="507" spans="1:3" x14ac:dyDescent="0.2">
      <c r="A507" s="1">
        <v>0</v>
      </c>
      <c r="B507">
        <f>loans_pred_opti_data!D507*loans_pred_opti_data!B507</f>
        <v>188.72162501328481</v>
      </c>
      <c r="C507">
        <f>(loans_pred_opti_data!B507-ret_PESS!$G$35*loans_pred_opti_data!C507)*loans_pred_opti_data!D507</f>
        <v>92.744574739310693</v>
      </c>
    </row>
    <row r="508" spans="1:3" x14ac:dyDescent="0.2">
      <c r="A508" s="1">
        <v>0</v>
      </c>
      <c r="B508">
        <f>loans_pred_opti_data!D508*loans_pred_opti_data!B508</f>
        <v>170.23262895183601</v>
      </c>
      <c r="C508">
        <f>(loans_pred_opti_data!B508-ret_PESS!$G$35*loans_pred_opti_data!C508)*loans_pred_opti_data!D508</f>
        <v>125.24808556815211</v>
      </c>
    </row>
    <row r="509" spans="1:3" x14ac:dyDescent="0.2">
      <c r="A509" s="1">
        <v>1</v>
      </c>
      <c r="B509">
        <f>loans_pred_opti_data!D509*loans_pred_opti_data!B509</f>
        <v>304.18015644021801</v>
      </c>
      <c r="C509">
        <f>(loans_pred_opti_data!B509-ret_PESS!$G$35*loans_pred_opti_data!C509)*loans_pred_opti_data!D509</f>
        <v>222.67098423302127</v>
      </c>
    </row>
    <row r="510" spans="1:3" x14ac:dyDescent="0.2">
      <c r="A510" s="1">
        <v>0</v>
      </c>
      <c r="B510">
        <f>loans_pred_opti_data!D510*loans_pred_opti_data!B510</f>
        <v>-39.824629598067837</v>
      </c>
      <c r="C510">
        <f>(loans_pred_opti_data!B510-ret_PESS!$G$35*loans_pred_opti_data!C510)*loans_pred_opti_data!D510</f>
        <v>-243.34146355455624</v>
      </c>
    </row>
    <row r="511" spans="1:3" x14ac:dyDescent="0.2">
      <c r="A511" s="1">
        <v>0</v>
      </c>
      <c r="B511">
        <f>loans_pred_opti_data!D511*loans_pred_opti_data!B511</f>
        <v>538.87205114569019</v>
      </c>
      <c r="C511">
        <f>(loans_pred_opti_data!B511-ret_PESS!$G$35*loans_pred_opti_data!C511)*loans_pred_opti_data!D511</f>
        <v>380.08652131922162</v>
      </c>
    </row>
    <row r="512" spans="1:3" x14ac:dyDescent="0.2">
      <c r="A512" s="1">
        <v>0</v>
      </c>
      <c r="B512">
        <f>loans_pred_opti_data!D512*loans_pred_opti_data!B512</f>
        <v>65.742895686342607</v>
      </c>
      <c r="C512">
        <f>(loans_pred_opti_data!B512-ret_PESS!$G$35*loans_pred_opti_data!C512)*loans_pred_opti_data!D512</f>
        <v>50.748047891781304</v>
      </c>
    </row>
    <row r="513" spans="1:3" x14ac:dyDescent="0.2">
      <c r="A513" s="1">
        <v>0</v>
      </c>
      <c r="B513">
        <f>loans_pred_opti_data!D513*loans_pred_opti_data!B513</f>
        <v>184.90404680409645</v>
      </c>
      <c r="C513">
        <f>(loans_pred_opti_data!B513-ret_PESS!$G$35*loans_pred_opti_data!C513)*loans_pred_opti_data!D513</f>
        <v>141.75370677675053</v>
      </c>
    </row>
    <row r="514" spans="1:3" x14ac:dyDescent="0.2">
      <c r="A514" s="1">
        <v>0</v>
      </c>
      <c r="B514">
        <f>loans_pred_opti_data!D514*loans_pred_opti_data!B514</f>
        <v>-92.606927390308812</v>
      </c>
      <c r="C514">
        <f>(loans_pred_opti_data!B514-ret_PESS!$G$35*loans_pred_opti_data!C514)*loans_pred_opti_data!D514</f>
        <v>-242.55540533592185</v>
      </c>
    </row>
    <row r="515" spans="1:3" x14ac:dyDescent="0.2">
      <c r="A515" s="1">
        <v>0</v>
      </c>
      <c r="B515">
        <f>loans_pred_opti_data!D515*loans_pred_opti_data!B515</f>
        <v>1005.5253163754231</v>
      </c>
      <c r="C515">
        <f>(loans_pred_opti_data!B515-ret_PESS!$G$35*loans_pred_opti_data!C515)*loans_pred_opti_data!D515</f>
        <v>854.48055872226223</v>
      </c>
    </row>
    <row r="516" spans="1:3" x14ac:dyDescent="0.2">
      <c r="A516" s="1">
        <v>0</v>
      </c>
      <c r="B516">
        <f>loans_pred_opti_data!D516*loans_pred_opti_data!B516</f>
        <v>120.32191681216652</v>
      </c>
      <c r="C516">
        <f>(loans_pred_opti_data!B516-ret_PESS!$G$35*loans_pred_opti_data!C516)*loans_pred_opti_data!D516</f>
        <v>88.125793790323812</v>
      </c>
    </row>
    <row r="517" spans="1:3" x14ac:dyDescent="0.2">
      <c r="A517" s="1">
        <v>0</v>
      </c>
      <c r="B517">
        <f>loans_pred_opti_data!D517*loans_pred_opti_data!B517</f>
        <v>187.98622562592399</v>
      </c>
      <c r="C517">
        <f>(loans_pred_opti_data!B517-ret_PESS!$G$35*loans_pred_opti_data!C517)*loans_pred_opti_data!D517</f>
        <v>145.60642738478066</v>
      </c>
    </row>
    <row r="518" spans="1:3" x14ac:dyDescent="0.2">
      <c r="A518" s="1">
        <v>0</v>
      </c>
      <c r="B518">
        <f>loans_pred_opti_data!D518*loans_pred_opti_data!B518</f>
        <v>124.84582362629399</v>
      </c>
      <c r="C518">
        <f>(loans_pred_opti_data!B518-ret_PESS!$G$35*loans_pred_opti_data!C518)*loans_pred_opti_data!D518</f>
        <v>49.871584653487496</v>
      </c>
    </row>
    <row r="519" spans="1:3" x14ac:dyDescent="0.2">
      <c r="A519" s="1">
        <v>0</v>
      </c>
      <c r="B519">
        <f>loans_pred_opti_data!D519*loans_pred_opti_data!B519</f>
        <v>345.72559870309306</v>
      </c>
      <c r="C519">
        <f>(loans_pred_opti_data!B519-ret_PESS!$G$35*loans_pred_opti_data!C519)*loans_pred_opti_data!D519</f>
        <v>283.49698035566365</v>
      </c>
    </row>
    <row r="520" spans="1:3" x14ac:dyDescent="0.2">
      <c r="A520" s="1">
        <v>0</v>
      </c>
      <c r="B520">
        <f>loans_pred_opti_data!D520*loans_pred_opti_data!B520</f>
        <v>440.16705714945152</v>
      </c>
      <c r="C520">
        <f>(loans_pred_opti_data!B520-ret_PESS!$G$35*loans_pred_opti_data!C520)*loans_pred_opti_data!D520</f>
        <v>327.70569869024177</v>
      </c>
    </row>
    <row r="521" spans="1:3" x14ac:dyDescent="0.2">
      <c r="A521" s="1">
        <v>0</v>
      </c>
      <c r="B521">
        <f>loans_pred_opti_data!D521*loans_pred_opti_data!B521</f>
        <v>316.57420782100081</v>
      </c>
      <c r="C521">
        <f>(loans_pred_opti_data!B521-ret_PESS!$G$35*loans_pred_opti_data!C521)*loans_pred_opti_data!D521</f>
        <v>218.76320117236472</v>
      </c>
    </row>
    <row r="522" spans="1:3" x14ac:dyDescent="0.2">
      <c r="A522" s="1">
        <v>0</v>
      </c>
      <c r="B522">
        <f>loans_pred_opti_data!D522*loans_pred_opti_data!B522</f>
        <v>233.6095702814504</v>
      </c>
      <c r="C522">
        <f>(loans_pred_opti_data!B522-ret_PESS!$G$35*loans_pred_opti_data!C522)*loans_pred_opti_data!D522</f>
        <v>168.40223251569302</v>
      </c>
    </row>
    <row r="523" spans="1:3" x14ac:dyDescent="0.2">
      <c r="A523" s="1">
        <v>0</v>
      </c>
      <c r="B523">
        <f>loans_pred_opti_data!D523*loans_pred_opti_data!B523</f>
        <v>54.165541164535199</v>
      </c>
      <c r="C523">
        <f>(loans_pred_opti_data!B523-ret_PESS!$G$35*loans_pred_opti_data!C523)*loans_pred_opti_data!D523</f>
        <v>39.170693369973904</v>
      </c>
    </row>
    <row r="524" spans="1:3" x14ac:dyDescent="0.2">
      <c r="A524" s="1">
        <v>0</v>
      </c>
      <c r="B524">
        <f>loans_pred_opti_data!D524*loans_pred_opti_data!B524</f>
        <v>104.37294659326349</v>
      </c>
      <c r="C524">
        <f>(loans_pred_opti_data!B524-ret_PESS!$G$35*loans_pred_opti_data!C524)*loans_pred_opti_data!D524</f>
        <v>81.880674901421543</v>
      </c>
    </row>
    <row r="525" spans="1:3" x14ac:dyDescent="0.2">
      <c r="A525" s="1">
        <v>1</v>
      </c>
      <c r="B525">
        <f>loans_pred_opti_data!D525*loans_pred_opti_data!B525</f>
        <v>92.847629601306679</v>
      </c>
      <c r="C525">
        <f>(loans_pred_opti_data!B525-ret_PESS!$G$35*loans_pred_opti_data!C525)*loans_pred_opti_data!D525</f>
        <v>-172.57224135028028</v>
      </c>
    </row>
    <row r="526" spans="1:3" x14ac:dyDescent="0.2">
      <c r="A526" s="1">
        <v>0</v>
      </c>
      <c r="B526">
        <f>loans_pred_opti_data!D526*loans_pred_opti_data!B526</f>
        <v>-1.1664369000656902</v>
      </c>
      <c r="C526">
        <f>(loans_pred_opti_data!B526-ret_PESS!$G$35*loans_pred_opti_data!C526)*loans_pred_opti_data!D526</f>
        <v>-168.43183480805462</v>
      </c>
    </row>
    <row r="527" spans="1:3" x14ac:dyDescent="0.2">
      <c r="A527" s="1">
        <v>0</v>
      </c>
      <c r="B527">
        <f>loans_pred_opti_data!D527*loans_pred_opti_data!B527</f>
        <v>125.02064770579548</v>
      </c>
      <c r="C527">
        <f>(loans_pred_opti_data!B527-ret_PESS!$G$35*loans_pred_opti_data!C527)*loans_pred_opti_data!D527</f>
        <v>74.787907594015124</v>
      </c>
    </row>
    <row r="528" spans="1:3" x14ac:dyDescent="0.2">
      <c r="A528" s="1">
        <v>0</v>
      </c>
      <c r="B528">
        <f>loans_pred_opti_data!D528*loans_pred_opti_data!B528</f>
        <v>153.38240536507899</v>
      </c>
      <c r="C528">
        <f>(loans_pred_opti_data!B528-ret_PESS!$G$35*loans_pred_opti_data!C528)*loans_pred_opti_data!D528</f>
        <v>115.89528587867576</v>
      </c>
    </row>
    <row r="529" spans="1:3" x14ac:dyDescent="0.2">
      <c r="A529" s="1">
        <v>0</v>
      </c>
      <c r="B529">
        <f>loans_pred_opti_data!D529*loans_pred_opti_data!B529</f>
        <v>633.40312297439573</v>
      </c>
      <c r="C529">
        <f>(loans_pred_opti_data!B529-ret_PESS!$G$35*loans_pred_opti_data!C529)*loans_pred_opti_data!D529</f>
        <v>492.79980091698144</v>
      </c>
    </row>
    <row r="530" spans="1:3" x14ac:dyDescent="0.2">
      <c r="A530" s="1">
        <v>0</v>
      </c>
      <c r="B530">
        <f>loans_pred_opti_data!D530*loans_pred_opti_data!B530</f>
        <v>219.246011715327</v>
      </c>
      <c r="C530">
        <f>(loans_pred_opti_data!B530-ret_PESS!$G$35*loans_pred_opti_data!C530)*loans_pred_opti_data!D530</f>
        <v>142.19183309506639</v>
      </c>
    </row>
    <row r="531" spans="1:3" x14ac:dyDescent="0.2">
      <c r="A531" s="1">
        <v>0</v>
      </c>
      <c r="B531">
        <f>loans_pred_opti_data!D531*loans_pred_opti_data!B531</f>
        <v>-81.173404215467997</v>
      </c>
      <c r="C531">
        <f>(loans_pred_opti_data!B531-ret_PESS!$G$35*loans_pred_opti_data!C531)*loans_pred_opti_data!D531</f>
        <v>-199.36170391590323</v>
      </c>
    </row>
    <row r="532" spans="1:3" x14ac:dyDescent="0.2">
      <c r="A532" s="1">
        <v>0</v>
      </c>
      <c r="B532">
        <f>loans_pred_opti_data!D532*loans_pred_opti_data!B532</f>
        <v>66.456247484262107</v>
      </c>
      <c r="C532">
        <f>(loans_pred_opti_data!B532-ret_PESS!$G$35*loans_pred_opti_data!C532)*loans_pred_opti_data!D532</f>
        <v>27.657078815834733</v>
      </c>
    </row>
    <row r="533" spans="1:3" x14ac:dyDescent="0.2">
      <c r="A533" s="1">
        <v>0</v>
      </c>
      <c r="B533">
        <f>loans_pred_opti_data!D533*loans_pred_opti_data!B533</f>
        <v>1113.600009383701</v>
      </c>
      <c r="C533">
        <f>(loans_pred_opti_data!B533-ret_PESS!$G$35*loans_pred_opti_data!C533)*loans_pred_opti_data!D533</f>
        <v>816.8046265304888</v>
      </c>
    </row>
    <row r="534" spans="1:3" x14ac:dyDescent="0.2">
      <c r="A534" s="1">
        <v>0</v>
      </c>
      <c r="B534">
        <f>loans_pred_opti_data!D534*loans_pred_opti_data!B534</f>
        <v>226.98140161156152</v>
      </c>
      <c r="C534">
        <f>(loans_pred_opti_data!B534-ret_PESS!$G$35*loans_pred_opti_data!C534)*loans_pred_opti_data!D534</f>
        <v>14.984699573552737</v>
      </c>
    </row>
    <row r="535" spans="1:3" x14ac:dyDescent="0.2">
      <c r="A535" s="1">
        <v>0</v>
      </c>
      <c r="B535">
        <f>loans_pred_opti_data!D535*loans_pred_opti_data!B535</f>
        <v>225.42128286381177</v>
      </c>
      <c r="C535">
        <f>(loans_pred_opti_data!B535-ret_PESS!$G$35*loans_pred_opti_data!C535)*loans_pred_opti_data!D535</f>
        <v>5.1567094463206455</v>
      </c>
    </row>
    <row r="536" spans="1:3" x14ac:dyDescent="0.2">
      <c r="A536" s="1">
        <v>0</v>
      </c>
      <c r="B536">
        <f>loans_pred_opti_data!D536*loans_pred_opti_data!B536</f>
        <v>342.92465776543349</v>
      </c>
      <c r="C536">
        <f>(loans_pred_opti_data!B536-ret_PESS!$G$35*loans_pred_opti_data!C536)*loans_pred_opti_data!D536</f>
        <v>227.34338983504261</v>
      </c>
    </row>
    <row r="537" spans="1:3" x14ac:dyDescent="0.2">
      <c r="A537" s="1">
        <v>0</v>
      </c>
      <c r="B537">
        <f>loans_pred_opti_data!D537*loans_pred_opti_data!B537</f>
        <v>-10.906922349455391</v>
      </c>
      <c r="C537">
        <f>(loans_pred_opti_data!B537-ret_PESS!$G$35*loans_pred_opti_data!C537)*loans_pred_opti_data!D537</f>
        <v>-271.66286585620617</v>
      </c>
    </row>
    <row r="538" spans="1:3" x14ac:dyDescent="0.2">
      <c r="A538" s="1">
        <v>1</v>
      </c>
      <c r="B538">
        <f>loans_pred_opti_data!D538*loans_pred_opti_data!B538</f>
        <v>106.5635098500518</v>
      </c>
      <c r="C538">
        <f>(loans_pred_opti_data!B538-ret_PESS!$G$35*loans_pred_opti_data!C538)*loans_pred_opti_data!D538</f>
        <v>-122.39292835099768</v>
      </c>
    </row>
    <row r="539" spans="1:3" x14ac:dyDescent="0.2">
      <c r="A539" s="1">
        <v>0</v>
      </c>
      <c r="B539">
        <f>loans_pred_opti_data!D539*loans_pred_opti_data!B539</f>
        <v>457.85125459609918</v>
      </c>
      <c r="C539">
        <f>(loans_pred_opti_data!B539-ret_PESS!$G$35*loans_pred_opti_data!C539)*loans_pred_opti_data!D539</f>
        <v>356.63603198281044</v>
      </c>
    </row>
    <row r="540" spans="1:3" x14ac:dyDescent="0.2">
      <c r="A540" s="1">
        <v>0</v>
      </c>
      <c r="B540">
        <f>loans_pred_opti_data!D540*loans_pred_opti_data!B540</f>
        <v>-11.837660833245602</v>
      </c>
      <c r="C540">
        <f>(loans_pred_opti_data!B540-ret_PESS!$G$35*loans_pred_opti_data!C540)*loans_pred_opti_data!D540</f>
        <v>-232.10223425073673</v>
      </c>
    </row>
    <row r="541" spans="1:3" x14ac:dyDescent="0.2">
      <c r="A541" s="1">
        <v>0</v>
      </c>
      <c r="B541">
        <f>loans_pred_opti_data!D541*loans_pred_opti_data!B541</f>
        <v>235.90628723521732</v>
      </c>
      <c r="C541">
        <f>(loans_pred_opti_data!B541-ret_PESS!$G$35*loans_pred_opti_data!C541)*loans_pred_opti_data!D541</f>
        <v>145.43110608522898</v>
      </c>
    </row>
    <row r="542" spans="1:3" x14ac:dyDescent="0.2">
      <c r="A542" s="1">
        <v>1</v>
      </c>
      <c r="B542">
        <f>loans_pred_opti_data!D542*loans_pred_opti_data!B542</f>
        <v>394.53147756444798</v>
      </c>
      <c r="C542">
        <f>(loans_pred_opti_data!B542-ret_PESS!$G$35*loans_pred_opti_data!C542)*loans_pred_opti_data!D542</f>
        <v>308.22018747692755</v>
      </c>
    </row>
    <row r="543" spans="1:3" x14ac:dyDescent="0.2">
      <c r="A543" s="1">
        <v>0</v>
      </c>
      <c r="B543">
        <f>loans_pred_opti_data!D543*loans_pred_opti_data!B543</f>
        <v>467.30919496395455</v>
      </c>
      <c r="C543">
        <f>(loans_pred_opti_data!B543-ret_PESS!$G$35*loans_pred_opti_data!C543)*loans_pred_opti_data!D543</f>
        <v>359.34629084311325</v>
      </c>
    </row>
    <row r="544" spans="1:3" x14ac:dyDescent="0.2">
      <c r="A544" s="1">
        <v>0</v>
      </c>
      <c r="B544">
        <f>loans_pred_opti_data!D544*loans_pred_opti_data!B544</f>
        <v>160.79746676964055</v>
      </c>
      <c r="C544">
        <f>(loans_pred_opti_data!B544-ret_PESS!$G$35*loans_pred_opti_data!C544)*loans_pred_opti_data!D544</f>
        <v>70.440334959267545</v>
      </c>
    </row>
    <row r="545" spans="1:3" x14ac:dyDescent="0.2">
      <c r="A545" s="1">
        <v>0</v>
      </c>
      <c r="B545">
        <f>loans_pred_opti_data!D545*loans_pred_opti_data!B545</f>
        <v>202.7610692117309</v>
      </c>
      <c r="C545">
        <f>(loans_pred_opti_data!B545-ret_PESS!$G$35*loans_pred_opti_data!C545)*loans_pred_opti_data!D545</f>
        <v>96.799145342375184</v>
      </c>
    </row>
    <row r="546" spans="1:3" x14ac:dyDescent="0.2">
      <c r="A546" s="1">
        <v>0</v>
      </c>
      <c r="B546">
        <f>loans_pred_opti_data!D546*loans_pred_opti_data!B546</f>
        <v>766.60648182048442</v>
      </c>
      <c r="C546">
        <f>(loans_pred_opti_data!B546-ret_PESS!$G$35*loans_pred_opti_data!C546)*loans_pred_opti_data!D546</f>
        <v>618.87110719494035</v>
      </c>
    </row>
    <row r="547" spans="1:3" x14ac:dyDescent="0.2">
      <c r="A547" s="1">
        <v>0</v>
      </c>
      <c r="B547">
        <f>loans_pred_opti_data!D547*loans_pred_opti_data!B547</f>
        <v>217.54288090882159</v>
      </c>
      <c r="C547">
        <f>(loans_pred_opti_data!B547-ret_PESS!$G$35*loans_pred_opti_data!C547)*loans_pred_opti_data!D547</f>
        <v>157.56348973057638</v>
      </c>
    </row>
    <row r="548" spans="1:3" x14ac:dyDescent="0.2">
      <c r="A548" s="1">
        <v>0</v>
      </c>
      <c r="B548">
        <f>loans_pred_opti_data!D548*loans_pred_opti_data!B548</f>
        <v>164.647557694592</v>
      </c>
      <c r="C548">
        <f>(loans_pred_opti_data!B548-ret_PESS!$G$35*loans_pred_opti_data!C548)*loans_pred_opti_data!D548</f>
        <v>99.440219928834637</v>
      </c>
    </row>
    <row r="549" spans="1:3" x14ac:dyDescent="0.2">
      <c r="A549" s="1">
        <v>0</v>
      </c>
      <c r="B549">
        <f>loans_pred_opti_data!D549*loans_pred_opti_data!B549</f>
        <v>-64.652433234545995</v>
      </c>
      <c r="C549">
        <f>(loans_pred_opti_data!B549-ret_PESS!$G$35*loans_pred_opti_data!C549)*loans_pred_opti_data!D549</f>
        <v>-219.19802902025438</v>
      </c>
    </row>
    <row r="550" spans="1:3" x14ac:dyDescent="0.2">
      <c r="A550" s="1">
        <v>0</v>
      </c>
      <c r="B550">
        <f>loans_pred_opti_data!D550*loans_pred_opti_data!B550</f>
        <v>101.51167107737474</v>
      </c>
      <c r="C550">
        <f>(loans_pred_opti_data!B550-ret_PESS!$G$35*loans_pred_opti_data!C550)*loans_pred_opti_data!D550</f>
        <v>78.457092593236752</v>
      </c>
    </row>
    <row r="551" spans="1:3" x14ac:dyDescent="0.2">
      <c r="A551" s="1">
        <v>0</v>
      </c>
      <c r="B551">
        <f>loans_pred_opti_data!D551*loans_pred_opti_data!B551</f>
        <v>-60.921093753463651</v>
      </c>
      <c r="C551">
        <f>(loans_pred_opti_data!B551-ret_PESS!$G$35*loans_pred_opti_data!C551)*loans_pred_opti_data!D551</f>
        <v>-357.71647660667594</v>
      </c>
    </row>
    <row r="552" spans="1:3" x14ac:dyDescent="0.2">
      <c r="A552" s="1">
        <v>0</v>
      </c>
      <c r="B552">
        <f>loans_pred_opti_data!D552*loans_pred_opti_data!B552</f>
        <v>624.99999236375959</v>
      </c>
      <c r="C552">
        <f>(loans_pred_opti_data!B552-ret_PESS!$G$35*loans_pred_opti_data!C552)*loans_pred_opti_data!D552</f>
        <v>549.4776135371792</v>
      </c>
    </row>
    <row r="553" spans="1:3" x14ac:dyDescent="0.2">
      <c r="A553" s="1">
        <v>0</v>
      </c>
      <c r="B553">
        <f>loans_pred_opti_data!D553*loans_pred_opti_data!B553</f>
        <v>366.24310688131897</v>
      </c>
      <c r="C553">
        <f>(loans_pred_opti_data!B553-ret_PESS!$G$35*loans_pred_opti_data!C553)*loans_pred_opti_data!D553</f>
        <v>291.2688679085125</v>
      </c>
    </row>
    <row r="554" spans="1:3" x14ac:dyDescent="0.2">
      <c r="A554" s="1">
        <v>0</v>
      </c>
      <c r="B554">
        <f>loans_pred_opti_data!D554*loans_pred_opti_data!B554</f>
        <v>134.8927692194012</v>
      </c>
      <c r="C554">
        <f>(loans_pred_opti_data!B554-ret_PESS!$G$35*loans_pred_opti_data!C554)*loans_pred_opti_data!D554</f>
        <v>99.467441304750125</v>
      </c>
    </row>
    <row r="555" spans="1:3" x14ac:dyDescent="0.2">
      <c r="A555" s="1">
        <v>0</v>
      </c>
      <c r="B555">
        <f>loans_pred_opti_data!D555*loans_pred_opti_data!B555</f>
        <v>31.586948221022531</v>
      </c>
      <c r="C555">
        <f>(loans_pred_opti_data!B555-ret_PESS!$G$35*loans_pred_opti_data!C555)*loans_pred_opti_data!D555</f>
        <v>-38.13909402368752</v>
      </c>
    </row>
    <row r="556" spans="1:3" x14ac:dyDescent="0.2">
      <c r="A556" s="1">
        <v>0</v>
      </c>
      <c r="B556">
        <f>loans_pred_opti_data!D556*loans_pred_opti_data!B556</f>
        <v>444.08035091662202</v>
      </c>
      <c r="C556">
        <f>(loans_pred_opti_data!B556-ret_PESS!$G$35*loans_pred_opti_data!C556)*loans_pred_opti_data!D556</f>
        <v>321.816592605827</v>
      </c>
    </row>
    <row r="557" spans="1:3" x14ac:dyDescent="0.2">
      <c r="A557" s="1">
        <v>0</v>
      </c>
      <c r="B557">
        <f>loans_pred_opti_data!D557*loans_pred_opti_data!B557</f>
        <v>290.67320910848287</v>
      </c>
      <c r="C557">
        <f>(loans_pred_opti_data!B557-ret_PESS!$G$35*loans_pred_opti_data!C557)*loans_pred_opti_data!D557</f>
        <v>211.01308019987599</v>
      </c>
    </row>
    <row r="558" spans="1:3" x14ac:dyDescent="0.2">
      <c r="A558" s="1">
        <v>0</v>
      </c>
      <c r="B558">
        <f>loans_pred_opti_data!D558*loans_pred_opti_data!B558</f>
        <v>361.38386170845121</v>
      </c>
      <c r="C558">
        <f>(loans_pred_opti_data!B558-ret_PESS!$G$35*loans_pred_opti_data!C558)*loans_pred_opti_data!D558</f>
        <v>271.41477494108341</v>
      </c>
    </row>
    <row r="559" spans="1:3" x14ac:dyDescent="0.2">
      <c r="A559" s="1">
        <v>0</v>
      </c>
      <c r="B559">
        <f>loans_pred_opti_data!D559*loans_pred_opti_data!B559</f>
        <v>254.38897287040081</v>
      </c>
      <c r="C559">
        <f>(loans_pred_opti_data!B559-ret_PESS!$G$35*loans_pred_opti_data!C559)*loans_pred_opti_data!D559</f>
        <v>189.18163510464342</v>
      </c>
    </row>
    <row r="560" spans="1:3" x14ac:dyDescent="0.2">
      <c r="A560" s="1">
        <v>0</v>
      </c>
      <c r="B560">
        <f>loans_pred_opti_data!D560*loans_pred_opti_data!B560</f>
        <v>117.66399401572686</v>
      </c>
      <c r="C560">
        <f>(loans_pred_opti_data!B560-ret_PESS!$G$35*loans_pred_opti_data!C560)*loans_pred_opti_data!D560</f>
        <v>54.086839694113429</v>
      </c>
    </row>
    <row r="561" spans="1:3" x14ac:dyDescent="0.2">
      <c r="A561" s="1">
        <v>0</v>
      </c>
      <c r="B561">
        <f>loans_pred_opti_data!D561*loans_pred_opti_data!B561</f>
        <v>37.966608146771748</v>
      </c>
      <c r="C561">
        <f>(loans_pred_opti_data!B561-ret_PESS!$G$35*loans_pred_opti_data!C561)*loans_pred_opti_data!D561</f>
        <v>17.589315094972573</v>
      </c>
    </row>
    <row r="562" spans="1:3" x14ac:dyDescent="0.2">
      <c r="A562" s="1">
        <v>0</v>
      </c>
      <c r="B562">
        <f>loans_pred_opti_data!D562*loans_pred_opti_data!B562</f>
        <v>-4.4798835175005305</v>
      </c>
      <c r="C562">
        <f>(loans_pred_opti_data!B562-ret_PESS!$G$35*loans_pred_opti_data!C562)*loans_pred_opti_data!D562</f>
        <v>-115.43790073067581</v>
      </c>
    </row>
    <row r="563" spans="1:3" x14ac:dyDescent="0.2">
      <c r="A563" s="1">
        <v>0</v>
      </c>
      <c r="B563">
        <f>loans_pred_opti_data!D563*loans_pred_opti_data!B563</f>
        <v>411.136761900696</v>
      </c>
      <c r="C563">
        <f>(loans_pred_opti_data!B563-ret_PESS!$G$35*loans_pred_opti_data!C563)*loans_pred_opti_data!D563</f>
        <v>313.32575525205993</v>
      </c>
    </row>
    <row r="564" spans="1:3" x14ac:dyDescent="0.2">
      <c r="A564" s="1">
        <v>0</v>
      </c>
      <c r="B564">
        <f>loans_pred_opti_data!D564*loans_pred_opti_data!B564</f>
        <v>246.81941101413597</v>
      </c>
      <c r="C564">
        <f>(loans_pred_opti_data!B564-ret_PESS!$G$35*loans_pred_opti_data!C564)*loans_pred_opti_data!D564</f>
        <v>159.19705089139953</v>
      </c>
    </row>
    <row r="565" spans="1:3" x14ac:dyDescent="0.2">
      <c r="A565" s="1">
        <v>0</v>
      </c>
      <c r="B565">
        <f>loans_pred_opti_data!D565*loans_pred_opti_data!B565</f>
        <v>148.55130572212286</v>
      </c>
      <c r="C565">
        <f>(loans_pred_opti_data!B565-ret_PESS!$G$35*loans_pred_opti_data!C565)*loans_pred_opti_data!D565</f>
        <v>97.200527231588936</v>
      </c>
    </row>
    <row r="566" spans="1:3" x14ac:dyDescent="0.2">
      <c r="A566" s="1">
        <v>0</v>
      </c>
      <c r="B566">
        <f>loans_pred_opti_data!D566*loans_pred_opti_data!B566</f>
        <v>663.54809138579333</v>
      </c>
      <c r="C566">
        <f>(loans_pred_opti_data!B566-ret_PESS!$G$35*loans_pred_opti_data!C566)*loans_pred_opti_data!D566</f>
        <v>528.59446123474163</v>
      </c>
    </row>
    <row r="567" spans="1:3" x14ac:dyDescent="0.2">
      <c r="A567" s="1">
        <v>0</v>
      </c>
      <c r="B567">
        <f>loans_pred_opti_data!D567*loans_pred_opti_data!B567</f>
        <v>256.28145490145067</v>
      </c>
      <c r="C567">
        <f>(loans_pred_opti_data!B567-ret_PESS!$G$35*loans_pred_opti_data!C567)*loans_pred_opti_data!D567</f>
        <v>182.92319991497368</v>
      </c>
    </row>
    <row r="568" spans="1:3" x14ac:dyDescent="0.2">
      <c r="A568" s="1">
        <v>0</v>
      </c>
      <c r="B568">
        <f>loans_pred_opti_data!D568*loans_pred_opti_data!B568</f>
        <v>252.03605087135199</v>
      </c>
      <c r="C568">
        <f>(loans_pred_opti_data!B568-ret_PESS!$G$35*loans_pred_opti_data!C568)*loans_pred_opti_data!D568</f>
        <v>82.438689240944967</v>
      </c>
    </row>
    <row r="569" spans="1:3" x14ac:dyDescent="0.2">
      <c r="A569" s="1">
        <v>0</v>
      </c>
      <c r="B569">
        <f>loans_pred_opti_data!D569*loans_pred_opti_data!B569</f>
        <v>527.37279838061283</v>
      </c>
      <c r="C569">
        <f>(loans_pred_opti_data!B569-ret_PESS!$G$35*loans_pred_opti_data!C569)*loans_pred_opti_data!D569</f>
        <v>413.25995729053739</v>
      </c>
    </row>
    <row r="570" spans="1:3" x14ac:dyDescent="0.2">
      <c r="A570" s="1">
        <v>0</v>
      </c>
      <c r="B570">
        <f>loans_pred_opti_data!D570*loans_pred_opti_data!B570</f>
        <v>113.00885728734251</v>
      </c>
      <c r="C570">
        <f>(loans_pred_opti_data!B570-ret_PESS!$G$35*loans_pred_opti_data!C570)*loans_pred_opti_data!D570</f>
        <v>94.265297544140878</v>
      </c>
    </row>
    <row r="571" spans="1:3" x14ac:dyDescent="0.2">
      <c r="A571" s="1">
        <v>0</v>
      </c>
      <c r="B571">
        <f>loans_pred_opti_data!D571*loans_pred_opti_data!B571</f>
        <v>264.45549311942574</v>
      </c>
      <c r="C571">
        <f>(loans_pred_opti_data!B571-ret_PESS!$G$35*loans_pred_opti_data!C571)*loans_pred_opti_data!D571</f>
        <v>184.57650435637294</v>
      </c>
    </row>
    <row r="572" spans="1:3" x14ac:dyDescent="0.2">
      <c r="A572" s="1">
        <v>0</v>
      </c>
      <c r="B572">
        <f>loans_pred_opti_data!D572*loans_pred_opti_data!B572</f>
        <v>50.040820580365782</v>
      </c>
      <c r="C572">
        <f>(loans_pred_opti_data!B572-ret_PESS!$G$35*loans_pred_opti_data!C572)*loans_pred_opti_data!D572</f>
        <v>-73.29180252990092</v>
      </c>
    </row>
    <row r="573" spans="1:3" x14ac:dyDescent="0.2">
      <c r="A573" s="1">
        <v>0</v>
      </c>
      <c r="B573">
        <f>loans_pred_opti_data!D573*loans_pred_opti_data!B573</f>
        <v>-104.94392222445239</v>
      </c>
      <c r="C573">
        <f>(loans_pred_opti_data!B573-ret_PESS!$G$35*loans_pred_opti_data!C573)*loans_pred_opti_data!D573</f>
        <v>-274.54128385485944</v>
      </c>
    </row>
    <row r="574" spans="1:3" x14ac:dyDescent="0.2">
      <c r="A574" s="1">
        <v>0</v>
      </c>
      <c r="B574">
        <f>loans_pred_opti_data!D574*loans_pred_opti_data!B574</f>
        <v>952.77639340379812</v>
      </c>
      <c r="C574">
        <f>(loans_pred_opti_data!B574-ret_PESS!$G$35*loans_pred_opti_data!C574)*loans_pred_opti_data!D574</f>
        <v>875.09623232502975</v>
      </c>
    </row>
    <row r="575" spans="1:3" x14ac:dyDescent="0.2">
      <c r="A575" s="1">
        <v>0</v>
      </c>
      <c r="B575">
        <f>loans_pred_opti_data!D575*loans_pred_opti_data!B575</f>
        <v>549.72079149714</v>
      </c>
      <c r="C575">
        <f>(loans_pred_opti_data!B575-ret_PESS!$G$35*loans_pred_opti_data!C575)*loans_pred_opti_data!D575</f>
        <v>420.25385636585935</v>
      </c>
    </row>
    <row r="576" spans="1:3" x14ac:dyDescent="0.2">
      <c r="A576" s="1">
        <v>0</v>
      </c>
      <c r="B576">
        <f>loans_pred_opti_data!D576*loans_pred_opti_data!B576</f>
        <v>618.17681023518003</v>
      </c>
      <c r="C576">
        <f>(loans_pred_opti_data!B576-ret_PESS!$G$35*loans_pred_opti_data!C576)*loans_pred_opti_data!D576</f>
        <v>492.62085543599011</v>
      </c>
    </row>
    <row r="577" spans="1:3" x14ac:dyDescent="0.2">
      <c r="A577" s="1">
        <v>0</v>
      </c>
      <c r="B577">
        <f>loans_pred_opti_data!D577*loans_pred_opti_data!B577</f>
        <v>176.0433511129128</v>
      </c>
      <c r="C577">
        <f>(loans_pred_opti_data!B577-ret_PESS!$G$35*loans_pred_opti_data!C577)*loans_pred_opti_data!D577</f>
        <v>127.13784778859478</v>
      </c>
    </row>
    <row r="578" spans="1:3" x14ac:dyDescent="0.2">
      <c r="A578" s="1">
        <v>1</v>
      </c>
      <c r="B578">
        <f>loans_pred_opti_data!D578*loans_pred_opti_data!B578</f>
        <v>335.98842303777411</v>
      </c>
      <c r="C578">
        <f>(loans_pred_opti_data!B578-ret_PESS!$G$35*loans_pred_opti_data!C578)*loans_pred_opti_data!D578</f>
        <v>246.32833360985771</v>
      </c>
    </row>
    <row r="579" spans="1:3" x14ac:dyDescent="0.2">
      <c r="A579" s="1">
        <v>0</v>
      </c>
      <c r="B579">
        <f>loans_pred_opti_data!D579*loans_pred_opti_data!B579</f>
        <v>471.30164936586004</v>
      </c>
      <c r="C579">
        <f>(loans_pred_opti_data!B579-ret_PESS!$G$35*loans_pred_opti_data!C579)*loans_pred_opti_data!D579</f>
        <v>373.49064271722398</v>
      </c>
    </row>
    <row r="580" spans="1:3" x14ac:dyDescent="0.2">
      <c r="A580" s="1">
        <v>0</v>
      </c>
      <c r="B580">
        <f>loans_pred_opti_data!D580*loans_pred_opti_data!B580</f>
        <v>376.43695208658301</v>
      </c>
      <c r="C580">
        <f>(loans_pred_opti_data!B580-ret_PESS!$G$35*loans_pred_opti_data!C580)*loans_pred_opti_data!D580</f>
        <v>254.17319377578795</v>
      </c>
    </row>
    <row r="581" spans="1:3" x14ac:dyDescent="0.2">
      <c r="A581" s="1">
        <v>0</v>
      </c>
      <c r="B581">
        <f>loans_pred_opti_data!D581*loans_pred_opti_data!B581</f>
        <v>288.96665892185985</v>
      </c>
      <c r="C581">
        <f>(loans_pred_opti_data!B581-ret_PESS!$G$35*loans_pred_opti_data!C581)*loans_pred_opti_data!D581</f>
        <v>225.38950460024643</v>
      </c>
    </row>
    <row r="582" spans="1:3" x14ac:dyDescent="0.2">
      <c r="A582" s="1">
        <v>0</v>
      </c>
      <c r="B582">
        <f>loans_pred_opti_data!D582*loans_pred_opti_data!B582</f>
        <v>77.854428294461698</v>
      </c>
      <c r="C582">
        <f>(loans_pred_opti_data!B582-ret_PESS!$G$35*loans_pred_opti_data!C582)*loans_pred_opti_data!D582</f>
        <v>49.326218021942857</v>
      </c>
    </row>
    <row r="583" spans="1:3" x14ac:dyDescent="0.2">
      <c r="A583" s="1">
        <v>0</v>
      </c>
      <c r="B583">
        <f>loans_pred_opti_data!D583*loans_pred_opti_data!B583</f>
        <v>103.54897201263923</v>
      </c>
      <c r="C583">
        <f>(loans_pred_opti_data!B583-ret_PESS!$G$35*loans_pred_opti_data!C583)*loans_pred_opti_data!D583</f>
        <v>68.296255033026654</v>
      </c>
    </row>
    <row r="584" spans="1:3" x14ac:dyDescent="0.2">
      <c r="A584" s="1">
        <v>0</v>
      </c>
      <c r="B584">
        <f>loans_pred_opti_data!D584*loans_pred_opti_data!B584</f>
        <v>262.07288732415799</v>
      </c>
      <c r="C584">
        <f>(loans_pred_opti_data!B584-ret_PESS!$G$35*loans_pred_opti_data!C584)*loans_pred_opti_data!D584</f>
        <v>180.5637151169613</v>
      </c>
    </row>
    <row r="585" spans="1:3" x14ac:dyDescent="0.2">
      <c r="A585" s="1">
        <v>0</v>
      </c>
      <c r="B585">
        <f>loans_pred_opti_data!D585*loans_pred_opti_data!B585</f>
        <v>150.92107365400858</v>
      </c>
      <c r="C585">
        <f>(loans_pred_opti_data!B585-ret_PESS!$G$35*loans_pred_opti_data!C585)*loans_pred_opti_data!D585</f>
        <v>-18.676287976398427</v>
      </c>
    </row>
    <row r="586" spans="1:3" x14ac:dyDescent="0.2">
      <c r="A586" s="1">
        <v>0</v>
      </c>
      <c r="B586">
        <f>loans_pred_opti_data!D586*loans_pred_opti_data!B586</f>
        <v>1109.4839076649894</v>
      </c>
      <c r="C586">
        <f>(loans_pred_opti_data!B586-ret_PESS!$G$35*loans_pred_opti_data!C586)*loans_pred_opti_data!D586</f>
        <v>812.68852481177714</v>
      </c>
    </row>
    <row r="587" spans="1:3" x14ac:dyDescent="0.2">
      <c r="A587" s="1">
        <v>1</v>
      </c>
      <c r="B587">
        <f>loans_pred_opti_data!D587*loans_pred_opti_data!B587</f>
        <v>-52.883249520663433</v>
      </c>
      <c r="C587">
        <f>(loans_pred_opti_data!B587-ret_PESS!$G$35*loans_pred_opti_data!C587)*loans_pred_opti_data!D587</f>
        <v>-172.70173266524259</v>
      </c>
    </row>
    <row r="588" spans="1:3" x14ac:dyDescent="0.2">
      <c r="A588" s="1">
        <v>0</v>
      </c>
      <c r="B588">
        <f>loans_pred_opti_data!D588*loans_pred_opti_data!B588</f>
        <v>69.840158885497402</v>
      </c>
      <c r="C588">
        <f>(loans_pred_opti_data!B588-ret_PESS!$G$35*loans_pred_opti_data!C588)*loans_pred_opti_data!D588</f>
        <v>-99.75720274490962</v>
      </c>
    </row>
    <row r="589" spans="1:3" x14ac:dyDescent="0.2">
      <c r="A589" s="1">
        <v>0</v>
      </c>
      <c r="B589">
        <f>loans_pred_opti_data!D589*loans_pred_opti_data!B589</f>
        <v>202.18498930217436</v>
      </c>
      <c r="C589">
        <f>(loans_pred_opti_data!B589-ret_PESS!$G$35*loans_pred_opti_data!C589)*loans_pred_opti_data!D589</f>
        <v>148.18516271490651</v>
      </c>
    </row>
    <row r="590" spans="1:3" x14ac:dyDescent="0.2">
      <c r="A590" s="1">
        <v>0</v>
      </c>
      <c r="B590">
        <f>loans_pred_opti_data!D590*loans_pred_opti_data!B590</f>
        <v>8.0767101235980405</v>
      </c>
      <c r="C590">
        <f>(loans_pred_opti_data!B590-ret_PESS!$G$35*loans_pred_opti_data!C590)*loans_pred_opti_data!D590</f>
        <v>-153.04078342528862</v>
      </c>
    </row>
    <row r="591" spans="1:3" x14ac:dyDescent="0.2">
      <c r="A591" s="1">
        <v>0</v>
      </c>
      <c r="B591">
        <f>loans_pred_opti_data!D591*loans_pred_opti_data!B591</f>
        <v>84.961316636090004</v>
      </c>
      <c r="C591">
        <f>(loans_pred_opti_data!B591-ret_PESS!$G$35*loans_pred_opti_data!C591)*loans_pred_opti_data!D591</f>
        <v>47.474197149686745</v>
      </c>
    </row>
    <row r="592" spans="1:3" x14ac:dyDescent="0.2">
      <c r="A592" s="1">
        <v>0</v>
      </c>
      <c r="B592">
        <f>loans_pred_opti_data!D592*loans_pred_opti_data!B592</f>
        <v>511.35427864342051</v>
      </c>
      <c r="C592">
        <f>(loans_pred_opti_data!B592-ret_PESS!$G$35*loans_pred_opti_data!C592)*loans_pred_opti_data!D592</f>
        <v>398.89292018421082</v>
      </c>
    </row>
    <row r="593" spans="1:3" x14ac:dyDescent="0.2">
      <c r="A593" s="1">
        <v>0</v>
      </c>
      <c r="B593">
        <f>loans_pred_opti_data!D593*loans_pred_opti_data!B593</f>
        <v>334.22782593293397</v>
      </c>
      <c r="C593">
        <f>(loans_pred_opti_data!B593-ret_PESS!$G$35*loans_pred_opti_data!C593)*loans_pred_opti_data!D593</f>
        <v>252.71865372573725</v>
      </c>
    </row>
    <row r="594" spans="1:3" x14ac:dyDescent="0.2">
      <c r="A594" s="1">
        <v>0</v>
      </c>
      <c r="B594">
        <f>loans_pred_opti_data!D594*loans_pred_opti_data!B594</f>
        <v>511.71201945832968</v>
      </c>
      <c r="C594">
        <f>(loans_pred_opti_data!B594-ret_PESS!$G$35*loans_pred_opti_data!C594)*loans_pred_opti_data!D594</f>
        <v>395.15390320203841</v>
      </c>
    </row>
    <row r="595" spans="1:3" x14ac:dyDescent="0.2">
      <c r="A595" s="1">
        <v>0</v>
      </c>
      <c r="B595">
        <f>loans_pred_opti_data!D595*loans_pred_opti_data!B595</f>
        <v>95.361755671602907</v>
      </c>
      <c r="C595">
        <f>(loans_pred_opti_data!B595-ret_PESS!$G$35*loans_pred_opti_data!C595)*loans_pred_opti_data!D595</f>
        <v>70.90900400944389</v>
      </c>
    </row>
    <row r="596" spans="1:3" x14ac:dyDescent="0.2">
      <c r="A596" s="1">
        <v>0</v>
      </c>
      <c r="B596">
        <f>loans_pred_opti_data!D596*loans_pred_opti_data!B596</f>
        <v>95.788217855275207</v>
      </c>
      <c r="C596">
        <f>(loans_pred_opti_data!B596-ret_PESS!$G$35*loans_pred_opti_data!C596)*loans_pred_opti_data!D596</f>
        <v>63.184548972396534</v>
      </c>
    </row>
    <row r="597" spans="1:3" x14ac:dyDescent="0.2">
      <c r="A597" s="1">
        <v>1</v>
      </c>
      <c r="B597">
        <f>loans_pred_opti_data!D597*loans_pred_opti_data!B597</f>
        <v>114.52626505708744</v>
      </c>
      <c r="C597">
        <f>(loans_pred_opti_data!B597-ret_PESS!$G$35*loans_pred_opti_data!C597)*loans_pred_opti_data!D597</f>
        <v>-101.2863776176055</v>
      </c>
    </row>
    <row r="598" spans="1:3" x14ac:dyDescent="0.2">
      <c r="A598" s="1">
        <v>0</v>
      </c>
      <c r="B598">
        <f>loans_pred_opti_data!D598*loans_pred_opti_data!B598</f>
        <v>324.80292432299757</v>
      </c>
      <c r="C598">
        <f>(loans_pred_opti_data!B598-ret_PESS!$G$35*loans_pred_opti_data!C598)*loans_pred_opti_data!D598</f>
        <v>226.99191767436156</v>
      </c>
    </row>
    <row r="599" spans="1:3" x14ac:dyDescent="0.2">
      <c r="A599" s="1">
        <v>0</v>
      </c>
      <c r="B599">
        <f>loans_pred_opti_data!D599*loans_pred_opti_data!B599</f>
        <v>260.58716817469343</v>
      </c>
      <c r="C599">
        <f>(loans_pred_opti_data!B599-ret_PESS!$G$35*loans_pred_opti_data!C599)*loans_pred_opti_data!D599</f>
        <v>181.11572527267663</v>
      </c>
    </row>
    <row r="600" spans="1:3" x14ac:dyDescent="0.2">
      <c r="A600" s="1">
        <v>0</v>
      </c>
      <c r="B600">
        <f>loans_pred_opti_data!D600*loans_pred_opti_data!B600</f>
        <v>-134.01372850579915</v>
      </c>
      <c r="C600">
        <f>(loans_pred_opti_data!B600-ret_PESS!$G$35*loans_pred_opti_data!C600)*loans_pred_opti_data!D600</f>
        <v>-256.6850326776302</v>
      </c>
    </row>
    <row r="601" spans="1:3" x14ac:dyDescent="0.2">
      <c r="A601" s="1">
        <v>0</v>
      </c>
      <c r="B601">
        <f>loans_pred_opti_data!D601*loans_pred_opti_data!B601</f>
        <v>576.0837197016059</v>
      </c>
      <c r="C601">
        <f>(loans_pred_opti_data!B601-ret_PESS!$G$35*loans_pred_opti_data!C601)*loans_pred_opti_data!D601</f>
        <v>443.514972582805</v>
      </c>
    </row>
    <row r="602" spans="1:3" x14ac:dyDescent="0.2">
      <c r="A602" s="1">
        <v>0</v>
      </c>
      <c r="B602">
        <f>loans_pred_opti_data!D602*loans_pred_opti_data!B602</f>
        <v>379.46123939547601</v>
      </c>
      <c r="C602">
        <f>(loans_pred_opti_data!B602-ret_PESS!$G$35*loans_pred_opti_data!C602)*loans_pred_opti_data!D602</f>
        <v>281.65023274683995</v>
      </c>
    </row>
    <row r="603" spans="1:3" x14ac:dyDescent="0.2">
      <c r="A603" s="1">
        <v>0</v>
      </c>
      <c r="B603">
        <f>loans_pred_opti_data!D603*loans_pred_opti_data!B603</f>
        <v>291.19245140502176</v>
      </c>
      <c r="C603">
        <f>(loans_pred_opti_data!B603-ret_PESS!$G$35*loans_pred_opti_data!C603)*loans_pred_opti_data!D603</f>
        <v>224.30120158719339</v>
      </c>
    </row>
    <row r="604" spans="1:3" x14ac:dyDescent="0.2">
      <c r="A604" s="1">
        <v>0</v>
      </c>
      <c r="B604">
        <f>loans_pred_opti_data!D604*loans_pred_opti_data!B604</f>
        <v>217.6222168628199</v>
      </c>
      <c r="C604">
        <f>(loans_pred_opti_data!B604-ret_PESS!$G$35*loans_pred_opti_data!C604)*loans_pred_opti_data!D604</f>
        <v>144.2639618763429</v>
      </c>
    </row>
    <row r="605" spans="1:3" x14ac:dyDescent="0.2">
      <c r="A605" s="1">
        <v>0</v>
      </c>
      <c r="B605">
        <f>loans_pred_opti_data!D605*loans_pred_opti_data!B605</f>
        <v>-47.464123349835937</v>
      </c>
      <c r="C605">
        <f>(loans_pred_opti_data!B605-ret_PESS!$G$35*loans_pred_opti_data!C605)*loans_pred_opti_data!D605</f>
        <v>-106.15072733901755</v>
      </c>
    </row>
    <row r="606" spans="1:3" x14ac:dyDescent="0.2">
      <c r="A606" s="1">
        <v>0</v>
      </c>
      <c r="B606">
        <f>loans_pred_opti_data!D606*loans_pred_opti_data!B606</f>
        <v>272.04221918634482</v>
      </c>
      <c r="C606">
        <f>(loans_pred_opti_data!B606-ret_PESS!$G$35*loans_pred_opti_data!C606)*loans_pred_opti_data!D606</f>
        <v>206.83488142058744</v>
      </c>
    </row>
    <row r="607" spans="1:3" x14ac:dyDescent="0.2">
      <c r="A607" s="1">
        <v>0</v>
      </c>
      <c r="B607">
        <f>loans_pred_opti_data!D607*loans_pred_opti_data!B607</f>
        <v>555.82149579830877</v>
      </c>
      <c r="C607">
        <f>(loans_pred_opti_data!B607-ret_PESS!$G$35*loans_pred_opti_data!C607)*loans_pred_opti_data!D607</f>
        <v>478.68078028258731</v>
      </c>
    </row>
    <row r="608" spans="1:3" x14ac:dyDescent="0.2">
      <c r="A608" s="1">
        <v>0</v>
      </c>
      <c r="B608">
        <f>loans_pred_opti_data!D608*loans_pred_opti_data!B608</f>
        <v>25.191593398136622</v>
      </c>
      <c r="C608">
        <f>(loans_pred_opti_data!B608-ret_PESS!$G$35*loans_pred_opti_data!C608)*loans_pred_opti_data!D608</f>
        <v>13.780309289129082</v>
      </c>
    </row>
    <row r="609" spans="1:3" x14ac:dyDescent="0.2">
      <c r="A609" s="1">
        <v>0</v>
      </c>
      <c r="B609">
        <f>loans_pred_opti_data!D609*loans_pred_opti_data!B609</f>
        <v>889.12135126245994</v>
      </c>
      <c r="C609">
        <f>(loans_pred_opti_data!B609-ret_PESS!$G$35*loans_pred_opti_data!C609)*loans_pred_opti_data!D609</f>
        <v>677.1246492244511</v>
      </c>
    </row>
    <row r="610" spans="1:3" x14ac:dyDescent="0.2">
      <c r="A610" s="1">
        <v>0</v>
      </c>
      <c r="B610">
        <f>loans_pred_opti_data!D610*loans_pred_opti_data!B610</f>
        <v>238.80927814818298</v>
      </c>
      <c r="C610">
        <f>(loans_pred_opti_data!B610-ret_PESS!$G$35*loans_pred_opti_data!C610)*loans_pred_opti_data!D610</f>
        <v>171.33246307265716</v>
      </c>
    </row>
    <row r="611" spans="1:3" x14ac:dyDescent="0.2">
      <c r="A611" s="1">
        <v>0</v>
      </c>
      <c r="B611">
        <f>loans_pred_opti_data!D611*loans_pred_opti_data!B611</f>
        <v>183.77438445102001</v>
      </c>
      <c r="C611">
        <f>(loans_pred_opti_data!B611-ret_PESS!$G$35*loans_pred_opti_data!C611)*loans_pred_opti_data!D611</f>
        <v>137.54187727886364</v>
      </c>
    </row>
    <row r="612" spans="1:3" x14ac:dyDescent="0.2">
      <c r="A612" s="1">
        <v>0</v>
      </c>
      <c r="B612">
        <f>loans_pred_opti_data!D612*loans_pred_opti_data!B612</f>
        <v>141.0762748942926</v>
      </c>
      <c r="C612">
        <f>(loans_pred_opti_data!B612-ret_PESS!$G$35*loans_pred_opti_data!C612)*loans_pred_opti_data!D612</f>
        <v>96.091731510608696</v>
      </c>
    </row>
    <row r="613" spans="1:3" x14ac:dyDescent="0.2">
      <c r="A613" s="1">
        <v>0</v>
      </c>
      <c r="B613">
        <f>loans_pred_opti_data!D613*loans_pred_opti_data!B613</f>
        <v>33.472564466158722</v>
      </c>
      <c r="C613">
        <f>(loans_pred_opti_data!B613-ret_PESS!$G$35*loans_pred_opti_data!C613)*loans_pred_opti_data!D613</f>
        <v>22.976171009965807</v>
      </c>
    </row>
    <row r="614" spans="1:3" x14ac:dyDescent="0.2">
      <c r="A614" s="1">
        <v>0</v>
      </c>
      <c r="B614">
        <f>loans_pred_opti_data!D614*loans_pred_opti_data!B614</f>
        <v>141.20082141953188</v>
      </c>
      <c r="C614">
        <f>(loans_pred_opti_data!B614-ret_PESS!$G$35*loans_pred_opti_data!C614)*loans_pred_opti_data!D614</f>
        <v>100.85378117696951</v>
      </c>
    </row>
    <row r="615" spans="1:3" x14ac:dyDescent="0.2">
      <c r="A615" s="1">
        <v>0</v>
      </c>
      <c r="B615">
        <f>loans_pred_opti_data!D615*loans_pred_opti_data!B615</f>
        <v>296.290694277341</v>
      </c>
      <c r="C615">
        <f>(loans_pred_opti_data!B615-ret_PESS!$G$35*loans_pred_opti_data!C615)*loans_pred_opti_data!D615</f>
        <v>219.23651565708039</v>
      </c>
    </row>
    <row r="616" spans="1:3" x14ac:dyDescent="0.2">
      <c r="A616" s="1">
        <v>0</v>
      </c>
      <c r="B616">
        <f>loans_pred_opti_data!D616*loans_pred_opti_data!B616</f>
        <v>167.9895982567152</v>
      </c>
      <c r="C616">
        <f>(loans_pred_opti_data!B616-ret_PESS!$G$35*loans_pred_opti_data!C616)*loans_pred_opti_data!D616</f>
        <v>110.9331777116775</v>
      </c>
    </row>
    <row r="617" spans="1:3" x14ac:dyDescent="0.2">
      <c r="A617" s="1">
        <v>0</v>
      </c>
      <c r="B617">
        <f>loans_pred_opti_data!D617*loans_pred_opti_data!B617</f>
        <v>55.897318669799702</v>
      </c>
      <c r="C617">
        <f>(loans_pred_opti_data!B617-ret_PESS!$G$35*loans_pred_opti_data!C617)*loans_pred_opti_data!D617</f>
        <v>-198.49872377581082</v>
      </c>
    </row>
    <row r="618" spans="1:3" x14ac:dyDescent="0.2">
      <c r="A618" s="1">
        <v>0</v>
      </c>
      <c r="B618">
        <f>loans_pred_opti_data!D618*loans_pred_opti_data!B618</f>
        <v>641.18780382085095</v>
      </c>
      <c r="C618">
        <f>(loans_pred_opti_data!B618-ret_PESS!$G$35*loans_pred_opti_data!C618)*loans_pred_opti_data!D618</f>
        <v>509.98288561843964</v>
      </c>
    </row>
    <row r="619" spans="1:3" x14ac:dyDescent="0.2">
      <c r="A619" s="1">
        <v>0</v>
      </c>
      <c r="B619">
        <f>loans_pred_opti_data!D619*loans_pred_opti_data!B619</f>
        <v>99.687353358004046</v>
      </c>
      <c r="C619">
        <f>(loans_pred_opti_data!B619-ret_PESS!$G$35*loans_pred_opti_data!C619)*loans_pred_opti_data!D619</f>
        <v>-22.576404952791012</v>
      </c>
    </row>
    <row r="620" spans="1:3" x14ac:dyDescent="0.2">
      <c r="A620" s="1">
        <v>0</v>
      </c>
      <c r="B620">
        <f>loans_pred_opti_data!D620*loans_pred_opti_data!B620</f>
        <v>197.09298924702</v>
      </c>
      <c r="C620">
        <f>(loans_pred_opti_data!B620-ret_PESS!$G$35*loans_pred_opti_data!C620)*loans_pred_opti_data!D620</f>
        <v>148.18748592270197</v>
      </c>
    </row>
    <row r="621" spans="1:3" x14ac:dyDescent="0.2">
      <c r="A621" s="1">
        <v>0</v>
      </c>
      <c r="B621">
        <f>loans_pred_opti_data!D621*loans_pred_opti_data!B621</f>
        <v>304.80951696538079</v>
      </c>
      <c r="C621">
        <f>(loans_pred_opti_data!B621-ret_PESS!$G$35*loans_pred_opti_data!C621)*loans_pred_opti_data!D621</f>
        <v>206.99851031674476</v>
      </c>
    </row>
    <row r="622" spans="1:3" x14ac:dyDescent="0.2">
      <c r="A622" s="1">
        <v>0</v>
      </c>
      <c r="B622">
        <f>loans_pred_opti_data!D622*loans_pred_opti_data!B622</f>
        <v>293.67286709350202</v>
      </c>
      <c r="C622">
        <f>(loans_pred_opti_data!B622-ret_PESS!$G$35*loans_pred_opti_data!C622)*loans_pred_opti_data!D622</f>
        <v>212.75603263645158</v>
      </c>
    </row>
    <row r="623" spans="1:3" x14ac:dyDescent="0.2">
      <c r="A623" s="1">
        <v>0</v>
      </c>
      <c r="B623">
        <f>loans_pred_opti_data!D623*loans_pred_opti_data!B623</f>
        <v>351.53964973550399</v>
      </c>
      <c r="C623">
        <f>(loans_pred_opti_data!B623-ret_PESS!$G$35*loans_pred_opti_data!C623)*loans_pred_opti_data!D623</f>
        <v>97.143607289893453</v>
      </c>
    </row>
    <row r="624" spans="1:3" x14ac:dyDescent="0.2">
      <c r="A624" s="1">
        <v>0</v>
      </c>
      <c r="B624">
        <f>loans_pred_opti_data!D624*loans_pred_opti_data!B624</f>
        <v>134.99139567327697</v>
      </c>
      <c r="C624">
        <f>(loans_pred_opti_data!B624-ret_PESS!$G$35*loans_pred_opti_data!C624)*loans_pred_opti_data!D624</f>
        <v>-17.646229794089361</v>
      </c>
    </row>
    <row r="625" spans="1:3" x14ac:dyDescent="0.2">
      <c r="A625" s="1">
        <v>0</v>
      </c>
      <c r="B625">
        <f>loans_pred_opti_data!D625*loans_pred_opti_data!B625</f>
        <v>238.00336197038638</v>
      </c>
      <c r="C625">
        <f>(loans_pred_opti_data!B625-ret_PESS!$G$35*loans_pred_opti_data!C625)*loans_pred_opti_data!D625</f>
        <v>140.19235532175034</v>
      </c>
    </row>
    <row r="626" spans="1:3" x14ac:dyDescent="0.2">
      <c r="A626" s="1">
        <v>0</v>
      </c>
      <c r="B626">
        <f>loans_pred_opti_data!D626*loans_pred_opti_data!B626</f>
        <v>711.93295462769629</v>
      </c>
      <c r="C626">
        <f>(loans_pred_opti_data!B626-ret_PESS!$G$35*loans_pred_opti_data!C626)*loans_pred_opti_data!D626</f>
        <v>538.94364576468115</v>
      </c>
    </row>
    <row r="627" spans="1:3" x14ac:dyDescent="0.2">
      <c r="A627" s="1">
        <v>0</v>
      </c>
      <c r="B627">
        <f>loans_pred_opti_data!D627*loans_pred_opti_data!B627</f>
        <v>1245.728424273361</v>
      </c>
      <c r="C627">
        <f>(loans_pred_opti_data!B627-ret_PESS!$G$35*loans_pred_opti_data!C627)*loans_pred_opti_data!D627</f>
        <v>948.93304142014881</v>
      </c>
    </row>
    <row r="628" spans="1:3" x14ac:dyDescent="0.2">
      <c r="A628" s="1">
        <v>0</v>
      </c>
      <c r="B628">
        <f>loans_pred_opti_data!D628*loans_pred_opti_data!B628</f>
        <v>441.64577830674597</v>
      </c>
      <c r="C628">
        <f>(loans_pred_opti_data!B628-ret_PESS!$G$35*loans_pred_opti_data!C628)*loans_pred_opti_data!D628</f>
        <v>306.69214815569427</v>
      </c>
    </row>
    <row r="629" spans="1:3" x14ac:dyDescent="0.2">
      <c r="A629" s="1">
        <v>0</v>
      </c>
      <c r="B629">
        <f>loans_pred_opti_data!D629*loans_pred_opti_data!B629</f>
        <v>187.20087367025801</v>
      </c>
      <c r="C629">
        <f>(loans_pred_opti_data!B629-ret_PESS!$G$35*loans_pred_opti_data!C629)*loans_pred_opti_data!D629</f>
        <v>134.71890638929344</v>
      </c>
    </row>
    <row r="630" spans="1:3" x14ac:dyDescent="0.2">
      <c r="A630" s="1">
        <v>0</v>
      </c>
      <c r="B630">
        <f>loans_pred_opti_data!D630*loans_pred_opti_data!B630</f>
        <v>-1.3029590543036984</v>
      </c>
      <c r="C630">
        <f>(loans_pred_opti_data!B630-ret_PESS!$G$35*loans_pred_opti_data!C630)*loans_pred_opti_data!D630</f>
        <v>-43.076409810492009</v>
      </c>
    </row>
    <row r="631" spans="1:3" x14ac:dyDescent="0.2">
      <c r="A631" s="1">
        <v>1</v>
      </c>
      <c r="B631">
        <f>loans_pred_opti_data!D631*loans_pred_opti_data!B631</f>
        <v>347.2692589330656</v>
      </c>
      <c r="C631">
        <f>(loans_pred_opti_data!B631-ret_PESS!$G$35*loans_pred_opti_data!C631)*loans_pred_opti_data!D631</f>
        <v>249.45825228442956</v>
      </c>
    </row>
    <row r="632" spans="1:3" x14ac:dyDescent="0.2">
      <c r="A632" s="1">
        <v>0</v>
      </c>
      <c r="B632">
        <f>loans_pred_opti_data!D632*loans_pred_opti_data!B632</f>
        <v>132.76027363666441</v>
      </c>
      <c r="C632">
        <f>(loans_pred_opti_data!B632-ret_PESS!$G$35*loans_pred_opti_data!C632)*loans_pred_opti_data!D632</f>
        <v>100.15660475378571</v>
      </c>
    </row>
    <row r="633" spans="1:3" x14ac:dyDescent="0.2">
      <c r="A633" s="1">
        <v>0</v>
      </c>
      <c r="B633">
        <f>loans_pred_opti_data!D633*loans_pred_opti_data!B633</f>
        <v>103.35302600209596</v>
      </c>
      <c r="C633">
        <f>(loans_pred_opti_data!B633-ret_PESS!$G$35*loans_pred_opti_data!C633)*loans_pred_opti_data!D633</f>
        <v>13.383939234728158</v>
      </c>
    </row>
    <row r="634" spans="1:3" x14ac:dyDescent="0.2">
      <c r="A634" s="1">
        <v>0</v>
      </c>
      <c r="B634">
        <f>loans_pred_opti_data!D634*loans_pred_opti_data!B634</f>
        <v>762.8554183826227</v>
      </c>
      <c r="C634">
        <f>(loans_pred_opti_data!B634-ret_PESS!$G$35*loans_pred_opti_data!C634)*loans_pred_opti_data!D634</f>
        <v>600.04195121743192</v>
      </c>
    </row>
    <row r="635" spans="1:3" x14ac:dyDescent="0.2">
      <c r="A635" s="1">
        <v>0</v>
      </c>
      <c r="B635">
        <f>loans_pred_opti_data!D635*loans_pred_opti_data!B635</f>
        <v>420.23297533043342</v>
      </c>
      <c r="C635">
        <f>(loans_pred_opti_data!B635-ret_PESS!$G$35*loans_pred_opti_data!C635)*loans_pred_opti_data!D635</f>
        <v>328.94270245837311</v>
      </c>
    </row>
    <row r="636" spans="1:3" x14ac:dyDescent="0.2">
      <c r="A636" s="1">
        <v>0</v>
      </c>
      <c r="B636">
        <f>loans_pred_opti_data!D636*loans_pred_opti_data!B636</f>
        <v>91.997900923453997</v>
      </c>
      <c r="C636">
        <f>(loans_pred_opti_data!B636-ret_PESS!$G$35*loans_pred_opti_data!C636)*loans_pred_opti_data!D636</f>
        <v>62.0082053343314</v>
      </c>
    </row>
    <row r="637" spans="1:3" x14ac:dyDescent="0.2">
      <c r="A637" s="1">
        <v>0</v>
      </c>
      <c r="B637">
        <f>loans_pred_opti_data!D637*loans_pred_opti_data!B637</f>
        <v>-59.354110771163043</v>
      </c>
      <c r="C637">
        <f>(loans_pred_opti_data!B637-ret_PESS!$G$35*loans_pred_opti_data!C637)*loans_pred_opti_data!D637</f>
        <v>-157.16511741979909</v>
      </c>
    </row>
    <row r="638" spans="1:3" x14ac:dyDescent="0.2">
      <c r="A638" s="1">
        <v>0</v>
      </c>
      <c r="B638">
        <f>loans_pred_opti_data!D638*loans_pred_opti_data!B638</f>
        <v>546.81686976419553</v>
      </c>
      <c r="C638">
        <f>(loans_pred_opti_data!B638-ret_PESS!$G$35*loans_pred_opti_data!C638)*loans_pred_opti_data!D638</f>
        <v>424.55311145340045</v>
      </c>
    </row>
    <row r="639" spans="1:3" x14ac:dyDescent="0.2">
      <c r="A639" s="1">
        <v>0</v>
      </c>
      <c r="B639">
        <f>loans_pred_opti_data!D639*loans_pred_opti_data!B639</f>
        <v>80.682653009979006</v>
      </c>
      <c r="C639">
        <f>(loans_pred_opti_data!B639-ret_PESS!$G$35*loans_pred_opti_data!C639)*loans_pred_opti_data!D639</f>
        <v>61.939093266777377</v>
      </c>
    </row>
    <row r="640" spans="1:3" x14ac:dyDescent="0.2">
      <c r="A640" s="1">
        <v>0</v>
      </c>
      <c r="B640">
        <f>loans_pred_opti_data!D640*loans_pred_opti_data!B640</f>
        <v>276.34950258896203</v>
      </c>
      <c r="C640">
        <f>(loans_pred_opti_data!B640-ret_PESS!$G$35*loans_pred_opti_data!C640)*loans_pred_opti_data!D640</f>
        <v>194.84033038176528</v>
      </c>
    </row>
    <row r="641" spans="1:3" x14ac:dyDescent="0.2">
      <c r="A641" s="1">
        <v>0</v>
      </c>
      <c r="B641">
        <f>loans_pred_opti_data!D641*loans_pred_opti_data!B641</f>
        <v>908.23377371708159</v>
      </c>
      <c r="C641">
        <f>(loans_pred_opti_data!B641-ret_PESS!$G$35*loans_pred_opti_data!C641)*loans_pred_opti_data!D641</f>
        <v>704.71693976059316</v>
      </c>
    </row>
    <row r="642" spans="1:3" x14ac:dyDescent="0.2">
      <c r="A642" s="1">
        <v>0</v>
      </c>
      <c r="B642">
        <f>loans_pred_opti_data!D642*loans_pred_opti_data!B642</f>
        <v>614.71667836810957</v>
      </c>
      <c r="C642">
        <f>(loans_pred_opti_data!B642-ret_PESS!$G$35*loans_pred_opti_data!C642)*loans_pred_opti_data!D642</f>
        <v>533.79984391105904</v>
      </c>
    </row>
    <row r="643" spans="1:3" x14ac:dyDescent="0.2">
      <c r="A643" s="1">
        <v>0</v>
      </c>
      <c r="B643">
        <f>loans_pred_opti_data!D643*loans_pred_opti_data!B643</f>
        <v>122.25115839886099</v>
      </c>
      <c r="C643">
        <f>(loans_pred_opti_data!B643-ret_PESS!$G$35*loans_pred_opti_data!C643)*loans_pred_opti_data!D643</f>
        <v>40.741986191664296</v>
      </c>
    </row>
    <row r="644" spans="1:3" x14ac:dyDescent="0.2">
      <c r="A644" s="1">
        <v>0</v>
      </c>
      <c r="B644">
        <f>loans_pred_opti_data!D644*loans_pred_opti_data!B644</f>
        <v>3.4126248102717609</v>
      </c>
      <c r="C644">
        <f>(loans_pred_opti_data!B644-ret_PESS!$G$35*loans_pred_opti_data!C644)*loans_pred_opti_data!D644</f>
        <v>-293.38275804294057</v>
      </c>
    </row>
    <row r="645" spans="1:3" x14ac:dyDescent="0.2">
      <c r="A645" s="1">
        <v>0</v>
      </c>
      <c r="B645">
        <f>loans_pred_opti_data!D645*loans_pred_opti_data!B645</f>
        <v>-45.583097307519502</v>
      </c>
      <c r="C645">
        <f>(loans_pred_opti_data!B645-ret_PESS!$G$35*loans_pred_opti_data!C645)*loans_pred_opti_data!D645</f>
        <v>-127.09226951471621</v>
      </c>
    </row>
    <row r="646" spans="1:3" x14ac:dyDescent="0.2">
      <c r="A646" s="1">
        <v>0</v>
      </c>
      <c r="B646">
        <f>loans_pred_opti_data!D646*loans_pred_opti_data!B646</f>
        <v>216.17928600559361</v>
      </c>
      <c r="C646">
        <f>(loans_pred_opti_data!B646-ret_PESS!$G$35*loans_pred_opti_data!C646)*loans_pred_opti_data!D646</f>
        <v>168.19577306299743</v>
      </c>
    </row>
    <row r="647" spans="1:3" x14ac:dyDescent="0.2">
      <c r="A647" s="1">
        <v>0</v>
      </c>
      <c r="B647">
        <f>loans_pred_opti_data!D647*loans_pred_opti_data!B647</f>
        <v>544.45748534533004</v>
      </c>
      <c r="C647">
        <f>(loans_pred_opti_data!B647-ret_PESS!$G$35*loans_pred_opti_data!C647)*loans_pred_opti_data!D647</f>
        <v>409.59609458357926</v>
      </c>
    </row>
    <row r="648" spans="1:3" x14ac:dyDescent="0.2">
      <c r="A648" s="1">
        <v>0</v>
      </c>
      <c r="B648">
        <f>loans_pred_opti_data!D648*loans_pred_opti_data!B648</f>
        <v>309.04941481657801</v>
      </c>
      <c r="C648">
        <f>(loans_pred_opti_data!B648-ret_PESS!$G$35*loans_pred_opti_data!C648)*loans_pred_opti_data!D648</f>
        <v>139.45205318617096</v>
      </c>
    </row>
    <row r="649" spans="1:3" x14ac:dyDescent="0.2">
      <c r="A649" s="1">
        <v>0</v>
      </c>
      <c r="B649">
        <f>loans_pred_opti_data!D649*loans_pred_opti_data!B649</f>
        <v>630.75133283839591</v>
      </c>
      <c r="C649">
        <f>(loans_pred_opti_data!B649-ret_PESS!$G$35*loans_pred_opti_data!C649)*loans_pred_opti_data!D649</f>
        <v>461.15397120798895</v>
      </c>
    </row>
    <row r="650" spans="1:3" x14ac:dyDescent="0.2">
      <c r="A650" s="1">
        <v>0</v>
      </c>
      <c r="B650">
        <f>loans_pred_opti_data!D650*loans_pred_opti_data!B650</f>
        <v>495.13426650495154</v>
      </c>
      <c r="C650">
        <f>(loans_pred_opti_data!B650-ret_PESS!$G$35*loans_pred_opti_data!C650)*loans_pred_opti_data!D650</f>
        <v>198.33888365173925</v>
      </c>
    </row>
    <row r="651" spans="1:3" x14ac:dyDescent="0.2">
      <c r="A651" s="1">
        <v>0</v>
      </c>
      <c r="B651">
        <f>loans_pred_opti_data!D651*loans_pred_opti_data!B651</f>
        <v>456.73517312580151</v>
      </c>
      <c r="C651">
        <f>(loans_pred_opti_data!B651-ret_PESS!$G$35*loans_pred_opti_data!C651)*loans_pred_opti_data!D651</f>
        <v>344.2738146665917</v>
      </c>
    </row>
    <row r="652" spans="1:3" x14ac:dyDescent="0.2">
      <c r="A652" s="1">
        <v>0</v>
      </c>
      <c r="B652">
        <f>loans_pred_opti_data!D652*loans_pred_opti_data!B652</f>
        <v>24.69991104185728</v>
      </c>
      <c r="C652">
        <f>(loans_pred_opti_data!B652-ret_PESS!$G$35*loans_pred_opti_data!C652)*loans_pred_opti_data!D652</f>
        <v>-105.71476448965744</v>
      </c>
    </row>
    <row r="653" spans="1:3" x14ac:dyDescent="0.2">
      <c r="A653" s="1">
        <v>0</v>
      </c>
      <c r="B653">
        <f>loans_pred_opti_data!D653*loans_pred_opti_data!B653</f>
        <v>271.08164413082648</v>
      </c>
      <c r="C653">
        <f>(loans_pred_opti_data!B653-ret_PESS!$G$35*loans_pred_opti_data!C653)*loans_pred_opti_data!D653</f>
        <v>180.60646298083813</v>
      </c>
    </row>
    <row r="654" spans="1:3" x14ac:dyDescent="0.2">
      <c r="A654" s="1">
        <v>0</v>
      </c>
      <c r="B654">
        <f>loans_pred_opti_data!D654*loans_pred_opti_data!B654</f>
        <v>280.32777479760119</v>
      </c>
      <c r="C654">
        <f>(loans_pred_opti_data!B654-ret_PESS!$G$35*loans_pred_opti_data!C654)*loans_pred_opti_data!D654</f>
        <v>199.7304679018342</v>
      </c>
    </row>
    <row r="655" spans="1:3" x14ac:dyDescent="0.2">
      <c r="A655" s="1">
        <v>0</v>
      </c>
      <c r="B655">
        <f>loans_pred_opti_data!D655*loans_pred_opti_data!B655</f>
        <v>739.46385438997436</v>
      </c>
      <c r="C655">
        <f>(loans_pred_opti_data!B655-ret_PESS!$G$35*loans_pred_opti_data!C655)*loans_pred_opti_data!D655</f>
        <v>552.05876978837466</v>
      </c>
    </row>
    <row r="656" spans="1:3" x14ac:dyDescent="0.2">
      <c r="A656" s="1">
        <v>1</v>
      </c>
      <c r="B656">
        <f>loans_pred_opti_data!D656*loans_pred_opti_data!B656</f>
        <v>541.45833310369881</v>
      </c>
      <c r="C656">
        <f>(loans_pred_opti_data!B656-ret_PESS!$G$35*loans_pred_opti_data!C656)*loans_pred_opti_data!D656</f>
        <v>428.44448764535161</v>
      </c>
    </row>
    <row r="657" spans="1:3" x14ac:dyDescent="0.2">
      <c r="A657" s="1">
        <v>0</v>
      </c>
      <c r="B657">
        <f>loans_pred_opti_data!D657*loans_pred_opti_data!B657</f>
        <v>18.748966170221479</v>
      </c>
      <c r="C657">
        <f>(loans_pred_opti_data!B657-ret_PESS!$G$35*loans_pred_opti_data!C657)*loans_pred_opti_data!D657</f>
        <v>-187.94781831683707</v>
      </c>
    </row>
    <row r="658" spans="1:3" x14ac:dyDescent="0.2">
      <c r="A658" s="1">
        <v>0</v>
      </c>
      <c r="B658">
        <f>loans_pred_opti_data!D658*loans_pred_opti_data!B658</f>
        <v>189.60378638425121</v>
      </c>
      <c r="C658">
        <f>(loans_pred_opti_data!B658-ret_PESS!$G$35*loans_pred_opti_data!C658)*loans_pred_opti_data!D658</f>
        <v>126.25055445222972</v>
      </c>
    </row>
    <row r="659" spans="1:3" x14ac:dyDescent="0.2">
      <c r="A659" s="1">
        <v>1</v>
      </c>
      <c r="B659">
        <f>loans_pred_opti_data!D659*loans_pred_opti_data!B659</f>
        <v>411.84395328906999</v>
      </c>
      <c r="C659">
        <f>(loans_pred_opti_data!B659-ret_PESS!$G$35*loans_pred_opti_data!C659)*loans_pred_opti_data!D659</f>
        <v>303.95484067966936</v>
      </c>
    </row>
    <row r="660" spans="1:3" x14ac:dyDescent="0.2">
      <c r="A660" s="1">
        <v>0</v>
      </c>
      <c r="B660">
        <f>loans_pred_opti_data!D660*loans_pred_opti_data!B660</f>
        <v>198.4872767463313</v>
      </c>
      <c r="C660">
        <f>(loans_pred_opti_data!B660-ret_PESS!$G$35*loans_pred_opti_data!C660)*loans_pred_opti_data!D660</f>
        <v>-98.30810610688097</v>
      </c>
    </row>
    <row r="661" spans="1:3" x14ac:dyDescent="0.2">
      <c r="A661" s="1">
        <v>0</v>
      </c>
      <c r="B661">
        <f>loans_pred_opti_data!D661*loans_pred_opti_data!B661</f>
        <v>287.77538598181411</v>
      </c>
      <c r="C661">
        <f>(loans_pred_opti_data!B661-ret_PESS!$G$35*loans_pred_opti_data!C661)*loans_pred_opti_data!D661</f>
        <v>196.4851131097538</v>
      </c>
    </row>
    <row r="662" spans="1:3" x14ac:dyDescent="0.2">
      <c r="A662" s="1">
        <v>0</v>
      </c>
      <c r="B662">
        <f>loans_pred_opti_data!D662*loans_pred_opti_data!B662</f>
        <v>423.20935165738797</v>
      </c>
      <c r="C662">
        <f>(loans_pred_opti_data!B662-ret_PESS!$G$35*loans_pred_opti_data!C662)*loans_pred_opti_data!D662</f>
        <v>358.47588409174762</v>
      </c>
    </row>
    <row r="663" spans="1:3" x14ac:dyDescent="0.2">
      <c r="A663" s="1">
        <v>0</v>
      </c>
      <c r="B663">
        <f>loans_pred_opti_data!D663*loans_pred_opti_data!B663</f>
        <v>579.71747909821795</v>
      </c>
      <c r="C663">
        <f>(loans_pred_opti_data!B663-ret_PESS!$G$35*loans_pred_opti_data!C663)*loans_pred_opti_data!D663</f>
        <v>525.77292279351764</v>
      </c>
    </row>
    <row r="664" spans="1:3" x14ac:dyDescent="0.2">
      <c r="A664" s="1">
        <v>0</v>
      </c>
      <c r="B664">
        <f>loans_pred_opti_data!D664*loans_pred_opti_data!B664</f>
        <v>75.569168878572398</v>
      </c>
      <c r="C664">
        <f>(loans_pred_opti_data!B664-ret_PESS!$G$35*loans_pred_opti_data!C664)*loans_pred_opti_data!D664</f>
        <v>-94.028192751834624</v>
      </c>
    </row>
    <row r="665" spans="1:3" x14ac:dyDescent="0.2">
      <c r="A665" s="1">
        <v>0</v>
      </c>
      <c r="B665">
        <f>loans_pred_opti_data!D665*loans_pred_opti_data!B665</f>
        <v>42.635690405093811</v>
      </c>
      <c r="C665">
        <f>(loans_pred_opti_data!B665-ret_PESS!$G$35*loans_pred_opti_data!C665)*loans_pred_opti_data!D665</f>
        <v>28.578020597692593</v>
      </c>
    </row>
    <row r="666" spans="1:3" x14ac:dyDescent="0.2">
      <c r="A666" s="1">
        <v>0</v>
      </c>
      <c r="B666">
        <f>loans_pred_opti_data!D666*loans_pred_opti_data!B666</f>
        <v>831.60463772175365</v>
      </c>
      <c r="C666">
        <f>(loans_pred_opti_data!B666-ret_PESS!$G$35*loans_pred_opti_data!C666)*loans_pred_opti_data!D666</f>
        <v>702.13770259047294</v>
      </c>
    </row>
    <row r="667" spans="1:3" x14ac:dyDescent="0.2">
      <c r="A667" s="1">
        <v>0</v>
      </c>
      <c r="B667">
        <f>loans_pred_opti_data!D667*loans_pred_opti_data!B667</f>
        <v>82.468218908843397</v>
      </c>
      <c r="C667">
        <f>(loans_pred_opti_data!B667-ret_PESS!$G$35*loans_pred_opti_data!C667)*loans_pred_opti_data!D667</f>
        <v>-87.129142721563625</v>
      </c>
    </row>
    <row r="668" spans="1:3" x14ac:dyDescent="0.2">
      <c r="A668" s="1">
        <v>0</v>
      </c>
      <c r="B668">
        <f>loans_pred_opti_data!D668*loans_pred_opti_data!B668</f>
        <v>800.83642368110122</v>
      </c>
      <c r="C668">
        <f>(loans_pred_opti_data!B668-ret_PESS!$G$35*loans_pred_opti_data!C668)*loans_pred_opti_data!D668</f>
        <v>601.559523765373</v>
      </c>
    </row>
    <row r="669" spans="1:3" x14ac:dyDescent="0.2">
      <c r="A669" s="1">
        <v>0</v>
      </c>
      <c r="B669">
        <f>loans_pred_opti_data!D669*loans_pred_opti_data!B669</f>
        <v>437.19805888819678</v>
      </c>
      <c r="C669">
        <f>(loans_pred_opti_data!B669-ret_PESS!$G$35*loans_pred_opti_data!C669)*loans_pred_opti_data!D669</f>
        <v>344.73304454388403</v>
      </c>
    </row>
    <row r="670" spans="1:3" x14ac:dyDescent="0.2">
      <c r="A670" s="1">
        <v>0</v>
      </c>
      <c r="B670">
        <f>loans_pred_opti_data!D670*loans_pred_opti_data!B670</f>
        <v>237.30779149686802</v>
      </c>
      <c r="C670">
        <f>(loans_pred_opti_data!B670-ret_PESS!$G$35*loans_pred_opti_data!C670)*loans_pred_opti_data!D670</f>
        <v>155.79861928967131</v>
      </c>
    </row>
    <row r="671" spans="1:3" x14ac:dyDescent="0.2">
      <c r="A671" s="1">
        <v>1</v>
      </c>
      <c r="B671">
        <f>loans_pred_opti_data!D671*loans_pred_opti_data!B671</f>
        <v>153.5287191714929</v>
      </c>
      <c r="C671">
        <f>(loans_pred_opti_data!B671-ret_PESS!$G$35*loans_pred_opti_data!C671)*loans_pred_opti_data!D671</f>
        <v>105.92007742376074</v>
      </c>
    </row>
    <row r="672" spans="1:3" x14ac:dyDescent="0.2">
      <c r="A672" s="1">
        <v>0</v>
      </c>
      <c r="B672">
        <f>loans_pred_opti_data!D672*loans_pred_opti_data!B672</f>
        <v>543.36340934682482</v>
      </c>
      <c r="C672">
        <f>(loans_pred_opti_data!B672-ret_PESS!$G$35*loans_pred_opti_data!C672)*loans_pred_opti_data!D672</f>
        <v>367.8301400593536</v>
      </c>
    </row>
    <row r="673" spans="1:3" x14ac:dyDescent="0.2">
      <c r="A673" s="1">
        <v>0</v>
      </c>
      <c r="B673">
        <f>loans_pred_opti_data!D673*loans_pred_opti_data!B673</f>
        <v>-99.776876016086234</v>
      </c>
      <c r="C673">
        <f>(loans_pred_opti_data!B673-ret_PESS!$G$35*loans_pred_opti_data!C673)*loans_pred_opti_data!D673</f>
        <v>-236.30473946314069</v>
      </c>
    </row>
    <row r="674" spans="1:3" x14ac:dyDescent="0.2">
      <c r="A674" s="1">
        <v>0</v>
      </c>
      <c r="B674">
        <f>loans_pred_opti_data!D674*loans_pred_opti_data!B674</f>
        <v>483.67028894623047</v>
      </c>
      <c r="C674">
        <f>(loans_pred_opti_data!B674-ret_PESS!$G$35*loans_pred_opti_data!C674)*loans_pred_opti_data!D674</f>
        <v>361.40653063543539</v>
      </c>
    </row>
    <row r="675" spans="1:3" x14ac:dyDescent="0.2">
      <c r="A675" s="1">
        <v>0</v>
      </c>
      <c r="B675">
        <f>loans_pred_opti_data!D675*loans_pred_opti_data!B675</f>
        <v>701.43220178460717</v>
      </c>
      <c r="C675">
        <f>(loans_pred_opti_data!B675-ret_PESS!$G$35*loans_pred_opti_data!C675)*loans_pred_opti_data!D675</f>
        <v>607.97325798671386</v>
      </c>
    </row>
    <row r="676" spans="1:3" x14ac:dyDescent="0.2">
      <c r="A676" s="1">
        <v>0</v>
      </c>
      <c r="B676">
        <f>loans_pred_opti_data!D676*loans_pred_opti_data!B676</f>
        <v>95.341040447319813</v>
      </c>
      <c r="C676">
        <f>(loans_pred_opti_data!B676-ret_PESS!$G$35*loans_pred_opti_data!C676)*loans_pred_opti_data!D676</f>
        <v>73.333563951376689</v>
      </c>
    </row>
    <row r="677" spans="1:3" x14ac:dyDescent="0.2">
      <c r="A677" s="1">
        <v>0</v>
      </c>
      <c r="B677">
        <f>loans_pred_opti_data!D677*loans_pred_opti_data!B677</f>
        <v>292.25150424967586</v>
      </c>
      <c r="C677">
        <f>(loans_pred_opti_data!B677-ret_PESS!$G$35*loans_pred_opti_data!C677)*loans_pred_opti_data!D677</f>
        <v>224.77468917415004</v>
      </c>
    </row>
    <row r="678" spans="1:3" x14ac:dyDescent="0.2">
      <c r="A678" s="1">
        <v>0</v>
      </c>
      <c r="B678">
        <f>loans_pred_opti_data!D678*loans_pred_opti_data!B678</f>
        <v>1193.7651586988015</v>
      </c>
      <c r="C678">
        <f>(loans_pred_opti_data!B678-ret_PESS!$G$35*loans_pred_opti_data!C678)*loans_pred_opti_data!D678</f>
        <v>1004.9592116323504</v>
      </c>
    </row>
    <row r="679" spans="1:3" x14ac:dyDescent="0.2">
      <c r="A679" s="1">
        <v>0</v>
      </c>
      <c r="B679">
        <f>loans_pred_opti_data!D679*loans_pred_opti_data!B679</f>
        <v>-122.538579080801</v>
      </c>
      <c r="C679">
        <f>(loans_pred_opti_data!B679-ret_PESS!$G$35*loans_pred_opti_data!C679)*loans_pred_opti_data!D679</f>
        <v>-292.13594071120804</v>
      </c>
    </row>
    <row r="680" spans="1:3" x14ac:dyDescent="0.2">
      <c r="A680" s="1">
        <v>0</v>
      </c>
      <c r="B680">
        <f>loans_pred_opti_data!D680*loans_pred_opti_data!B680</f>
        <v>-64.978002058642616</v>
      </c>
      <c r="C680">
        <f>(loans_pred_opti_data!B680-ret_PESS!$G$35*loans_pred_opti_data!C680)*loans_pred_opti_data!D680</f>
        <v>-241.35925815426589</v>
      </c>
    </row>
    <row r="681" spans="1:3" x14ac:dyDescent="0.2">
      <c r="A681" s="1">
        <v>0</v>
      </c>
      <c r="B681">
        <f>loans_pred_opti_data!D681*loans_pred_opti_data!B681</f>
        <v>1452.742967299841</v>
      </c>
      <c r="C681">
        <f>(loans_pred_opti_data!B681-ret_PESS!$G$35*loans_pred_opti_data!C681)*loans_pred_opti_data!D681</f>
        <v>1155.9475844466285</v>
      </c>
    </row>
    <row r="682" spans="1:3" x14ac:dyDescent="0.2">
      <c r="A682" s="1">
        <v>0</v>
      </c>
      <c r="B682">
        <f>loans_pred_opti_data!D682*loans_pred_opti_data!B682</f>
        <v>282.95342556757595</v>
      </c>
      <c r="C682">
        <f>(loans_pred_opti_data!B682-ret_PESS!$G$35*loans_pred_opti_data!C682)*loans_pred_opti_data!D682</f>
        <v>199.8140699162353</v>
      </c>
    </row>
    <row r="683" spans="1:3" x14ac:dyDescent="0.2">
      <c r="A683" s="1">
        <v>0</v>
      </c>
      <c r="B683">
        <f>loans_pred_opti_data!D683*loans_pred_opti_data!B683</f>
        <v>-35.640521726955839</v>
      </c>
      <c r="C683">
        <f>(loans_pred_opti_data!B683-ret_PESS!$G$35*loans_pred_opti_data!C683)*loans_pred_opti_data!D683</f>
        <v>-171.31841103128144</v>
      </c>
    </row>
    <row r="684" spans="1:3" x14ac:dyDescent="0.2">
      <c r="A684" s="1">
        <v>0</v>
      </c>
      <c r="B684">
        <f>loans_pred_opti_data!D684*loans_pred_opti_data!B684</f>
        <v>106.2618040156518</v>
      </c>
      <c r="C684">
        <f>(loans_pred_opti_data!B684-ret_PESS!$G$35*loans_pred_opti_data!C684)*loans_pred_opti_data!D684</f>
        <v>57.356300691333779</v>
      </c>
    </row>
    <row r="685" spans="1:3" x14ac:dyDescent="0.2">
      <c r="A685" s="1">
        <v>0</v>
      </c>
      <c r="B685">
        <f>loans_pred_opti_data!D685*loans_pred_opti_data!B685</f>
        <v>-131.3071200871741</v>
      </c>
      <c r="C685">
        <f>(loans_pred_opti_data!B685-ret_PESS!$G$35*loans_pred_opti_data!C685)*loans_pred_opti_data!D685</f>
        <v>-286.06471257492046</v>
      </c>
    </row>
    <row r="686" spans="1:3" x14ac:dyDescent="0.2">
      <c r="A686" s="1">
        <v>0</v>
      </c>
      <c r="B686">
        <f>loans_pred_opti_data!D686*loans_pred_opti_data!B686</f>
        <v>-181.1054617945112</v>
      </c>
      <c r="C686">
        <f>(loans_pred_opti_data!B686-ret_PESS!$G$35*loans_pred_opti_data!C686)*loans_pred_opti_data!D686</f>
        <v>-350.70282342491822</v>
      </c>
    </row>
    <row r="687" spans="1:3" x14ac:dyDescent="0.2">
      <c r="A687" s="1">
        <v>0</v>
      </c>
      <c r="B687">
        <f>loans_pred_opti_data!D687*loans_pred_opti_data!B687</f>
        <v>-50.120241582375726</v>
      </c>
      <c r="C687">
        <f>(loans_pred_opti_data!B687-ret_PESS!$G$35*loans_pred_opti_data!C687)*loans_pred_opti_data!D687</f>
        <v>-228.19747129430309</v>
      </c>
    </row>
    <row r="688" spans="1:3" x14ac:dyDescent="0.2">
      <c r="A688" s="1">
        <v>0</v>
      </c>
      <c r="B688">
        <f>loans_pred_opti_data!D688*loans_pred_opti_data!B688</f>
        <v>523.85611497652837</v>
      </c>
      <c r="C688">
        <f>(loans_pred_opti_data!B688-ret_PESS!$G$35*loans_pred_opti_data!C688)*loans_pred_opti_data!D688</f>
        <v>428.49038349410819</v>
      </c>
    </row>
    <row r="689" spans="1:3" x14ac:dyDescent="0.2">
      <c r="A689" s="1">
        <v>0</v>
      </c>
      <c r="B689">
        <f>loans_pred_opti_data!D689*loans_pred_opti_data!B689</f>
        <v>642.74101906836961</v>
      </c>
      <c r="C689">
        <f>(loans_pred_opti_data!B689-ret_PESS!$G$35*loans_pred_opti_data!C689)*loans_pred_opti_data!D689</f>
        <v>496.02450909541557</v>
      </c>
    </row>
    <row r="690" spans="1:3" x14ac:dyDescent="0.2">
      <c r="A690" s="1">
        <v>0</v>
      </c>
      <c r="B690">
        <f>loans_pred_opti_data!D690*loans_pred_opti_data!B690</f>
        <v>100.11363242833716</v>
      </c>
      <c r="C690">
        <f>(loans_pred_opti_data!B690-ret_PESS!$G$35*loans_pred_opti_data!C690)*loans_pred_opti_data!D690</f>
        <v>7.6486180840244327</v>
      </c>
    </row>
    <row r="691" spans="1:3" x14ac:dyDescent="0.2">
      <c r="A691" s="1">
        <v>0</v>
      </c>
      <c r="B691">
        <f>loans_pred_opti_data!D691*loans_pred_opti_data!B691</f>
        <v>550.07839832703996</v>
      </c>
      <c r="C691">
        <f>(loans_pred_opti_data!B691-ret_PESS!$G$35*loans_pred_opti_data!C691)*loans_pred_opti_data!D691</f>
        <v>442.18928571763939</v>
      </c>
    </row>
    <row r="692" spans="1:3" x14ac:dyDescent="0.2">
      <c r="A692" s="1">
        <v>1</v>
      </c>
      <c r="B692">
        <f>loans_pred_opti_data!D692*loans_pred_opti_data!B692</f>
        <v>69.511966806693991</v>
      </c>
      <c r="C692">
        <f>(loans_pred_opti_data!B692-ret_PESS!$G$35*loans_pred_opti_data!C692)*loans_pred_opti_data!D692</f>
        <v>9.5325756284487948</v>
      </c>
    </row>
    <row r="693" spans="1:3" x14ac:dyDescent="0.2">
      <c r="A693" s="1">
        <v>0</v>
      </c>
      <c r="B693">
        <f>loans_pred_opti_data!D693*loans_pred_opti_data!B693</f>
        <v>233.76075083754208</v>
      </c>
      <c r="C693">
        <f>(loans_pred_opti_data!B693-ret_PESS!$G$35*loans_pred_opti_data!C693)*loans_pred_opti_data!D693</f>
        <v>166.28393576201626</v>
      </c>
    </row>
    <row r="694" spans="1:3" x14ac:dyDescent="0.2">
      <c r="A694" s="1">
        <v>0</v>
      </c>
      <c r="B694">
        <f>loans_pred_opti_data!D694*loans_pred_opti_data!B694</f>
        <v>250.90501630587499</v>
      </c>
      <c r="C694">
        <f>(loans_pred_opti_data!B694-ret_PESS!$G$35*loans_pred_opti_data!C694)*loans_pred_opti_data!D694</f>
        <v>169.39584409867828</v>
      </c>
    </row>
    <row r="695" spans="1:3" x14ac:dyDescent="0.2">
      <c r="A695" s="1">
        <v>0</v>
      </c>
      <c r="B695">
        <f>loans_pred_opti_data!D695*loans_pred_opti_data!B695</f>
        <v>786.07487454791806</v>
      </c>
      <c r="C695">
        <f>(loans_pred_opti_data!B695-ret_PESS!$G$35*loans_pred_opti_data!C695)*loans_pred_opti_data!D695</f>
        <v>678.18576193851743</v>
      </c>
    </row>
    <row r="696" spans="1:3" x14ac:dyDescent="0.2">
      <c r="A696" s="1">
        <v>0</v>
      </c>
      <c r="B696">
        <f>loans_pred_opti_data!D696*loans_pred_opti_data!B696</f>
        <v>502.66019354371207</v>
      </c>
      <c r="C696">
        <f>(loans_pred_opti_data!B696-ret_PESS!$G$35*loans_pred_opti_data!C696)*loans_pred_opti_data!D696</f>
        <v>372.24551801219729</v>
      </c>
    </row>
    <row r="697" spans="1:3" x14ac:dyDescent="0.2">
      <c r="A697" s="1">
        <v>0</v>
      </c>
      <c r="B697">
        <f>loans_pred_opti_data!D697*loans_pred_opti_data!B697</f>
        <v>452.44947243027366</v>
      </c>
      <c r="C697">
        <f>(loans_pred_opti_data!B697-ret_PESS!$G$35*loans_pred_opti_data!C697)*loans_pred_opti_data!D697</f>
        <v>387.71600486463331</v>
      </c>
    </row>
    <row r="698" spans="1:3" x14ac:dyDescent="0.2">
      <c r="A698" s="1">
        <v>0</v>
      </c>
      <c r="B698">
        <f>loans_pred_opti_data!D698*loans_pred_opti_data!B698</f>
        <v>220.50498088408398</v>
      </c>
      <c r="C698">
        <f>(loans_pred_opti_data!B698-ret_PESS!$G$35*loans_pred_opti_data!C698)*loans_pred_opti_data!D698</f>
        <v>155.29764311832662</v>
      </c>
    </row>
    <row r="699" spans="1:3" x14ac:dyDescent="0.2">
      <c r="A699" s="1">
        <v>0</v>
      </c>
      <c r="B699">
        <f>loans_pred_opti_data!D699*loans_pred_opti_data!B699</f>
        <v>390.09840214130702</v>
      </c>
      <c r="C699">
        <f>(loans_pred_opti_data!B699-ret_PESS!$G$35*loans_pred_opti_data!C699)*loans_pred_opti_data!D699</f>
        <v>309.18156768425655</v>
      </c>
    </row>
    <row r="700" spans="1:3" x14ac:dyDescent="0.2">
      <c r="A700" s="1">
        <v>1</v>
      </c>
      <c r="B700">
        <f>loans_pred_opti_data!D700*loans_pred_opti_data!B700</f>
        <v>460.78249448712478</v>
      </c>
      <c r="C700">
        <f>(loans_pred_opti_data!B700-ret_PESS!$G$35*loans_pred_opti_data!C700)*loans_pred_opti_data!D700</f>
        <v>370.81340771975698</v>
      </c>
    </row>
    <row r="701" spans="1:3" x14ac:dyDescent="0.2">
      <c r="A701" s="1">
        <v>0</v>
      </c>
      <c r="B701">
        <f>loans_pred_opti_data!D701*loans_pred_opti_data!B701</f>
        <v>265.29746661066298</v>
      </c>
      <c r="C701">
        <f>(loans_pred_opti_data!B701-ret_PESS!$G$35*loans_pred_opti_data!C701)*loans_pred_opti_data!D701</f>
        <v>188.24328799040239</v>
      </c>
    </row>
    <row r="702" spans="1:3" x14ac:dyDescent="0.2">
      <c r="A702" s="1">
        <v>0</v>
      </c>
      <c r="B702">
        <f>loans_pred_opti_data!D702*loans_pred_opti_data!B702</f>
        <v>475.50376512855564</v>
      </c>
      <c r="C702">
        <f>(loans_pred_opti_data!B702-ret_PESS!$G$35*loans_pred_opti_data!C702)*loans_pred_opti_data!D702</f>
        <v>367.50411195402</v>
      </c>
    </row>
    <row r="703" spans="1:3" x14ac:dyDescent="0.2">
      <c r="A703" s="1">
        <v>0</v>
      </c>
      <c r="B703">
        <f>loans_pred_opti_data!D703*loans_pred_opti_data!B703</f>
        <v>447.16767541855444</v>
      </c>
      <c r="C703">
        <f>(loans_pred_opti_data!B703-ret_PESS!$G$35*loans_pred_opti_data!C703)*loans_pred_opti_data!D703</f>
        <v>345.68875602059455</v>
      </c>
    </row>
    <row r="704" spans="1:3" x14ac:dyDescent="0.2">
      <c r="A704" s="1">
        <v>0</v>
      </c>
      <c r="B704">
        <f>loans_pred_opti_data!D704*loans_pred_opti_data!B704</f>
        <v>164.02073831569049</v>
      </c>
      <c r="C704">
        <f>(loans_pred_opti_data!B704-ret_PESS!$G$35*loans_pred_opti_data!C704)*loans_pred_opti_data!D704</f>
        <v>123.26615221209214</v>
      </c>
    </row>
    <row r="705" spans="1:3" x14ac:dyDescent="0.2">
      <c r="A705" s="1">
        <v>0</v>
      </c>
      <c r="B705">
        <f>loans_pred_opti_data!D705*loans_pred_opti_data!B705</f>
        <v>739.06362541169199</v>
      </c>
      <c r="C705">
        <f>(loans_pred_opti_data!B705-ret_PESS!$G$35*loans_pred_opti_data!C705)*loans_pred_opti_data!D705</f>
        <v>576.04528099729851</v>
      </c>
    </row>
    <row r="706" spans="1:3" x14ac:dyDescent="0.2">
      <c r="A706" s="1">
        <v>0</v>
      </c>
      <c r="B706">
        <f>loans_pred_opti_data!D706*loans_pred_opti_data!B706</f>
        <v>127.35364122268473</v>
      </c>
      <c r="C706">
        <f>(loans_pred_opti_data!B706-ret_PESS!$G$35*loans_pred_opti_data!C706)*loans_pred_opti_data!D706</f>
        <v>-50.723588489242651</v>
      </c>
    </row>
    <row r="707" spans="1:3" x14ac:dyDescent="0.2">
      <c r="A707" s="1">
        <v>0</v>
      </c>
      <c r="B707">
        <f>loans_pred_opti_data!D707*loans_pred_opti_data!B707</f>
        <v>382.46188836859363</v>
      </c>
      <c r="C707">
        <f>(loans_pred_opti_data!B707-ret_PESS!$G$35*loans_pred_opti_data!C707)*loans_pred_opti_data!D707</f>
        <v>298.49074071905034</v>
      </c>
    </row>
    <row r="708" spans="1:3" x14ac:dyDescent="0.2">
      <c r="A708" s="1">
        <v>0</v>
      </c>
      <c r="B708">
        <f>loans_pred_opti_data!D708*loans_pred_opti_data!B708</f>
        <v>75.66512967772681</v>
      </c>
      <c r="C708">
        <f>(loans_pred_opti_data!B708-ret_PESS!$G$35*loans_pred_opti_data!C708)*loans_pred_opti_data!D708</f>
        <v>-36.796228781482952</v>
      </c>
    </row>
    <row r="709" spans="1:3" x14ac:dyDescent="0.2">
      <c r="A709" s="1">
        <v>0</v>
      </c>
      <c r="B709">
        <f>loans_pred_opti_data!D709*loans_pred_opti_data!B709</f>
        <v>230.11455979194</v>
      </c>
      <c r="C709">
        <f>(loans_pred_opti_data!B709-ret_PESS!$G$35*loans_pred_opti_data!C709)*loans_pred_opti_data!D709</f>
        <v>148.60538758474328</v>
      </c>
    </row>
    <row r="710" spans="1:3" x14ac:dyDescent="0.2">
      <c r="A710" s="1">
        <v>0</v>
      </c>
      <c r="B710">
        <f>loans_pred_opti_data!D710*loans_pred_opti_data!B710</f>
        <v>99.79592556597089</v>
      </c>
      <c r="C710">
        <f>(loans_pred_opti_data!B710-ret_PESS!$G$35*loans_pred_opti_data!C710)*loans_pred_opti_data!D710</f>
        <v>75.343173903811874</v>
      </c>
    </row>
    <row r="711" spans="1:3" x14ac:dyDescent="0.2">
      <c r="A711" s="1">
        <v>0</v>
      </c>
      <c r="B711">
        <f>loans_pred_opti_data!D711*loans_pred_opti_data!B711</f>
        <v>120.2607177496232</v>
      </c>
      <c r="C711">
        <f>(loans_pred_opti_data!B711-ret_PESS!$G$35*loans_pred_opti_data!C711)*loans_pred_opti_data!D711</f>
        <v>58.617374853414724</v>
      </c>
    </row>
    <row r="712" spans="1:3" x14ac:dyDescent="0.2">
      <c r="A712" s="1">
        <v>0</v>
      </c>
      <c r="B712">
        <f>loans_pred_opti_data!D712*loans_pred_opti_data!B712</f>
        <v>370.42138121967798</v>
      </c>
      <c r="C712">
        <f>(loans_pred_opti_data!B712-ret_PESS!$G$35*loans_pred_opti_data!C712)*loans_pred_opti_data!D712</f>
        <v>220.47290327406498</v>
      </c>
    </row>
    <row r="713" spans="1:3" x14ac:dyDescent="0.2">
      <c r="A713" s="1">
        <v>0</v>
      </c>
      <c r="B713">
        <f>loans_pred_opti_data!D713*loans_pred_opti_data!B713</f>
        <v>179.889041262099</v>
      </c>
      <c r="C713">
        <f>(loans_pred_opti_data!B713-ret_PESS!$G$35*loans_pred_opti_data!C713)*loans_pred_opti_data!D713</f>
        <v>130.98353793778097</v>
      </c>
    </row>
    <row r="714" spans="1:3" x14ac:dyDescent="0.2">
      <c r="A714" s="1">
        <v>0</v>
      </c>
      <c r="B714">
        <f>loans_pred_opti_data!D714*loans_pred_opti_data!B714</f>
        <v>264.623883605495</v>
      </c>
      <c r="C714">
        <f>(loans_pred_opti_data!B714-ret_PESS!$G$35*loans_pred_opti_data!C714)*loans_pred_opti_data!D714</f>
        <v>183.11471139829831</v>
      </c>
    </row>
    <row r="715" spans="1:3" x14ac:dyDescent="0.2">
      <c r="A715" s="1">
        <v>0</v>
      </c>
      <c r="B715">
        <f>loans_pred_opti_data!D715*loans_pred_opti_data!B715</f>
        <v>206.3543881552356</v>
      </c>
      <c r="C715">
        <f>(loans_pred_opti_data!B715-ret_PESS!$G$35*loans_pred_opti_data!C715)*loans_pred_opti_data!D715</f>
        <v>108.54338150659956</v>
      </c>
    </row>
    <row r="716" spans="1:3" x14ac:dyDescent="0.2">
      <c r="A716" s="1">
        <v>0</v>
      </c>
      <c r="B716">
        <f>loans_pred_opti_data!D716*loans_pred_opti_data!B716</f>
        <v>-110.07704894848908</v>
      </c>
      <c r="C716">
        <f>(loans_pred_opti_data!B716-ret_PESS!$G$35*loans_pred_opti_data!C716)*loans_pred_opti_data!D716</f>
        <v>-207.88805559712515</v>
      </c>
    </row>
    <row r="717" spans="1:3" x14ac:dyDescent="0.2">
      <c r="A717" s="1">
        <v>0</v>
      </c>
      <c r="B717">
        <f>loans_pred_opti_data!D717*loans_pred_opti_data!B717</f>
        <v>992.87990937947256</v>
      </c>
      <c r="C717">
        <f>(loans_pred_opti_data!B717-ret_PESS!$G$35*loans_pred_opti_data!C717)*loans_pred_opti_data!D717</f>
        <v>780.88320734146384</v>
      </c>
    </row>
    <row r="718" spans="1:3" x14ac:dyDescent="0.2">
      <c r="A718" s="1">
        <v>0</v>
      </c>
      <c r="B718">
        <f>loans_pred_opti_data!D718*loans_pred_opti_data!B718</f>
        <v>830.32739915929665</v>
      </c>
      <c r="C718">
        <f>(loans_pred_opti_data!B718-ret_PESS!$G$35*loans_pred_opti_data!C718)*loans_pred_opti_data!D718</f>
        <v>738.35193065978262</v>
      </c>
    </row>
    <row r="719" spans="1:3" x14ac:dyDescent="0.2">
      <c r="A719" s="1">
        <v>0</v>
      </c>
      <c r="B719">
        <f>loans_pred_opti_data!D719*loans_pred_opti_data!B719</f>
        <v>179.7587202329191</v>
      </c>
      <c r="C719">
        <f>(loans_pred_opti_data!B719-ret_PESS!$G$35*loans_pred_opti_data!C719)*loans_pred_opti_data!D719</f>
        <v>131.02546490059487</v>
      </c>
    </row>
    <row r="720" spans="1:3" x14ac:dyDescent="0.2">
      <c r="A720" s="1">
        <v>0</v>
      </c>
      <c r="B720">
        <f>loans_pred_opti_data!D720*loans_pred_opti_data!B720</f>
        <v>193.27003958571439</v>
      </c>
      <c r="C720">
        <f>(loans_pred_opti_data!B720-ret_PESS!$G$35*loans_pred_opti_data!C720)*loans_pred_opti_data!D720</f>
        <v>129.54193645882887</v>
      </c>
    </row>
    <row r="721" spans="1:3" x14ac:dyDescent="0.2">
      <c r="A721" s="1">
        <v>0</v>
      </c>
      <c r="B721">
        <f>loans_pred_opti_data!D721*loans_pred_opti_data!B721</f>
        <v>1205.5937622332353</v>
      </c>
      <c r="C721">
        <f>(loans_pred_opti_data!B721-ret_PESS!$G$35*loans_pred_opti_data!C721)*loans_pred_opti_data!D721</f>
        <v>920.67019469415141</v>
      </c>
    </row>
    <row r="722" spans="1:3" x14ac:dyDescent="0.2">
      <c r="A722" s="1">
        <v>0</v>
      </c>
      <c r="B722">
        <f>loans_pred_opti_data!D722*loans_pred_opti_data!B722</f>
        <v>881.194095109984</v>
      </c>
      <c r="C722">
        <f>(loans_pred_opti_data!B722-ret_PESS!$G$35*loans_pred_opti_data!C722)*loans_pred_opti_data!D722</f>
        <v>773.30498250058349</v>
      </c>
    </row>
    <row r="723" spans="1:3" x14ac:dyDescent="0.2">
      <c r="A723" s="1">
        <v>0</v>
      </c>
      <c r="B723">
        <f>loans_pred_opti_data!D723*loans_pred_opti_data!B723</f>
        <v>107.0566226657477</v>
      </c>
      <c r="C723">
        <f>(loans_pred_opti_data!B723-ret_PESS!$G$35*loans_pred_opti_data!C723)*loans_pred_opti_data!D723</f>
        <v>9.5901120010992447</v>
      </c>
    </row>
    <row r="724" spans="1:3" x14ac:dyDescent="0.2">
      <c r="A724" s="1">
        <v>0</v>
      </c>
      <c r="B724">
        <f>loans_pred_opti_data!D724*loans_pred_opti_data!B724</f>
        <v>330.57816818812563</v>
      </c>
      <c r="C724">
        <f>(loans_pred_opti_data!B724-ret_PESS!$G$35*loans_pred_opti_data!C724)*loans_pred_opti_data!D724</f>
        <v>240.6090814207578</v>
      </c>
    </row>
    <row r="725" spans="1:3" x14ac:dyDescent="0.2">
      <c r="A725" s="1">
        <v>0</v>
      </c>
      <c r="B725">
        <f>loans_pred_opti_data!D725*loans_pred_opti_data!B725</f>
        <v>1160.0321640417169</v>
      </c>
      <c r="C725">
        <f>(loans_pred_opti_data!B725-ret_PESS!$G$35*loans_pred_opti_data!C725)*loans_pred_opti_data!D725</f>
        <v>872.14064267410095</v>
      </c>
    </row>
    <row r="726" spans="1:3" x14ac:dyDescent="0.2">
      <c r="A726" s="1">
        <v>0</v>
      </c>
      <c r="B726">
        <f>loans_pred_opti_data!D726*loans_pred_opti_data!B726</f>
        <v>152.11979368645615</v>
      </c>
      <c r="C726">
        <f>(loans_pred_opti_data!B726-ret_PESS!$G$35*loans_pred_opti_data!C726)*loans_pred_opti_data!D726</f>
        <v>76.112490603245206</v>
      </c>
    </row>
    <row r="727" spans="1:3" x14ac:dyDescent="0.2">
      <c r="A727" s="1">
        <v>0</v>
      </c>
      <c r="B727">
        <f>loans_pred_opti_data!D727*loans_pred_opti_data!B727</f>
        <v>1395.6562744712489</v>
      </c>
      <c r="C727">
        <f>(loans_pred_opti_data!B727-ret_PESS!$G$35*loans_pred_opti_data!C727)*loans_pred_opti_data!D727</f>
        <v>1098.8608916180369</v>
      </c>
    </row>
    <row r="728" spans="1:3" x14ac:dyDescent="0.2">
      <c r="A728" s="1">
        <v>0</v>
      </c>
      <c r="B728">
        <f>loans_pred_opti_data!D728*loans_pred_opti_data!B728</f>
        <v>475.54350584095909</v>
      </c>
      <c r="C728">
        <f>(loans_pred_opti_data!B728-ret_PESS!$G$35*loans_pred_opti_data!C728)*loans_pred_opti_data!D728</f>
        <v>364.69103163917157</v>
      </c>
    </row>
    <row r="729" spans="1:3" x14ac:dyDescent="0.2">
      <c r="A729" s="1">
        <v>0</v>
      </c>
      <c r="B729">
        <f>loans_pred_opti_data!D729*loans_pred_opti_data!B729</f>
        <v>242.04327695812353</v>
      </c>
      <c r="C729">
        <f>(loans_pred_opti_data!B729-ret_PESS!$G$35*loans_pred_opti_data!C729)*loans_pred_opti_data!D729</f>
        <v>129.58191849891375</v>
      </c>
    </row>
    <row r="730" spans="1:3" x14ac:dyDescent="0.2">
      <c r="A730" s="1">
        <v>0</v>
      </c>
      <c r="B730">
        <f>loans_pred_opti_data!D730*loans_pred_opti_data!B730</f>
        <v>357.14260335892681</v>
      </c>
      <c r="C730">
        <f>(loans_pred_opti_data!B730-ret_PESS!$G$35*loans_pred_opti_data!C730)*loans_pred_opti_data!D730</f>
        <v>259.3315967102908</v>
      </c>
    </row>
    <row r="731" spans="1:3" x14ac:dyDescent="0.2">
      <c r="A731" s="1">
        <v>0</v>
      </c>
      <c r="B731">
        <f>loans_pred_opti_data!D731*loans_pred_opti_data!B731</f>
        <v>430.3287267849808</v>
      </c>
      <c r="C731">
        <f>(loans_pred_opti_data!B731-ret_PESS!$G$35*loans_pred_opti_data!C731)*loans_pred_opti_data!D731</f>
        <v>294.65083748065518</v>
      </c>
    </row>
    <row r="732" spans="1:3" x14ac:dyDescent="0.2">
      <c r="A732" s="1">
        <v>0</v>
      </c>
      <c r="B732">
        <f>loans_pred_opti_data!D732*loans_pred_opti_data!B732</f>
        <v>51.787157991615402</v>
      </c>
      <c r="C732">
        <f>(loans_pred_opti_data!B732-ret_PESS!$G$35*loans_pred_opti_data!C732)*loans_pred_opti_data!D732</f>
        <v>36.792310197054107</v>
      </c>
    </row>
    <row r="733" spans="1:3" x14ac:dyDescent="0.2">
      <c r="A733" s="1">
        <v>0</v>
      </c>
      <c r="B733">
        <f>loans_pred_opti_data!D733*loans_pred_opti_data!B733</f>
        <v>136.589140352241</v>
      </c>
      <c r="C733">
        <f>(loans_pred_opti_data!B733-ret_PESS!$G$35*loans_pred_opti_data!C733)*loans_pred_opti_data!D733</f>
        <v>98.06205104211071</v>
      </c>
    </row>
    <row r="734" spans="1:3" x14ac:dyDescent="0.2">
      <c r="A734" s="1">
        <v>0</v>
      </c>
      <c r="B734">
        <f>loans_pred_opti_data!D734*loans_pred_opti_data!B734</f>
        <v>302.13611044866298</v>
      </c>
      <c r="C734">
        <f>(loans_pred_opti_data!B734-ret_PESS!$G$35*loans_pred_opti_data!C734)*loans_pred_opti_data!D734</f>
        <v>189.67475198945323</v>
      </c>
    </row>
    <row r="735" spans="1:3" x14ac:dyDescent="0.2">
      <c r="A735" s="1">
        <v>0</v>
      </c>
      <c r="B735">
        <f>loans_pred_opti_data!D735*loans_pred_opti_data!B735</f>
        <v>223.76643138967273</v>
      </c>
      <c r="C735">
        <f>(loans_pred_opti_data!B735-ret_PESS!$G$35*loans_pred_opti_data!C735)*loans_pred_opti_data!D735</f>
        <v>177.65727442139672</v>
      </c>
    </row>
    <row r="736" spans="1:3" x14ac:dyDescent="0.2">
      <c r="A736" s="1">
        <v>0</v>
      </c>
      <c r="B736">
        <f>loans_pred_opti_data!D736*loans_pred_opti_data!B736</f>
        <v>437.93196057686038</v>
      </c>
      <c r="C736">
        <f>(loans_pred_opti_data!B736-ret_PESS!$G$35*loans_pred_opti_data!C736)*loans_pred_opti_data!D736</f>
        <v>332.9680260149313</v>
      </c>
    </row>
    <row r="737" spans="1:3" x14ac:dyDescent="0.2">
      <c r="A737" s="1">
        <v>1</v>
      </c>
      <c r="B737">
        <f>loans_pred_opti_data!D737*loans_pred_opti_data!B737</f>
        <v>767.87354423944396</v>
      </c>
      <c r="C737">
        <f>(loans_pred_opti_data!B737-ret_PESS!$G$35*loans_pred_opti_data!C737)*loans_pred_opti_data!D737</f>
        <v>598.27618260903694</v>
      </c>
    </row>
    <row r="738" spans="1:3" x14ac:dyDescent="0.2">
      <c r="A738" s="1">
        <v>0</v>
      </c>
      <c r="B738">
        <f>loans_pred_opti_data!D738*loans_pred_opti_data!B738</f>
        <v>-97.065252872406731</v>
      </c>
      <c r="C738">
        <f>(loans_pred_opti_data!B738-ret_PESS!$G$35*loans_pred_opti_data!C738)*loans_pred_opti_data!D738</f>
        <v>-362.48512382399372</v>
      </c>
    </row>
    <row r="739" spans="1:3" x14ac:dyDescent="0.2">
      <c r="A739" s="1">
        <v>0</v>
      </c>
      <c r="B739">
        <f>loans_pred_opti_data!D739*loans_pred_opti_data!B739</f>
        <v>343.08583043484902</v>
      </c>
      <c r="C739">
        <f>(loans_pred_opti_data!B739-ret_PESS!$G$35*loans_pred_opti_data!C739)*loans_pred_opti_data!D739</f>
        <v>268.1115914620425</v>
      </c>
    </row>
    <row r="740" spans="1:3" x14ac:dyDescent="0.2">
      <c r="A740" s="1">
        <v>0</v>
      </c>
      <c r="B740">
        <f>loans_pred_opti_data!D740*loans_pred_opti_data!B740</f>
        <v>686.36131476566061</v>
      </c>
      <c r="C740">
        <f>(loans_pred_opti_data!B740-ret_PESS!$G$35*loans_pred_opti_data!C740)*loans_pred_opti_data!D740</f>
        <v>499.80421697221283</v>
      </c>
    </row>
    <row r="741" spans="1:3" x14ac:dyDescent="0.2">
      <c r="A741" s="1">
        <v>0</v>
      </c>
      <c r="B741">
        <f>loans_pred_opti_data!D741*loans_pred_opti_data!B741</f>
        <v>392.69234961483897</v>
      </c>
      <c r="C741">
        <f>(loans_pred_opti_data!B741-ret_PESS!$G$35*loans_pred_opti_data!C741)*loans_pred_opti_data!D741</f>
        <v>280.23099115562917</v>
      </c>
    </row>
    <row r="742" spans="1:3" x14ac:dyDescent="0.2">
      <c r="A742" s="1">
        <v>0</v>
      </c>
      <c r="B742">
        <f>loans_pred_opti_data!D742*loans_pred_opti_data!B742</f>
        <v>498.65388173346003</v>
      </c>
      <c r="C742">
        <f>(loans_pred_opti_data!B742-ret_PESS!$G$35*loans_pred_opti_data!C742)*loans_pred_opti_data!D742</f>
        <v>335.63553731906654</v>
      </c>
    </row>
    <row r="743" spans="1:3" x14ac:dyDescent="0.2">
      <c r="A743" s="1">
        <v>0</v>
      </c>
      <c r="B743">
        <f>loans_pred_opti_data!D743*loans_pred_opti_data!B743</f>
        <v>133.71619267627364</v>
      </c>
      <c r="C743">
        <f>(loans_pred_opti_data!B743-ret_PESS!$G$35*loans_pred_opti_data!C743)*loans_pred_opti_data!D743</f>
        <v>-18.921432791092695</v>
      </c>
    </row>
    <row r="744" spans="1:3" x14ac:dyDescent="0.2">
      <c r="A744" s="1">
        <v>0</v>
      </c>
      <c r="B744">
        <f>loans_pred_opti_data!D744*loans_pred_opti_data!B744</f>
        <v>223.74993831872254</v>
      </c>
      <c r="C744">
        <f>(loans_pred_opti_data!B744-ret_PESS!$G$35*loans_pred_opti_data!C744)*loans_pred_opti_data!D744</f>
        <v>151.7746689048283</v>
      </c>
    </row>
    <row r="745" spans="1:3" x14ac:dyDescent="0.2">
      <c r="A745" s="1">
        <v>0</v>
      </c>
      <c r="B745">
        <f>loans_pred_opti_data!D745*loans_pred_opti_data!B745</f>
        <v>492.28543686218256</v>
      </c>
      <c r="C745">
        <f>(loans_pred_opti_data!B745-ret_PESS!$G$35*loans_pred_opti_data!C745)*loans_pred_opti_data!D745</f>
        <v>374.9122288838193</v>
      </c>
    </row>
    <row r="746" spans="1:3" x14ac:dyDescent="0.2">
      <c r="A746" s="1">
        <v>0</v>
      </c>
      <c r="B746">
        <f>loans_pred_opti_data!D746*loans_pred_opti_data!B746</f>
        <v>68.288069337735607</v>
      </c>
      <c r="C746">
        <f>(loans_pred_opti_data!B746-ret_PESS!$G$35*loans_pred_opti_data!C746)*loans_pred_opti_data!D746</f>
        <v>-21.372020090180765</v>
      </c>
    </row>
    <row r="747" spans="1:3" x14ac:dyDescent="0.2">
      <c r="A747" s="1">
        <v>0</v>
      </c>
      <c r="B747">
        <f>loans_pred_opti_data!D747*loans_pred_opti_data!B747</f>
        <v>361.86328239921437</v>
      </c>
      <c r="C747">
        <f>(loans_pred_opti_data!B747-ret_PESS!$G$35*loans_pred_opti_data!C747)*loans_pred_opti_data!D747</f>
        <v>210.81852474605355</v>
      </c>
    </row>
    <row r="748" spans="1:3" x14ac:dyDescent="0.2">
      <c r="A748" s="1">
        <v>0</v>
      </c>
      <c r="B748">
        <f>loans_pred_opti_data!D748*loans_pred_opti_data!B748</f>
        <v>120.56033324288001</v>
      </c>
      <c r="C748">
        <f>(loans_pred_opti_data!B748-ret_PESS!$G$35*loans_pred_opti_data!C748)*loans_pred_opti_data!D748</f>
        <v>79.805747139281635</v>
      </c>
    </row>
    <row r="749" spans="1:3" x14ac:dyDescent="0.2">
      <c r="A749" s="1">
        <v>0</v>
      </c>
      <c r="B749">
        <f>loans_pred_opti_data!D749*loans_pred_opti_data!B749</f>
        <v>406.32025683073437</v>
      </c>
      <c r="C749">
        <f>(loans_pred_opti_data!B749-ret_PESS!$G$35*loans_pred_opti_data!C749)*loans_pred_opti_data!D749</f>
        <v>316.35117006336657</v>
      </c>
    </row>
    <row r="750" spans="1:3" x14ac:dyDescent="0.2">
      <c r="A750" s="1">
        <v>0</v>
      </c>
      <c r="B750">
        <f>loans_pred_opti_data!D750*loans_pred_opti_data!B750</f>
        <v>1239.3434472342303</v>
      </c>
      <c r="C750">
        <f>(loans_pred_opti_data!B750-ret_PESS!$G$35*loans_pred_opti_data!C750)*loans_pred_opti_data!D750</f>
        <v>951.02793246253827</v>
      </c>
    </row>
    <row r="751" spans="1:3" x14ac:dyDescent="0.2">
      <c r="A751" s="1">
        <v>0</v>
      </c>
      <c r="B751">
        <f>loans_pred_opti_data!D751*loans_pred_opti_data!B751</f>
        <v>500.57615594903547</v>
      </c>
      <c r="C751">
        <f>(loans_pred_opti_data!B751-ret_PESS!$G$35*loans_pred_opti_data!C751)*loans_pred_opti_data!D751</f>
        <v>388.11479748982572</v>
      </c>
    </row>
    <row r="752" spans="1:3" x14ac:dyDescent="0.2">
      <c r="A752" s="1">
        <v>0</v>
      </c>
      <c r="B752">
        <f>loans_pred_opti_data!D752*loans_pred_opti_data!B752</f>
        <v>9.7135038026381082</v>
      </c>
      <c r="C752">
        <f>(loans_pred_opti_data!B752-ret_PESS!$G$35*loans_pred_opti_data!C752)*loans_pred_opti_data!D752</f>
        <v>-121.51626345094859</v>
      </c>
    </row>
    <row r="753" spans="1:3" x14ac:dyDescent="0.2">
      <c r="A753" s="1">
        <v>0</v>
      </c>
      <c r="B753">
        <f>loans_pred_opti_data!D753*loans_pred_opti_data!B753</f>
        <v>239.79279869188036</v>
      </c>
      <c r="C753">
        <f>(loans_pred_opti_data!B753-ret_PESS!$G$35*loans_pred_opti_data!C753)*loans_pred_opti_data!D753</f>
        <v>-57.002584161331932</v>
      </c>
    </row>
    <row r="754" spans="1:3" x14ac:dyDescent="0.2">
      <c r="A754" s="1">
        <v>0</v>
      </c>
      <c r="B754">
        <f>loans_pred_opti_data!D754*loans_pred_opti_data!B754</f>
        <v>82.339171324110993</v>
      </c>
      <c r="C754">
        <f>(loans_pred_opti_data!B754-ret_PESS!$G$35*loans_pred_opti_data!C754)*loans_pred_opti_data!D754</f>
        <v>44.852051837707748</v>
      </c>
    </row>
    <row r="755" spans="1:3" x14ac:dyDescent="0.2">
      <c r="A755" s="1">
        <v>0</v>
      </c>
      <c r="B755">
        <f>loans_pred_opti_data!D755*loans_pred_opti_data!B755</f>
        <v>301.49034246511502</v>
      </c>
      <c r="C755">
        <f>(loans_pred_opti_data!B755-ret_PESS!$G$35*loans_pred_opti_data!C755)*loans_pred_opti_data!D755</f>
        <v>217.9434409527384</v>
      </c>
    </row>
    <row r="756" spans="1:3" x14ac:dyDescent="0.2">
      <c r="A756" s="1">
        <v>0</v>
      </c>
      <c r="B756">
        <f>loans_pred_opti_data!D756*loans_pred_opti_data!B756</f>
        <v>414.01433679593049</v>
      </c>
      <c r="C756">
        <f>(loans_pred_opti_data!B756-ret_PESS!$G$35*loans_pred_opti_data!C756)*loans_pred_opti_data!D756</f>
        <v>306.01468362139485</v>
      </c>
    </row>
    <row r="757" spans="1:3" x14ac:dyDescent="0.2">
      <c r="A757" s="1">
        <v>0</v>
      </c>
      <c r="B757">
        <f>loans_pred_opti_data!D757*loans_pred_opti_data!B757</f>
        <v>563.13219042075355</v>
      </c>
      <c r="C757">
        <f>(loans_pred_opti_data!B757-ret_PESS!$G$35*loans_pred_opti_data!C757)*loans_pred_opti_data!D757</f>
        <v>443.17340806426319</v>
      </c>
    </row>
    <row r="758" spans="1:3" x14ac:dyDescent="0.2">
      <c r="A758" s="1">
        <v>0</v>
      </c>
      <c r="B758">
        <f>loans_pred_opti_data!D758*loans_pred_opti_data!B758</f>
        <v>353.17672543134597</v>
      </c>
      <c r="C758">
        <f>(loans_pred_opti_data!B758-ret_PESS!$G$35*loans_pred_opti_data!C758)*loans_pred_opti_data!D758</f>
        <v>230.91296712055092</v>
      </c>
    </row>
    <row r="759" spans="1:3" x14ac:dyDescent="0.2">
      <c r="A759" s="1">
        <v>0</v>
      </c>
      <c r="B759">
        <f>loans_pred_opti_data!D759*loans_pred_opti_data!B759</f>
        <v>378.09723293768724</v>
      </c>
      <c r="C759">
        <f>(loans_pred_opti_data!B759-ret_PESS!$G$35*loans_pred_opti_data!C759)*loans_pred_opti_data!D759</f>
        <v>258.48252272362606</v>
      </c>
    </row>
    <row r="760" spans="1:3" x14ac:dyDescent="0.2">
      <c r="A760" s="1">
        <v>0</v>
      </c>
      <c r="B760">
        <f>loans_pred_opti_data!D760*loans_pred_opti_data!B760</f>
        <v>466.08657282365078</v>
      </c>
      <c r="C760">
        <f>(loans_pred_opti_data!B760-ret_PESS!$G$35*loans_pred_opti_data!C760)*loans_pred_opti_data!D760</f>
        <v>379.11645561519526</v>
      </c>
    </row>
    <row r="761" spans="1:3" x14ac:dyDescent="0.2">
      <c r="A761" s="1">
        <v>0</v>
      </c>
      <c r="B761">
        <f>loans_pred_opti_data!D761*loans_pred_opti_data!B761</f>
        <v>537.77123306392389</v>
      </c>
      <c r="C761">
        <f>(loans_pred_opti_data!B761-ret_PESS!$G$35*loans_pred_opti_data!C761)*loans_pred_opti_data!D761</f>
        <v>410.31502681015292</v>
      </c>
    </row>
    <row r="762" spans="1:3" x14ac:dyDescent="0.2">
      <c r="A762" s="1">
        <v>0</v>
      </c>
      <c r="B762">
        <f>loans_pred_opti_data!D762*loans_pred_opti_data!B762</f>
        <v>709.97086008374743</v>
      </c>
      <c r="C762">
        <f>(loans_pred_opti_data!B762-ret_PESS!$G$35*loans_pred_opti_data!C762)*loans_pred_opti_data!D762</f>
        <v>619.34400549185091</v>
      </c>
    </row>
    <row r="763" spans="1:3" x14ac:dyDescent="0.2">
      <c r="A763" s="1">
        <v>1</v>
      </c>
      <c r="B763">
        <f>loans_pred_opti_data!D763*loans_pred_opti_data!B763</f>
        <v>454.2822889067055</v>
      </c>
      <c r="C763">
        <f>(loans_pred_opti_data!B763-ret_PESS!$G$35*loans_pred_opti_data!C763)*loans_pred_opti_data!D763</f>
        <v>341.82093044749575</v>
      </c>
    </row>
    <row r="764" spans="1:3" x14ac:dyDescent="0.2">
      <c r="A764" s="1">
        <v>0</v>
      </c>
      <c r="B764">
        <f>loans_pred_opti_data!D764*loans_pred_opti_data!B764</f>
        <v>876.37773992495681</v>
      </c>
      <c r="C764">
        <f>(loans_pred_opti_data!B764-ret_PESS!$G$35*loans_pred_opti_data!C764)*loans_pred_opti_data!D764</f>
        <v>645.93732480964127</v>
      </c>
    </row>
    <row r="765" spans="1:3" x14ac:dyDescent="0.2">
      <c r="A765" s="1">
        <v>0</v>
      </c>
      <c r="B765">
        <f>loans_pred_opti_data!D765*loans_pred_opti_data!B765</f>
        <v>605.84356171454874</v>
      </c>
      <c r="C765">
        <f>(loans_pred_opti_data!B765-ret_PESS!$G$35*loans_pred_opti_data!C765)*loans_pred_opti_data!D765</f>
        <v>476.37662658326809</v>
      </c>
    </row>
    <row r="766" spans="1:3" x14ac:dyDescent="0.2">
      <c r="A766" s="1">
        <v>0</v>
      </c>
      <c r="B766">
        <f>loans_pred_opti_data!D766*loans_pred_opti_data!B766</f>
        <v>270.383112034146</v>
      </c>
      <c r="C766">
        <f>(loans_pred_opti_data!B766-ret_PESS!$G$35*loans_pred_opti_data!C766)*loans_pred_opti_data!D766</f>
        <v>188.87393982694928</v>
      </c>
    </row>
    <row r="767" spans="1:3" x14ac:dyDescent="0.2">
      <c r="A767" s="1">
        <v>0</v>
      </c>
      <c r="B767">
        <f>loans_pred_opti_data!D767*loans_pred_opti_data!B767</f>
        <v>54.943185972497197</v>
      </c>
      <c r="C767">
        <f>(loans_pred_opti_data!B767-ret_PESS!$G$35*loans_pred_opti_data!C767)*loans_pred_opti_data!D767</f>
        <v>39.948338177935902</v>
      </c>
    </row>
    <row r="768" spans="1:3" x14ac:dyDescent="0.2">
      <c r="A768" s="1">
        <v>0</v>
      </c>
      <c r="B768">
        <f>loans_pred_opti_data!D768*loans_pred_opti_data!B768</f>
        <v>360.85426273871605</v>
      </c>
      <c r="C768">
        <f>(loans_pred_opti_data!B768-ret_PESS!$G$35*loans_pred_opti_data!C768)*loans_pred_opti_data!D768</f>
        <v>279.88208464808503</v>
      </c>
    </row>
    <row r="769" spans="1:3" x14ac:dyDescent="0.2">
      <c r="A769" s="1">
        <v>0</v>
      </c>
      <c r="B769">
        <f>loans_pred_opti_data!D769*loans_pred_opti_data!B769</f>
        <v>365.97779604279202</v>
      </c>
      <c r="C769">
        <f>(loans_pred_opti_data!B769-ret_PESS!$G$35*loans_pred_opti_data!C769)*loans_pred_opti_data!D769</f>
        <v>258.0886834333914</v>
      </c>
    </row>
    <row r="770" spans="1:3" x14ac:dyDescent="0.2">
      <c r="A770" s="1">
        <v>0</v>
      </c>
      <c r="B770">
        <f>loans_pred_opti_data!D770*loans_pred_opti_data!B770</f>
        <v>250.44565608456961</v>
      </c>
      <c r="C770">
        <f>(loans_pred_opti_data!B770-ret_PESS!$G$35*loans_pred_opti_data!C770)*loans_pred_opti_data!D770</f>
        <v>160.47656931720181</v>
      </c>
    </row>
    <row r="771" spans="1:3" x14ac:dyDescent="0.2">
      <c r="A771" s="1">
        <v>0</v>
      </c>
      <c r="B771">
        <f>loans_pred_opti_data!D771*loans_pred_opti_data!B771</f>
        <v>124.79888472056371</v>
      </c>
      <c r="C771">
        <f>(loans_pred_opti_data!B771-ret_PESS!$G$35*loans_pred_opti_data!C771)*loans_pred_opti_data!D771</f>
        <v>91.060477182800767</v>
      </c>
    </row>
    <row r="772" spans="1:3" x14ac:dyDescent="0.2">
      <c r="A772" s="1">
        <v>0</v>
      </c>
      <c r="B772">
        <f>loans_pred_opti_data!D772*loans_pred_opti_data!B772</f>
        <v>286.97219520513931</v>
      </c>
      <c r="C772">
        <f>(loans_pred_opti_data!B772-ret_PESS!$G$35*loans_pred_opti_data!C772)*loans_pred_opti_data!D772</f>
        <v>217.62343444690475</v>
      </c>
    </row>
    <row r="773" spans="1:3" x14ac:dyDescent="0.2">
      <c r="A773" s="1">
        <v>0</v>
      </c>
      <c r="B773">
        <f>loans_pred_opti_data!D773*loans_pred_opti_data!B773</f>
        <v>65.1683899194025</v>
      </c>
      <c r="C773">
        <f>(loans_pred_opti_data!B773-ret_PESS!$G$35*loans_pred_opti_data!C773)*loans_pred_opti_data!D773</f>
        <v>45.904845264337347</v>
      </c>
    </row>
    <row r="774" spans="1:3" x14ac:dyDescent="0.2">
      <c r="A774" s="1">
        <v>0</v>
      </c>
      <c r="B774">
        <f>loans_pred_opti_data!D774*loans_pred_opti_data!B774</f>
        <v>934.52466060094639</v>
      </c>
      <c r="C774">
        <f>(loans_pred_opti_data!B774-ret_PESS!$G$35*loans_pred_opti_data!C774)*loans_pred_opti_data!D774</f>
        <v>703.87224878359291</v>
      </c>
    </row>
    <row r="775" spans="1:3" x14ac:dyDescent="0.2">
      <c r="A775" s="1">
        <v>0</v>
      </c>
      <c r="B775">
        <f>loans_pred_opti_data!D775*loans_pred_opti_data!B775</f>
        <v>1091.5278150653401</v>
      </c>
      <c r="C775">
        <f>(loans_pred_opti_data!B775-ret_PESS!$G$35*loans_pred_opti_data!C775)*loans_pred_opti_data!D775</f>
        <v>837.13177261972953</v>
      </c>
    </row>
    <row r="776" spans="1:3" x14ac:dyDescent="0.2">
      <c r="A776" s="1">
        <v>0</v>
      </c>
      <c r="B776">
        <f>loans_pred_opti_data!D776*loans_pred_opti_data!B776</f>
        <v>449.47607390209799</v>
      </c>
      <c r="C776">
        <f>(loans_pred_opti_data!B776-ret_PESS!$G$35*loans_pred_opti_data!C776)*loans_pred_opti_data!D776</f>
        <v>337.01471544288825</v>
      </c>
    </row>
    <row r="777" spans="1:3" x14ac:dyDescent="0.2">
      <c r="A777" s="1">
        <v>0</v>
      </c>
      <c r="B777">
        <f>loans_pred_opti_data!D777*loans_pred_opti_data!B777</f>
        <v>-168.63193994861092</v>
      </c>
      <c r="C777">
        <f>(loans_pred_opti_data!B777-ret_PESS!$G$35*loans_pred_opti_data!C777)*loans_pred_opti_data!D777</f>
        <v>-315.54565446095103</v>
      </c>
    </row>
    <row r="778" spans="1:3" x14ac:dyDescent="0.2">
      <c r="A778" s="1">
        <v>0</v>
      </c>
      <c r="B778">
        <f>loans_pred_opti_data!D778*loans_pred_opti_data!B778</f>
        <v>696.9466438917276</v>
      </c>
      <c r="C778">
        <f>(loans_pred_opti_data!B778-ret_PESS!$G$35*loans_pred_opti_data!C778)*loans_pred_opti_data!D778</f>
        <v>459.51033760915777</v>
      </c>
    </row>
    <row r="779" spans="1:3" x14ac:dyDescent="0.2">
      <c r="A779" s="1">
        <v>0</v>
      </c>
      <c r="B779">
        <f>loans_pred_opti_data!D779*loans_pred_opti_data!B779</f>
        <v>99.571558691062194</v>
      </c>
      <c r="C779">
        <f>(loans_pred_opti_data!B779-ret_PESS!$G$35*loans_pred_opti_data!C779)*loans_pred_opti_data!D779</f>
        <v>-70.025802939344828</v>
      </c>
    </row>
    <row r="780" spans="1:3" x14ac:dyDescent="0.2">
      <c r="A780" s="1">
        <v>0</v>
      </c>
      <c r="B780">
        <f>loans_pred_opti_data!D780*loans_pred_opti_data!B780</f>
        <v>175.554392781698</v>
      </c>
      <c r="C780">
        <f>(loans_pred_opti_data!B780-ret_PESS!$G$35*loans_pred_opti_data!C780)*loans_pred_opti_data!D780</f>
        <v>134.79980667809963</v>
      </c>
    </row>
    <row r="781" spans="1:3" x14ac:dyDescent="0.2">
      <c r="A781" s="1">
        <v>0</v>
      </c>
      <c r="B781">
        <f>loans_pred_opti_data!D781*loans_pred_opti_data!B781</f>
        <v>1131.3913011591039</v>
      </c>
      <c r="C781">
        <f>(loans_pred_opti_data!B781-ret_PESS!$G$35*loans_pred_opti_data!C781)*loans_pred_opti_data!D781</f>
        <v>1023.5021885497034</v>
      </c>
    </row>
    <row r="782" spans="1:3" x14ac:dyDescent="0.2">
      <c r="A782" s="1">
        <v>0</v>
      </c>
      <c r="B782">
        <f>loans_pred_opti_data!D782*loans_pred_opti_data!B782</f>
        <v>38.755415922494997</v>
      </c>
      <c r="C782">
        <f>(loans_pred_opti_data!B782-ret_PESS!$G$35*loans_pred_opti_data!C782)*loans_pred_opti_data!D782</f>
        <v>16.263144230653047</v>
      </c>
    </row>
    <row r="783" spans="1:3" x14ac:dyDescent="0.2">
      <c r="A783" s="1">
        <v>0</v>
      </c>
      <c r="B783">
        <f>loans_pred_opti_data!D783*loans_pred_opti_data!B783</f>
        <v>260.79510912990156</v>
      </c>
      <c r="C783">
        <f>(loans_pred_opti_data!B783-ret_PESS!$G$35*loans_pred_opti_data!C783)*loans_pred_opti_data!D783</f>
        <v>179.69348278374085</v>
      </c>
    </row>
    <row r="784" spans="1:3" x14ac:dyDescent="0.2">
      <c r="A784" s="1">
        <v>0</v>
      </c>
      <c r="B784">
        <f>loans_pred_opti_data!D784*loans_pred_opti_data!B784</f>
        <v>84.589463391824708</v>
      </c>
      <c r="C784">
        <f>(loans_pred_opti_data!B784-ret_PESS!$G$35*loans_pred_opti_data!C784)*loans_pred_opti_data!D784</f>
        <v>62.097191699982751</v>
      </c>
    </row>
    <row r="785" spans="1:3" x14ac:dyDescent="0.2">
      <c r="A785" s="1">
        <v>0</v>
      </c>
      <c r="B785">
        <f>loans_pred_opti_data!D785*loans_pred_opti_data!B785</f>
        <v>373.51630194390901</v>
      </c>
      <c r="C785">
        <f>(loans_pred_opti_data!B785-ret_PESS!$G$35*loans_pred_opti_data!C785)*loans_pred_opti_data!D785</f>
        <v>292.00712973671233</v>
      </c>
    </row>
    <row r="786" spans="1:3" x14ac:dyDescent="0.2">
      <c r="A786" s="1">
        <v>0</v>
      </c>
      <c r="B786">
        <f>loans_pred_opti_data!D786*loans_pred_opti_data!B786</f>
        <v>167.1998325526464</v>
      </c>
      <c r="C786">
        <f>(loans_pred_opti_data!B786-ret_PESS!$G$35*loans_pred_opti_data!C786)*loans_pred_opti_data!D786</f>
        <v>-87.196209892964134</v>
      </c>
    </row>
    <row r="787" spans="1:3" x14ac:dyDescent="0.2">
      <c r="A787" s="1">
        <v>0</v>
      </c>
      <c r="B787">
        <f>loans_pred_opti_data!D787*loans_pred_opti_data!B787</f>
        <v>1326.8401626455648</v>
      </c>
      <c r="C787">
        <f>(loans_pred_opti_data!B787-ret_PESS!$G$35*loans_pred_opti_data!C787)*loans_pred_opti_data!D787</f>
        <v>1154.2175824705239</v>
      </c>
    </row>
    <row r="788" spans="1:3" x14ac:dyDescent="0.2">
      <c r="A788" s="1">
        <v>0</v>
      </c>
      <c r="B788">
        <f>loans_pred_opti_data!D788*loans_pred_opti_data!B788</f>
        <v>170.46702984167038</v>
      </c>
      <c r="C788">
        <f>(loans_pred_opti_data!B788-ret_PESS!$G$35*loans_pred_opti_data!C788)*loans_pred_opti_data!D788</f>
        <v>105.25969207591302</v>
      </c>
    </row>
    <row r="789" spans="1:3" x14ac:dyDescent="0.2">
      <c r="A789" s="1">
        <v>0</v>
      </c>
      <c r="B789">
        <f>loans_pred_opti_data!D789*loans_pred_opti_data!B789</f>
        <v>506.67826132144739</v>
      </c>
      <c r="C789">
        <f>(loans_pred_opti_data!B789-ret_PESS!$G$35*loans_pred_opti_data!C789)*loans_pred_opti_data!D789</f>
        <v>379.9085540054017</v>
      </c>
    </row>
    <row r="790" spans="1:3" x14ac:dyDescent="0.2">
      <c r="A790" s="1">
        <v>0</v>
      </c>
      <c r="B790">
        <f>loans_pred_opti_data!D790*loans_pred_opti_data!B790</f>
        <v>-4.9553460524940904</v>
      </c>
      <c r="C790">
        <f>(loans_pred_opti_data!B790-ret_PESS!$G$35*loans_pred_opti_data!C790)*loans_pred_opti_data!D790</f>
        <v>-27.447617744336043</v>
      </c>
    </row>
    <row r="791" spans="1:3" x14ac:dyDescent="0.2">
      <c r="A791" s="1">
        <v>0</v>
      </c>
      <c r="B791">
        <f>loans_pred_opti_data!D791*loans_pred_opti_data!B791</f>
        <v>146.98188982711596</v>
      </c>
      <c r="C791">
        <f>(loans_pred_opti_data!B791-ret_PESS!$G$35*loans_pred_opti_data!C791)*loans_pred_opti_data!D791</f>
        <v>67.102901064063204</v>
      </c>
    </row>
    <row r="792" spans="1:3" x14ac:dyDescent="0.2">
      <c r="A792" s="1">
        <v>0</v>
      </c>
      <c r="B792">
        <f>loans_pred_opti_data!D792*loans_pred_opti_data!B792</f>
        <v>235.01842402829595</v>
      </c>
      <c r="C792">
        <f>(loans_pred_opti_data!B792-ret_PESS!$G$35*loans_pred_opti_data!C792)*loans_pred_opti_data!D792</f>
        <v>-61.776958824916335</v>
      </c>
    </row>
    <row r="793" spans="1:3" x14ac:dyDescent="0.2">
      <c r="A793" s="1">
        <v>0</v>
      </c>
      <c r="B793">
        <f>loans_pred_opti_data!D793*loans_pred_opti_data!B793</f>
        <v>319.79536831859792</v>
      </c>
      <c r="C793">
        <f>(loans_pred_opti_data!B793-ret_PESS!$G$35*loans_pred_opti_data!C793)*loans_pred_opti_data!D793</f>
        <v>246.64088626263884</v>
      </c>
    </row>
    <row r="794" spans="1:3" x14ac:dyDescent="0.2">
      <c r="A794" s="1">
        <v>0</v>
      </c>
      <c r="B794">
        <f>loans_pred_opti_data!D794*loans_pred_opti_data!B794</f>
        <v>101.28542366667732</v>
      </c>
      <c r="C794">
        <f>(loans_pred_opti_data!B794-ret_PESS!$G$35*loans_pred_opti_data!C794)*loans_pred_opti_data!D794</f>
        <v>-6.5904264016875169</v>
      </c>
    </row>
    <row r="795" spans="1:3" x14ac:dyDescent="0.2">
      <c r="A795" s="1">
        <v>0</v>
      </c>
      <c r="B795">
        <f>loans_pred_opti_data!D795*loans_pred_opti_data!B795</f>
        <v>132.69591474644855</v>
      </c>
      <c r="C795">
        <f>(loans_pred_opti_data!B795-ret_PESS!$G$35*loans_pred_opti_data!C795)*loans_pred_opti_data!D795</f>
        <v>-119.15616727470588</v>
      </c>
    </row>
    <row r="796" spans="1:3" x14ac:dyDescent="0.2">
      <c r="A796" s="1">
        <v>0</v>
      </c>
      <c r="B796">
        <f>loans_pred_opti_data!D796*loans_pred_opti_data!B796</f>
        <v>338.29414857099454</v>
      </c>
      <c r="C796">
        <f>(loans_pred_opti_data!B796-ret_PESS!$G$35*loans_pred_opti_data!C796)*loans_pred_opti_data!D796</f>
        <v>222.7128806406036</v>
      </c>
    </row>
    <row r="797" spans="1:3" x14ac:dyDescent="0.2">
      <c r="A797" s="1">
        <v>0</v>
      </c>
      <c r="B797">
        <f>loans_pred_opti_data!D797*loans_pred_opti_data!B797</f>
        <v>572.91701393622805</v>
      </c>
      <c r="C797">
        <f>(loans_pred_opti_data!B797-ret_PESS!$G$35*loans_pred_opti_data!C797)*loans_pred_opti_data!D797</f>
        <v>422.96853599061507</v>
      </c>
    </row>
    <row r="798" spans="1:3" x14ac:dyDescent="0.2">
      <c r="A798" s="1">
        <v>0</v>
      </c>
      <c r="B798">
        <f>loans_pred_opti_data!D798*loans_pred_opti_data!B798</f>
        <v>150.53399965651792</v>
      </c>
      <c r="C798">
        <f>(loans_pred_opti_data!B798-ret_PESS!$G$35*loans_pred_opti_data!C798)*loans_pred_opti_data!D798</f>
        <v>114.12590025844479</v>
      </c>
    </row>
    <row r="799" spans="1:3" x14ac:dyDescent="0.2">
      <c r="A799" s="1">
        <v>0</v>
      </c>
      <c r="B799">
        <f>loans_pred_opti_data!D799*loans_pred_opti_data!B799</f>
        <v>403.8885024859764</v>
      </c>
      <c r="C799">
        <f>(loans_pred_opti_data!B799-ret_PESS!$G$35*loans_pred_opti_data!C799)*loans_pred_opti_data!D799</f>
        <v>306.07749583734034</v>
      </c>
    </row>
    <row r="800" spans="1:3" x14ac:dyDescent="0.2">
      <c r="A800" s="1">
        <v>0</v>
      </c>
      <c r="B800">
        <f>loans_pred_opti_data!D800*loans_pred_opti_data!B800</f>
        <v>-103.66525241787367</v>
      </c>
      <c r="C800">
        <f>(loans_pred_opti_data!B800-ret_PESS!$G$35*loans_pred_opti_data!C800)*loans_pred_opti_data!D800</f>
        <v>-230.00446933902859</v>
      </c>
    </row>
    <row r="801" spans="1:3" x14ac:dyDescent="0.2">
      <c r="A801" s="1">
        <v>0</v>
      </c>
      <c r="B801">
        <f>loans_pred_opti_data!D801*loans_pred_opti_data!B801</f>
        <v>120.03031536143575</v>
      </c>
      <c r="C801">
        <f>(loans_pred_opti_data!B801-ret_PESS!$G$35*loans_pred_opti_data!C801)*loans_pred_opti_data!D801</f>
        <v>76.219135300067521</v>
      </c>
    </row>
    <row r="802" spans="1:3" x14ac:dyDescent="0.2">
      <c r="A802" s="1">
        <v>0</v>
      </c>
      <c r="B802">
        <f>loans_pred_opti_data!D802*loans_pred_opti_data!B802</f>
        <v>121.72901955117059</v>
      </c>
      <c r="C802">
        <f>(loans_pred_opti_data!B802-ret_PESS!$G$35*loans_pred_opti_data!C802)*loans_pred_opti_data!D802</f>
        <v>76.744476167486695</v>
      </c>
    </row>
    <row r="803" spans="1:3" x14ac:dyDescent="0.2">
      <c r="A803" s="1">
        <v>0</v>
      </c>
      <c r="B803">
        <f>loans_pred_opti_data!D803*loans_pred_opti_data!B803</f>
        <v>139.3768696313976</v>
      </c>
      <c r="C803">
        <f>(loans_pred_opti_data!B803-ret_PESS!$G$35*loans_pred_opti_data!C803)*loans_pred_opti_data!D803</f>
        <v>94.392326247713697</v>
      </c>
    </row>
    <row r="804" spans="1:3" x14ac:dyDescent="0.2">
      <c r="A804" s="1">
        <v>0</v>
      </c>
      <c r="B804">
        <f>loans_pred_opti_data!D804*loans_pred_opti_data!B804</f>
        <v>345.52124338728237</v>
      </c>
      <c r="C804">
        <f>(loans_pred_opti_data!B804-ret_PESS!$G$35*loans_pred_opti_data!C804)*loans_pred_opti_data!D804</f>
        <v>280.78777582164201</v>
      </c>
    </row>
    <row r="805" spans="1:3" x14ac:dyDescent="0.2">
      <c r="A805" s="1">
        <v>0</v>
      </c>
      <c r="B805">
        <f>loans_pred_opti_data!D805*loans_pred_opti_data!B805</f>
        <v>228.67325768187109</v>
      </c>
      <c r="C805">
        <f>(loans_pred_opti_data!B805-ret_PESS!$G$35*loans_pred_opti_data!C805)*loans_pred_opti_data!D805</f>
        <v>170.19335128308202</v>
      </c>
    </row>
    <row r="806" spans="1:3" x14ac:dyDescent="0.2">
      <c r="A806" s="1">
        <v>0</v>
      </c>
      <c r="B806">
        <f>loans_pred_opti_data!D806*loans_pred_opti_data!B806</f>
        <v>328.620619777108</v>
      </c>
      <c r="C806">
        <f>(loans_pred_opti_data!B806-ret_PESS!$G$35*loans_pred_opti_data!C806)*loans_pred_opti_data!D806</f>
        <v>253.64638080430151</v>
      </c>
    </row>
    <row r="807" spans="1:3" x14ac:dyDescent="0.2">
      <c r="A807" s="1">
        <v>0</v>
      </c>
      <c r="B807">
        <f>loans_pred_opti_data!D807*loans_pred_opti_data!B807</f>
        <v>332.162226442487</v>
      </c>
      <c r="C807">
        <f>(loans_pred_opti_data!B807-ret_PESS!$G$35*loans_pred_opti_data!C807)*loans_pred_opti_data!D807</f>
        <v>250.65305423529028</v>
      </c>
    </row>
    <row r="808" spans="1:3" x14ac:dyDescent="0.2">
      <c r="A808" s="1">
        <v>0</v>
      </c>
      <c r="B808">
        <f>loans_pred_opti_data!D808*loans_pred_opti_data!B808</f>
        <v>9.0170044176651025</v>
      </c>
      <c r="C808">
        <f>(loans_pred_opti_data!B808-ret_PESS!$G$35*loans_pred_opti_data!C808)*loans_pred_opti_data!D808</f>
        <v>-114.3156186926016</v>
      </c>
    </row>
    <row r="809" spans="1:3" x14ac:dyDescent="0.2">
      <c r="A809" s="1">
        <v>0</v>
      </c>
      <c r="B809">
        <f>loans_pred_opti_data!D809*loans_pred_opti_data!B809</f>
        <v>330.06082341642639</v>
      </c>
      <c r="C809">
        <f>(loans_pred_opti_data!B809-ret_PESS!$G$35*loans_pred_opti_data!C809)*loans_pred_opti_data!D809</f>
        <v>268.41748052021791</v>
      </c>
    </row>
    <row r="810" spans="1:3" x14ac:dyDescent="0.2">
      <c r="A810" s="1">
        <v>0</v>
      </c>
      <c r="B810">
        <f>loans_pred_opti_data!D810*loans_pred_opti_data!B810</f>
        <v>191.50199616490752</v>
      </c>
      <c r="C810">
        <f>(loans_pred_opti_data!B810-ret_PESS!$G$35*loans_pred_opti_data!C810)*loans_pred_opti_data!D810</f>
        <v>139.33612595230164</v>
      </c>
    </row>
    <row r="811" spans="1:3" x14ac:dyDescent="0.2">
      <c r="A811" s="1">
        <v>0</v>
      </c>
      <c r="B811">
        <f>loans_pred_opti_data!D811*loans_pred_opti_data!B811</f>
        <v>166.79488907556319</v>
      </c>
      <c r="C811">
        <f>(loans_pred_opti_data!B811-ret_PESS!$G$35*loans_pred_opti_data!C811)*loans_pred_opti_data!D811</f>
        <v>105.15154617935471</v>
      </c>
    </row>
    <row r="812" spans="1:3" x14ac:dyDescent="0.2">
      <c r="A812" s="1">
        <v>0</v>
      </c>
      <c r="B812">
        <f>loans_pred_opti_data!D812*loans_pred_opti_data!B812</f>
        <v>200.44346797654498</v>
      </c>
      <c r="C812">
        <f>(loans_pred_opti_data!B812-ret_PESS!$G$35*loans_pred_opti_data!C812)*loans_pred_opti_data!D812</f>
        <v>155.45892459286108</v>
      </c>
    </row>
    <row r="813" spans="1:3" x14ac:dyDescent="0.2">
      <c r="A813" s="1">
        <v>0</v>
      </c>
      <c r="B813">
        <f>loans_pred_opti_data!D813*loans_pred_opti_data!B813</f>
        <v>135.0896712551652</v>
      </c>
      <c r="C813">
        <f>(loans_pred_opti_data!B813-ret_PESS!$G$35*loans_pred_opti_data!C813)*loans_pred_opti_data!D813</f>
        <v>-19.018685985356004</v>
      </c>
    </row>
    <row r="814" spans="1:3" x14ac:dyDescent="0.2">
      <c r="A814" s="1">
        <v>0</v>
      </c>
      <c r="B814">
        <f>loans_pred_opti_data!D814*loans_pred_opti_data!B814</f>
        <v>329.8111162343431</v>
      </c>
      <c r="C814">
        <f>(loans_pred_opti_data!B814-ret_PESS!$G$35*loans_pred_opti_data!C814)*loans_pred_opti_data!D814</f>
        <v>292.04992682105291</v>
      </c>
    </row>
    <row r="815" spans="1:3" x14ac:dyDescent="0.2">
      <c r="A815" s="1">
        <v>0</v>
      </c>
      <c r="B815">
        <f>loans_pred_opti_data!D815*loans_pred_opti_data!B815</f>
        <v>66.528264765441151</v>
      </c>
      <c r="C815">
        <f>(loans_pred_opti_data!B815-ret_PESS!$G$35*loans_pred_opti_data!C815)*loans_pred_opti_data!D815</f>
        <v>49.411338601929835</v>
      </c>
    </row>
    <row r="816" spans="1:3" x14ac:dyDescent="0.2">
      <c r="A816" s="1">
        <v>0</v>
      </c>
      <c r="B816">
        <f>loans_pred_opti_data!D816*loans_pred_opti_data!B816</f>
        <v>8.0348039748509699</v>
      </c>
      <c r="C816">
        <f>(loans_pred_opti_data!B816-ret_PESS!$G$35*loans_pred_opti_data!C816)*loans_pred_opti_data!D816</f>
        <v>-246.36123847075956</v>
      </c>
    </row>
    <row r="817" spans="1:3" x14ac:dyDescent="0.2">
      <c r="A817" s="1">
        <v>0</v>
      </c>
      <c r="B817">
        <f>loans_pred_opti_data!D817*loans_pred_opti_data!B817</f>
        <v>204.67492209571995</v>
      </c>
      <c r="C817">
        <f>(loans_pred_opti_data!B817-ret_PESS!$G$35*loans_pred_opti_data!C817)*loans_pred_opti_data!D817</f>
        <v>133.82426626641779</v>
      </c>
    </row>
    <row r="818" spans="1:3" x14ac:dyDescent="0.2">
      <c r="A818" s="1">
        <v>0</v>
      </c>
      <c r="B818">
        <f>loans_pred_opti_data!D818*loans_pred_opti_data!B818</f>
        <v>116.8899257302609</v>
      </c>
      <c r="C818">
        <f>(loans_pred_opti_data!B818-ret_PESS!$G$35*loans_pred_opti_data!C818)*loans_pred_opti_data!D818</f>
        <v>88.361715457742037</v>
      </c>
    </row>
    <row r="819" spans="1:3" x14ac:dyDescent="0.2">
      <c r="A819" s="1">
        <v>0</v>
      </c>
      <c r="B819">
        <f>loans_pred_opti_data!D819*loans_pred_opti_data!B819</f>
        <v>206.35737325503649</v>
      </c>
      <c r="C819">
        <f>(loans_pred_opti_data!B819-ret_PESS!$G$35*loans_pred_opti_data!C819)*loans_pred_opti_data!D819</f>
        <v>149.30095270999882</v>
      </c>
    </row>
    <row r="820" spans="1:3" x14ac:dyDescent="0.2">
      <c r="A820" s="1">
        <v>0</v>
      </c>
      <c r="B820">
        <f>loans_pred_opti_data!D820*loans_pred_opti_data!B820</f>
        <v>570.85412630149642</v>
      </c>
      <c r="C820">
        <f>(loans_pred_opti_data!B820-ret_PESS!$G$35*loans_pred_opti_data!C820)*loans_pred_opti_data!D820</f>
        <v>489.93729184444601</v>
      </c>
    </row>
    <row r="821" spans="1:3" x14ac:dyDescent="0.2">
      <c r="A821" s="1">
        <v>1</v>
      </c>
      <c r="B821">
        <f>loans_pred_opti_data!D821*loans_pred_opti_data!B821</f>
        <v>171.47637086300801</v>
      </c>
      <c r="C821">
        <f>(loans_pred_opti_data!B821-ret_PESS!$G$35*loans_pred_opti_data!C821)*loans_pred_opti_data!D821</f>
        <v>130.72178475940964</v>
      </c>
    </row>
    <row r="822" spans="1:3" x14ac:dyDescent="0.2">
      <c r="A822" s="1">
        <v>0</v>
      </c>
      <c r="B822">
        <f>loans_pred_opti_data!D822*loans_pred_opti_data!B822</f>
        <v>125.9144092760952</v>
      </c>
      <c r="C822">
        <f>(loans_pred_opti_data!B822-ret_PESS!$G$35*loans_pred_opti_data!C822)*loans_pred_opti_data!D822</f>
        <v>89.92677456914808</v>
      </c>
    </row>
    <row r="823" spans="1:3" x14ac:dyDescent="0.2">
      <c r="A823" s="1">
        <v>0</v>
      </c>
      <c r="B823">
        <f>loans_pred_opti_data!D823*loans_pred_opti_data!B823</f>
        <v>87.8542333641726</v>
      </c>
      <c r="C823">
        <f>(loans_pred_opti_data!B823-ret_PESS!$G$35*loans_pred_opti_data!C823)*loans_pred_opti_data!D823</f>
        <v>65.361961672330651</v>
      </c>
    </row>
    <row r="824" spans="1:3" x14ac:dyDescent="0.2">
      <c r="A824" s="1">
        <v>0</v>
      </c>
      <c r="B824">
        <f>loans_pred_opti_data!D824*loans_pred_opti_data!B824</f>
        <v>291.228049920052</v>
      </c>
      <c r="C824">
        <f>(loans_pred_opti_data!B824-ret_PESS!$G$35*loans_pred_opti_data!C824)*loans_pred_opti_data!D824</f>
        <v>216.25381094724546</v>
      </c>
    </row>
    <row r="825" spans="1:3" x14ac:dyDescent="0.2">
      <c r="A825" s="1">
        <v>0</v>
      </c>
      <c r="B825">
        <f>loans_pred_opti_data!D825*loans_pred_opti_data!B825</f>
        <v>344.22436569052979</v>
      </c>
      <c r="C825">
        <f>(loans_pred_opti_data!B825-ret_PESS!$G$35*loans_pred_opti_data!C825)*loans_pred_opti_data!D825</f>
        <v>268.90390608922502</v>
      </c>
    </row>
    <row r="826" spans="1:3" x14ac:dyDescent="0.2">
      <c r="A826" s="1">
        <v>0</v>
      </c>
      <c r="B826">
        <f>loans_pred_opti_data!D826*loans_pred_opti_data!B826</f>
        <v>-55.439713739537048</v>
      </c>
      <c r="C826">
        <f>(loans_pred_opti_data!B826-ret_PESS!$G$35*loans_pred_opti_data!C826)*loans_pred_opti_data!D826</f>
        <v>-281.00420470797837</v>
      </c>
    </row>
    <row r="827" spans="1:3" x14ac:dyDescent="0.2">
      <c r="A827" s="1">
        <v>0</v>
      </c>
      <c r="B827">
        <f>loans_pred_opti_data!D827*loans_pred_opti_data!B827</f>
        <v>40.389861086926018</v>
      </c>
      <c r="C827">
        <f>(loans_pred_opti_data!B827-ret_PESS!$G$35*loans_pred_opti_data!C827)*loans_pred_opti_data!D827</f>
        <v>-130.05548735163305</v>
      </c>
    </row>
    <row r="828" spans="1:3" x14ac:dyDescent="0.2">
      <c r="A828" s="1">
        <v>0</v>
      </c>
      <c r="B828">
        <f>loans_pred_opti_data!D828*loans_pred_opti_data!B828</f>
        <v>329.72094641626899</v>
      </c>
      <c r="C828">
        <f>(loans_pred_opti_data!B828-ret_PESS!$G$35*loans_pred_opti_data!C828)*loans_pred_opti_data!D828</f>
        <v>252.66676779600837</v>
      </c>
    </row>
    <row r="829" spans="1:3" x14ac:dyDescent="0.2">
      <c r="A829" s="1">
        <v>0</v>
      </c>
      <c r="B829">
        <f>loans_pred_opti_data!D829*loans_pred_opti_data!B829</f>
        <v>96.985970641446485</v>
      </c>
      <c r="C829">
        <f>(loans_pred_opti_data!B829-ret_PESS!$G$35*loans_pred_opti_data!C829)*loans_pred_opti_data!D829</f>
        <v>67.642668646855668</v>
      </c>
    </row>
    <row r="830" spans="1:3" x14ac:dyDescent="0.2">
      <c r="A830" s="1">
        <v>0</v>
      </c>
      <c r="B830">
        <f>loans_pred_opti_data!D830*loans_pred_opti_data!B830</f>
        <v>317.89461298722455</v>
      </c>
      <c r="C830">
        <f>(loans_pred_opti_data!B830-ret_PESS!$G$35*loans_pred_opti_data!C830)*loans_pred_opti_data!D830</f>
        <v>231.29111751707802</v>
      </c>
    </row>
    <row r="831" spans="1:3" x14ac:dyDescent="0.2">
      <c r="A831" s="1">
        <v>0</v>
      </c>
      <c r="B831">
        <f>loans_pred_opti_data!D831*loans_pred_opti_data!B831</f>
        <v>221.39734533291792</v>
      </c>
      <c r="C831">
        <f>(loans_pred_opti_data!B831-ret_PESS!$G$35*loans_pred_opti_data!C831)*loans_pred_opti_data!D831</f>
        <v>162.71074134373629</v>
      </c>
    </row>
    <row r="832" spans="1:3" x14ac:dyDescent="0.2">
      <c r="A832" s="1">
        <v>0</v>
      </c>
      <c r="B832">
        <f>loans_pred_opti_data!D832*loans_pred_opti_data!B832</f>
        <v>919.42701414204225</v>
      </c>
      <c r="C832">
        <f>(loans_pred_opti_data!B832-ret_PESS!$G$35*loans_pred_opti_data!C832)*loans_pred_opti_data!D832</f>
        <v>787.93715814933523</v>
      </c>
    </row>
    <row r="833" spans="1:3" x14ac:dyDescent="0.2">
      <c r="A833" s="1">
        <v>0</v>
      </c>
      <c r="B833">
        <f>loans_pred_opti_data!D833*loans_pred_opti_data!B833</f>
        <v>1071.9668636065217</v>
      </c>
      <c r="C833">
        <f>(loans_pred_opti_data!B833-ret_PESS!$G$35*loans_pred_opti_data!C833)*loans_pred_opti_data!D833</f>
        <v>899.34428343148068</v>
      </c>
    </row>
    <row r="834" spans="1:3" x14ac:dyDescent="0.2">
      <c r="A834" s="1">
        <v>0</v>
      </c>
      <c r="B834">
        <f>loans_pred_opti_data!D834*loans_pred_opti_data!B834</f>
        <v>666.4688958838675</v>
      </c>
      <c r="C834">
        <f>(loans_pred_opti_data!B834-ret_PESS!$G$35*loans_pred_opti_data!C834)*loans_pred_opti_data!D834</f>
        <v>473.83344933321604</v>
      </c>
    </row>
    <row r="835" spans="1:3" x14ac:dyDescent="0.2">
      <c r="A835" s="1">
        <v>0</v>
      </c>
      <c r="B835">
        <f>loans_pred_opti_data!D835*loans_pred_opti_data!B835</f>
        <v>286.36371502543199</v>
      </c>
      <c r="C835">
        <f>(loans_pred_opti_data!B835-ret_PESS!$G$35*loans_pred_opti_data!C835)*loans_pred_opti_data!D835</f>
        <v>204.8545428182353</v>
      </c>
    </row>
    <row r="836" spans="1:3" x14ac:dyDescent="0.2">
      <c r="A836" s="1">
        <v>0</v>
      </c>
      <c r="B836">
        <f>loans_pred_opti_data!D836*loans_pred_opti_data!B836</f>
        <v>-17.196851312878586</v>
      </c>
      <c r="C836">
        <f>(loans_pred_opti_data!B836-ret_PESS!$G$35*loans_pred_opti_data!C836)*loans_pred_opti_data!D836</f>
        <v>-146.66378644415931</v>
      </c>
    </row>
    <row r="837" spans="1:3" x14ac:dyDescent="0.2">
      <c r="A837" s="1">
        <v>0</v>
      </c>
      <c r="B837">
        <f>loans_pred_opti_data!D837*loans_pred_opti_data!B837</f>
        <v>124.48328181635506</v>
      </c>
      <c r="C837">
        <f>(loans_pred_opti_data!B837-ret_PESS!$G$35*loans_pred_opti_data!C837)*loans_pred_opti_data!D837</f>
        <v>41.261876556539839</v>
      </c>
    </row>
    <row r="838" spans="1:3" x14ac:dyDescent="0.2">
      <c r="A838" s="1">
        <v>0</v>
      </c>
      <c r="B838">
        <f>loans_pred_opti_data!D838*loans_pred_opti_data!B838</f>
        <v>434.49264860985483</v>
      </c>
      <c r="C838">
        <f>(loans_pred_opti_data!B838-ret_PESS!$G$35*loans_pred_opti_data!C838)*loans_pred_opti_data!D838</f>
        <v>329.52871404792569</v>
      </c>
    </row>
    <row r="839" spans="1:3" x14ac:dyDescent="0.2">
      <c r="A839" s="1">
        <v>0</v>
      </c>
      <c r="B839">
        <f>loans_pred_opti_data!D839*loans_pred_opti_data!B839</f>
        <v>-66.697966241080721</v>
      </c>
      <c r="C839">
        <f>(loans_pred_opti_data!B839-ret_PESS!$G$35*loans_pred_opti_data!C839)*loans_pred_opti_data!D839</f>
        <v>-213.61168075342081</v>
      </c>
    </row>
    <row r="840" spans="1:3" x14ac:dyDescent="0.2">
      <c r="A840" s="1">
        <v>0</v>
      </c>
      <c r="B840">
        <f>loans_pred_opti_data!D840*loans_pred_opti_data!B840</f>
        <v>513.68411238511499</v>
      </c>
      <c r="C840">
        <f>(loans_pred_opti_data!B840-ret_PESS!$G$35*loans_pred_opti_data!C840)*loans_pred_opti_data!D840</f>
        <v>361.04648691774867</v>
      </c>
    </row>
    <row r="841" spans="1:3" x14ac:dyDescent="0.2">
      <c r="A841" s="1">
        <v>0</v>
      </c>
      <c r="B841">
        <f>loans_pred_opti_data!D841*loans_pred_opti_data!B841</f>
        <v>369.73496399016256</v>
      </c>
      <c r="C841">
        <f>(loans_pred_opti_data!B841-ret_PESS!$G$35*loans_pred_opti_data!C841)*loans_pred_opti_data!D841</f>
        <v>290.26352108814575</v>
      </c>
    </row>
    <row r="842" spans="1:3" x14ac:dyDescent="0.2">
      <c r="A842" s="1">
        <v>0</v>
      </c>
      <c r="B842">
        <f>loans_pred_opti_data!D842*loans_pred_opti_data!B842</f>
        <v>119.33443911493387</v>
      </c>
      <c r="C842">
        <f>(loans_pred_opti_data!B842-ret_PESS!$G$35*loans_pred_opti_data!C842)*loans_pred_opti_data!D842</f>
        <v>83.67417627428533</v>
      </c>
    </row>
    <row r="843" spans="1:3" x14ac:dyDescent="0.2">
      <c r="A843" s="1">
        <v>0</v>
      </c>
      <c r="B843">
        <f>loans_pred_opti_data!D843*loans_pred_opti_data!B843</f>
        <v>228.90383822018558</v>
      </c>
      <c r="C843">
        <f>(loans_pred_opti_data!B843-ret_PESS!$G$35*loans_pred_opti_data!C843)*loans_pred_opti_data!D843</f>
        <v>165.55060628816409</v>
      </c>
    </row>
    <row r="844" spans="1:3" x14ac:dyDescent="0.2">
      <c r="A844" s="1">
        <v>0</v>
      </c>
      <c r="B844">
        <f>loans_pred_opti_data!D844*loans_pred_opti_data!B844</f>
        <v>1352.9378322384255</v>
      </c>
      <c r="C844">
        <f>(loans_pred_opti_data!B844-ret_PESS!$G$35*loans_pred_opti_data!C844)*loans_pred_opti_data!D844</f>
        <v>1081.5820536297745</v>
      </c>
    </row>
    <row r="845" spans="1:3" x14ac:dyDescent="0.2">
      <c r="A845" s="1">
        <v>0</v>
      </c>
      <c r="B845">
        <f>loans_pred_opti_data!D845*loans_pred_opti_data!B845</f>
        <v>257.40844709339507</v>
      </c>
      <c r="C845">
        <f>(loans_pred_opti_data!B845-ret_PESS!$G$35*loans_pred_opti_data!C845)*loans_pred_opti_data!D845</f>
        <v>194.43008635623761</v>
      </c>
    </row>
    <row r="846" spans="1:3" x14ac:dyDescent="0.2">
      <c r="A846" s="1">
        <v>0</v>
      </c>
      <c r="B846">
        <f>loans_pred_opti_data!D846*loans_pred_opti_data!B846</f>
        <v>1158.875157649584</v>
      </c>
      <c r="C846">
        <f>(loans_pred_opti_data!B846-ret_PESS!$G$35*loans_pred_opti_data!C846)*loans_pred_opti_data!D846</f>
        <v>904.47911520397349</v>
      </c>
    </row>
    <row r="847" spans="1:3" x14ac:dyDescent="0.2">
      <c r="A847" s="1">
        <v>0</v>
      </c>
      <c r="B847">
        <f>loans_pred_opti_data!D847*loans_pred_opti_data!B847</f>
        <v>123.81683354737493</v>
      </c>
      <c r="C847">
        <f>(loans_pred_opti_data!B847-ret_PESS!$G$35*loans_pred_opti_data!C847)*loans_pred_opti_data!D847</f>
        <v>98.138156699188698</v>
      </c>
    </row>
    <row r="848" spans="1:3" x14ac:dyDescent="0.2">
      <c r="A848" s="1">
        <v>0</v>
      </c>
      <c r="B848">
        <f>loans_pred_opti_data!D848*loans_pred_opti_data!B848</f>
        <v>322.78821645363104</v>
      </c>
      <c r="C848">
        <f>(loans_pred_opti_data!B848-ret_PESS!$G$35*loans_pred_opti_data!C848)*loans_pred_opti_data!D848</f>
        <v>247.81397748082455</v>
      </c>
    </row>
    <row r="849" spans="1:3" x14ac:dyDescent="0.2">
      <c r="A849" s="1">
        <v>0</v>
      </c>
      <c r="B849">
        <f>loans_pred_opti_data!D849*loans_pred_opti_data!B849</f>
        <v>431.76710314656447</v>
      </c>
      <c r="C849">
        <f>(loans_pred_opti_data!B849-ret_PESS!$G$35*loans_pred_opti_data!C849)*loans_pred_opti_data!D849</f>
        <v>316.18583521617359</v>
      </c>
    </row>
    <row r="850" spans="1:3" x14ac:dyDescent="0.2">
      <c r="A850" s="1">
        <v>0</v>
      </c>
      <c r="B850">
        <f>loans_pred_opti_data!D850*loans_pred_opti_data!B850</f>
        <v>390.21503213155074</v>
      </c>
      <c r="C850">
        <f>(loans_pred_opti_data!B850-ret_PESS!$G$35*loans_pred_opti_data!C850)*loans_pred_opti_data!D850</f>
        <v>325.48156456591039</v>
      </c>
    </row>
    <row r="851" spans="1:3" x14ac:dyDescent="0.2">
      <c r="A851" s="1">
        <v>0</v>
      </c>
      <c r="B851">
        <f>loans_pred_opti_data!D851*loans_pred_opti_data!B851</f>
        <v>203.45658656108321</v>
      </c>
      <c r="C851">
        <f>(loans_pred_opti_data!B851-ret_PESS!$G$35*loans_pred_opti_data!C851)*loans_pred_opti_data!D851</f>
        <v>138.24924879532585</v>
      </c>
    </row>
    <row r="852" spans="1:3" x14ac:dyDescent="0.2">
      <c r="A852" s="1">
        <v>0</v>
      </c>
      <c r="B852">
        <f>loans_pred_opti_data!D852*loans_pred_opti_data!B852</f>
        <v>188.82268058813671</v>
      </c>
      <c r="C852">
        <f>(loans_pred_opti_data!B852-ret_PESS!$G$35*loans_pred_opti_data!C852)*loans_pred_opti_data!D852</f>
        <v>131.76626004309898</v>
      </c>
    </row>
    <row r="853" spans="1:3" x14ac:dyDescent="0.2">
      <c r="A853" s="1">
        <v>0</v>
      </c>
      <c r="B853">
        <f>loans_pred_opti_data!D853*loans_pred_opti_data!B853</f>
        <v>308.00869216006402</v>
      </c>
      <c r="C853">
        <f>(loans_pred_opti_data!B853-ret_PESS!$G$35*loans_pred_opti_data!C853)*loans_pred_opti_data!D853</f>
        <v>242.8013543943066</v>
      </c>
    </row>
    <row r="854" spans="1:3" x14ac:dyDescent="0.2">
      <c r="A854" s="1">
        <v>0</v>
      </c>
      <c r="B854">
        <f>loans_pred_opti_data!D854*loans_pred_opti_data!B854</f>
        <v>213.821357080512</v>
      </c>
      <c r="C854">
        <f>(loans_pred_opti_data!B854-ret_PESS!$G$35*loans_pred_opti_data!C854)*loans_pred_opti_data!D854</f>
        <v>148.61401931475464</v>
      </c>
    </row>
    <row r="855" spans="1:3" x14ac:dyDescent="0.2">
      <c r="A855" s="1">
        <v>0</v>
      </c>
      <c r="B855">
        <f>loans_pred_opti_data!D855*loans_pred_opti_data!B855</f>
        <v>85.229668885710723</v>
      </c>
      <c r="C855">
        <f>(loans_pred_opti_data!B855-ret_PESS!$G$35*loans_pred_opti_data!C855)*loans_pred_opti_data!D855</f>
        <v>-152.20663739685909</v>
      </c>
    </row>
    <row r="856" spans="1:3" x14ac:dyDescent="0.2">
      <c r="A856" s="1">
        <v>0</v>
      </c>
      <c r="B856">
        <f>loans_pred_opti_data!D856*loans_pred_opti_data!B856</f>
        <v>103.58039359848439</v>
      </c>
      <c r="C856">
        <f>(loans_pred_opti_data!B856-ret_PESS!$G$35*loans_pred_opti_data!C856)*loans_pred_opti_data!D856</f>
        <v>70.976724715605698</v>
      </c>
    </row>
    <row r="857" spans="1:3" x14ac:dyDescent="0.2">
      <c r="A857" s="1">
        <v>0</v>
      </c>
      <c r="B857">
        <f>loans_pred_opti_data!D857*loans_pred_opti_data!B857</f>
        <v>-39.309645800392438</v>
      </c>
      <c r="C857">
        <f>(loans_pred_opti_data!B857-ret_PESS!$G$35*loans_pred_opti_data!C857)*loans_pred_opti_data!D857</f>
        <v>-88.21514912471045</v>
      </c>
    </row>
    <row r="858" spans="1:3" x14ac:dyDescent="0.2">
      <c r="A858" s="1">
        <v>0</v>
      </c>
      <c r="B858">
        <f>loans_pred_opti_data!D858*loans_pred_opti_data!B858</f>
        <v>525.927809436708</v>
      </c>
      <c r="C858">
        <f>(loans_pred_opti_data!B858-ret_PESS!$G$35*loans_pred_opti_data!C858)*loans_pred_opti_data!D858</f>
        <v>403.66405112591298</v>
      </c>
    </row>
    <row r="859" spans="1:3" x14ac:dyDescent="0.2">
      <c r="A859" s="1">
        <v>0</v>
      </c>
      <c r="B859">
        <f>loans_pred_opti_data!D859*loans_pred_opti_data!B859</f>
        <v>426.69863383502104</v>
      </c>
      <c r="C859">
        <f>(loans_pred_opti_data!B859-ret_PESS!$G$35*loans_pred_opti_data!C859)*loans_pred_opti_data!D859</f>
        <v>314.23727537581124</v>
      </c>
    </row>
    <row r="860" spans="1:3" x14ac:dyDescent="0.2">
      <c r="A860" s="1">
        <v>0</v>
      </c>
      <c r="B860">
        <f>loans_pred_opti_data!D860*loans_pred_opti_data!B860</f>
        <v>510.42347064828999</v>
      </c>
      <c r="C860">
        <f>(loans_pred_opti_data!B860-ret_PESS!$G$35*loans_pred_opti_data!C860)*loans_pred_opti_data!D860</f>
        <v>402.53435803888937</v>
      </c>
    </row>
    <row r="861" spans="1:3" x14ac:dyDescent="0.2">
      <c r="A861" s="1">
        <v>1</v>
      </c>
      <c r="B861">
        <f>loans_pred_opti_data!D861*loans_pred_opti_data!B861</f>
        <v>883.890115096356</v>
      </c>
      <c r="C861">
        <f>(loans_pred_opti_data!B861-ret_PESS!$G$35*loans_pred_opti_data!C861)*loans_pred_opti_data!D861</f>
        <v>776.00100248695537</v>
      </c>
    </row>
    <row r="862" spans="1:3" x14ac:dyDescent="0.2">
      <c r="A862" s="1">
        <v>0</v>
      </c>
      <c r="B862">
        <f>loans_pred_opti_data!D862*loans_pred_opti_data!B862</f>
        <v>235.54405175731901</v>
      </c>
      <c r="C862">
        <f>(loans_pred_opti_data!B862-ret_PESS!$G$35*loans_pred_opti_data!C862)*loans_pred_opti_data!D862</f>
        <v>154.0348795501223</v>
      </c>
    </row>
    <row r="863" spans="1:3" x14ac:dyDescent="0.2">
      <c r="A863" s="1">
        <v>0</v>
      </c>
      <c r="B863">
        <f>loans_pred_opti_data!D863*loans_pred_opti_data!B863</f>
        <v>295.56229790892377</v>
      </c>
      <c r="C863">
        <f>(loans_pred_opti_data!B863-ret_PESS!$G$35*loans_pred_opti_data!C863)*loans_pred_opti_data!D863</f>
        <v>223.83422636659063</v>
      </c>
    </row>
    <row r="864" spans="1:3" x14ac:dyDescent="0.2">
      <c r="A864" s="1">
        <v>0</v>
      </c>
      <c r="B864">
        <f>loans_pred_opti_data!D864*loans_pred_opti_data!B864</f>
        <v>613.32078782507244</v>
      </c>
      <c r="C864">
        <f>(loans_pred_opti_data!B864-ret_PESS!$G$35*loans_pred_opti_data!C864)*loans_pred_opti_data!D864</f>
        <v>500.85942936586275</v>
      </c>
    </row>
    <row r="865" spans="1:3" x14ac:dyDescent="0.2">
      <c r="A865" s="1">
        <v>0</v>
      </c>
      <c r="B865">
        <f>loans_pred_opti_data!D865*loans_pred_opti_data!B865</f>
        <v>262.73057241557757</v>
      </c>
      <c r="C865">
        <f>(loans_pred_opti_data!B865-ret_PESS!$G$35*loans_pred_opti_data!C865)*loans_pred_opti_data!D865</f>
        <v>200.31451847071619</v>
      </c>
    </row>
    <row r="866" spans="1:3" x14ac:dyDescent="0.2">
      <c r="A866" s="1">
        <v>0</v>
      </c>
      <c r="B866">
        <f>loans_pred_opti_data!D866*loans_pred_opti_data!B866</f>
        <v>-27.231407812439098</v>
      </c>
      <c r="C866">
        <f>(loans_pred_opti_data!B866-ret_PESS!$G$35*loans_pred_opti_data!C866)*loans_pred_opti_data!D866</f>
        <v>-179.86903327980542</v>
      </c>
    </row>
    <row r="867" spans="1:3" x14ac:dyDescent="0.2">
      <c r="A867" s="1">
        <v>1</v>
      </c>
      <c r="B867">
        <f>loans_pred_opti_data!D867*loans_pred_opti_data!B867</f>
        <v>100.1535987527246</v>
      </c>
      <c r="C867">
        <f>(loans_pred_opti_data!B867-ret_PESS!$G$35*loans_pred_opti_data!C867)*loans_pred_opti_data!D867</f>
        <v>-62.864745661668813</v>
      </c>
    </row>
    <row r="868" spans="1:3" x14ac:dyDescent="0.2">
      <c r="A868" s="1">
        <v>0</v>
      </c>
      <c r="B868">
        <f>loans_pred_opti_data!D868*loans_pred_opti_data!B868</f>
        <v>531.21431680309206</v>
      </c>
      <c r="C868">
        <f>(loans_pred_opti_data!B868-ret_PESS!$G$35*loans_pred_opti_data!C868)*loans_pred_opti_data!D868</f>
        <v>361.61695517268498</v>
      </c>
    </row>
    <row r="869" spans="1:3" x14ac:dyDescent="0.2">
      <c r="A869" s="1">
        <v>0</v>
      </c>
      <c r="B869">
        <f>loans_pred_opti_data!D869*loans_pred_opti_data!B869</f>
        <v>221.38907746117076</v>
      </c>
      <c r="C869">
        <f>(loans_pred_opti_data!B869-ret_PESS!$G$35*loans_pred_opti_data!C869)*loans_pred_opti_data!D869</f>
        <v>136.82211642543473</v>
      </c>
    </row>
    <row r="870" spans="1:3" x14ac:dyDescent="0.2">
      <c r="A870" s="1">
        <v>0</v>
      </c>
      <c r="B870">
        <f>loans_pred_opti_data!D870*loans_pred_opti_data!B870</f>
        <v>165.95275935249899</v>
      </c>
      <c r="C870">
        <f>(loans_pred_opti_data!B870-ret_PESS!$G$35*loans_pred_opti_data!C870)*loans_pred_opti_data!D870</f>
        <v>120.9682159688151</v>
      </c>
    </row>
    <row r="871" spans="1:3" x14ac:dyDescent="0.2">
      <c r="A871" s="1">
        <v>0</v>
      </c>
      <c r="B871">
        <f>loans_pred_opti_data!D871*loans_pred_opti_data!B871</f>
        <v>1000.9663257276396</v>
      </c>
      <c r="C871">
        <f>(loans_pred_opti_data!B871-ret_PESS!$G$35*loans_pred_opti_data!C871)*loans_pred_opti_data!D871</f>
        <v>765.86198316748789</v>
      </c>
    </row>
    <row r="872" spans="1:3" x14ac:dyDescent="0.2">
      <c r="A872" s="1">
        <v>0</v>
      </c>
      <c r="B872">
        <f>loans_pred_opti_data!D872*loans_pred_opti_data!B872</f>
        <v>68.229098345644559</v>
      </c>
      <c r="C872">
        <f>(loans_pred_opti_data!B872-ret_PESS!$G$35*loans_pred_opti_data!C872)*loans_pred_opti_data!D872</f>
        <v>53.557447348349143</v>
      </c>
    </row>
    <row r="873" spans="1:3" x14ac:dyDescent="0.2">
      <c r="A873" s="1">
        <v>0</v>
      </c>
      <c r="B873">
        <f>loans_pred_opti_data!D873*loans_pred_opti_data!B873</f>
        <v>94.5899804161605</v>
      </c>
      <c r="C873">
        <f>(loans_pred_opti_data!B873-ret_PESS!$G$35*loans_pred_opti_data!C873)*loans_pred_opti_data!D873</f>
        <v>71.473726830082313</v>
      </c>
    </row>
    <row r="874" spans="1:3" x14ac:dyDescent="0.2">
      <c r="A874" s="1">
        <v>0</v>
      </c>
      <c r="B874">
        <f>loans_pred_opti_data!D874*loans_pred_opti_data!B874</f>
        <v>98.420572572376557</v>
      </c>
      <c r="C874">
        <f>(loans_pred_opti_data!B874-ret_PESS!$G$35*loans_pred_opti_data!C874)*loans_pred_opti_data!D874</f>
        <v>44.62451891562673</v>
      </c>
    </row>
    <row r="875" spans="1:3" x14ac:dyDescent="0.2">
      <c r="A875" s="1">
        <v>0</v>
      </c>
      <c r="B875">
        <f>loans_pred_opti_data!D875*loans_pred_opti_data!B875</f>
        <v>83.401414218666901</v>
      </c>
      <c r="C875">
        <f>(loans_pred_opti_data!B875-ret_PESS!$G$35*loans_pred_opti_data!C875)*loans_pred_opti_data!D875</f>
        <v>8.4271752458603935</v>
      </c>
    </row>
    <row r="876" spans="1:3" x14ac:dyDescent="0.2">
      <c r="A876" s="1">
        <v>0</v>
      </c>
      <c r="B876">
        <f>loans_pred_opti_data!D876*loans_pred_opti_data!B876</f>
        <v>-40.784250632330519</v>
      </c>
      <c r="C876">
        <f>(loans_pred_opti_data!B876-ret_PESS!$G$35*loans_pred_opti_data!C876)*loans_pred_opti_data!D876</f>
        <v>-130.75333739969832</v>
      </c>
    </row>
    <row r="877" spans="1:3" x14ac:dyDescent="0.2">
      <c r="A877" s="1">
        <v>0</v>
      </c>
      <c r="B877">
        <f>loans_pred_opti_data!D877*loans_pred_opti_data!B877</f>
        <v>633.22701280863748</v>
      </c>
      <c r="C877">
        <f>(loans_pred_opti_data!B877-ret_PESS!$G$35*loans_pred_opti_data!C877)*loans_pred_opti_data!D877</f>
        <v>498.36562204688676</v>
      </c>
    </row>
    <row r="878" spans="1:3" x14ac:dyDescent="0.2">
      <c r="A878" s="1">
        <v>0</v>
      </c>
      <c r="B878">
        <f>loans_pred_opti_data!D878*loans_pred_opti_data!B878</f>
        <v>57.867113327310435</v>
      </c>
      <c r="C878">
        <f>(loans_pred_opti_data!B878-ret_PESS!$G$35*loans_pred_opti_data!C878)*loans_pred_opti_data!D878</f>
        <v>-59.50609465105282</v>
      </c>
    </row>
    <row r="879" spans="1:3" x14ac:dyDescent="0.2">
      <c r="A879" s="1">
        <v>0</v>
      </c>
      <c r="B879">
        <f>loans_pred_opti_data!D879*loans_pred_opti_data!B879</f>
        <v>174.6483881387862</v>
      </c>
      <c r="C879">
        <f>(loans_pred_opti_data!B879-ret_PESS!$G$35*loans_pred_opti_data!C879)*loans_pred_opti_data!D879</f>
        <v>129.6638447551023</v>
      </c>
    </row>
    <row r="880" spans="1:3" x14ac:dyDescent="0.2">
      <c r="A880" s="1">
        <v>0</v>
      </c>
      <c r="B880">
        <f>loans_pred_opti_data!D880*loans_pred_opti_data!B880</f>
        <v>338.91267089941277</v>
      </c>
      <c r="C880">
        <f>(loans_pred_opti_data!B880-ret_PESS!$G$35*loans_pred_opti_data!C880)*loans_pred_opti_data!D880</f>
        <v>252.60138081189231</v>
      </c>
    </row>
    <row r="881" spans="1:3" x14ac:dyDescent="0.2">
      <c r="A881" s="1">
        <v>0</v>
      </c>
      <c r="B881">
        <f>loans_pred_opti_data!D881*loans_pred_opti_data!B881</f>
        <v>109.91893954480024</v>
      </c>
      <c r="C881">
        <f>(loans_pred_opti_data!B881-ret_PESS!$G$35*loans_pred_opti_data!C881)*loans_pred_opti_data!D881</f>
        <v>77.492581189061411</v>
      </c>
    </row>
    <row r="882" spans="1:3" x14ac:dyDescent="0.2">
      <c r="A882" s="1">
        <v>0</v>
      </c>
      <c r="B882">
        <f>loans_pred_opti_data!D882*loans_pred_opti_data!B882</f>
        <v>-161.91940563153366</v>
      </c>
      <c r="C882">
        <f>(loans_pred_opti_data!B882-ret_PESS!$G$35*loans_pred_opti_data!C882)*loans_pred_opti_data!D882</f>
        <v>-285.62689993666442</v>
      </c>
    </row>
    <row r="883" spans="1:3" x14ac:dyDescent="0.2">
      <c r="A883" s="1">
        <v>0</v>
      </c>
      <c r="B883">
        <f>loans_pred_opti_data!D883*loans_pred_opti_data!B883</f>
        <v>743.65553737553819</v>
      </c>
      <c r="C883">
        <f>(loans_pred_opti_data!B883-ret_PESS!$G$35*loans_pred_opti_data!C883)*loans_pred_opti_data!D883</f>
        <v>565.57830766361087</v>
      </c>
    </row>
    <row r="884" spans="1:3" x14ac:dyDescent="0.2">
      <c r="A884" s="1">
        <v>0</v>
      </c>
      <c r="B884">
        <f>loans_pred_opti_data!D884*loans_pred_opti_data!B884</f>
        <v>365.37630586457158</v>
      </c>
      <c r="C884">
        <f>(loans_pred_opti_data!B884-ret_PESS!$G$35*loans_pred_opti_data!C884)*loans_pred_opti_data!D884</f>
        <v>267.56529921593557</v>
      </c>
    </row>
    <row r="885" spans="1:3" x14ac:dyDescent="0.2">
      <c r="A885" s="1">
        <v>0</v>
      </c>
      <c r="B885">
        <f>loans_pred_opti_data!D885*loans_pred_opti_data!B885</f>
        <v>396.56722284720115</v>
      </c>
      <c r="C885">
        <f>(loans_pred_opti_data!B885-ret_PESS!$G$35*loans_pred_opti_data!C885)*loans_pred_opti_data!D885</f>
        <v>289.35406111608779</v>
      </c>
    </row>
    <row r="886" spans="1:3" x14ac:dyDescent="0.2">
      <c r="A886" s="1">
        <v>0</v>
      </c>
      <c r="B886">
        <f>loans_pred_opti_data!D886*loans_pred_opti_data!B886</f>
        <v>205.39389406615632</v>
      </c>
      <c r="C886">
        <f>(loans_pred_opti_data!B886-ret_PESS!$G$35*loans_pred_opti_data!C886)*loans_pred_opti_data!D886</f>
        <v>146.70729007697472</v>
      </c>
    </row>
    <row r="887" spans="1:3" x14ac:dyDescent="0.2">
      <c r="A887" s="1">
        <v>1</v>
      </c>
      <c r="B887">
        <f>loans_pred_opti_data!D887*loans_pred_opti_data!B887</f>
        <v>503.46167057477993</v>
      </c>
      <c r="C887">
        <f>(loans_pred_opti_data!B887-ret_PESS!$G$35*loans_pred_opti_data!C887)*loans_pred_opti_data!D887</f>
        <v>374.06585969585512</v>
      </c>
    </row>
    <row r="888" spans="1:3" x14ac:dyDescent="0.2">
      <c r="A888" s="1">
        <v>0</v>
      </c>
      <c r="B888">
        <f>loans_pred_opti_data!D888*loans_pred_opti_data!B888</f>
        <v>602.54866168900924</v>
      </c>
      <c r="C888">
        <f>(loans_pred_opti_data!B888-ret_PESS!$G$35*loans_pred_opti_data!C888)*loans_pred_opti_data!D888</f>
        <v>467.59503153795748</v>
      </c>
    </row>
    <row r="889" spans="1:3" x14ac:dyDescent="0.2">
      <c r="A889" s="1">
        <v>0</v>
      </c>
      <c r="B889">
        <f>loans_pred_opti_data!D889*loans_pred_opti_data!B889</f>
        <v>103.15182038025721</v>
      </c>
      <c r="C889">
        <f>(loans_pred_opti_data!B889-ret_PESS!$G$35*loans_pred_opti_data!C889)*loans_pred_opti_data!D889</f>
        <v>72.330148932152966</v>
      </c>
    </row>
    <row r="890" spans="1:3" x14ac:dyDescent="0.2">
      <c r="A890" s="1">
        <v>0</v>
      </c>
      <c r="B890">
        <f>loans_pred_opti_data!D890*loans_pred_opti_data!B890</f>
        <v>241.9162359528915</v>
      </c>
      <c r="C890">
        <f>(loans_pred_opti_data!B890-ret_PESS!$G$35*loans_pred_opti_data!C890)*loans_pred_opti_data!D890</f>
        <v>184.8598154078538</v>
      </c>
    </row>
    <row r="891" spans="1:3" x14ac:dyDescent="0.2">
      <c r="A891" s="1">
        <v>0</v>
      </c>
      <c r="B891">
        <f>loans_pred_opti_data!D891*loans_pred_opti_data!B891</f>
        <v>720.72122300000024</v>
      </c>
      <c r="C891">
        <f>(loans_pred_opti_data!B891-ret_PESS!$G$35*loans_pred_opti_data!C891)*loans_pred_opti_data!D891</f>
        <v>534.16412520655251</v>
      </c>
    </row>
    <row r="892" spans="1:3" x14ac:dyDescent="0.2">
      <c r="A892" s="1">
        <v>1</v>
      </c>
      <c r="B892">
        <f>loans_pred_opti_data!D892*loans_pred_opti_data!B892</f>
        <v>304.05684660397384</v>
      </c>
      <c r="C892">
        <f>(loans_pred_opti_data!B892-ret_PESS!$G$35*loans_pred_opti_data!C892)*loans_pred_opti_data!D892</f>
        <v>206.95664525551328</v>
      </c>
    </row>
    <row r="893" spans="1:3" x14ac:dyDescent="0.2">
      <c r="A893" s="1">
        <v>0</v>
      </c>
      <c r="B893">
        <f>loans_pred_opti_data!D893*loans_pred_opti_data!B893</f>
        <v>488.42357884448319</v>
      </c>
      <c r="C893">
        <f>(loans_pred_opti_data!B893-ret_PESS!$G$35*loans_pred_opti_data!C893)*loans_pred_opti_data!D893</f>
        <v>368.46479648799277</v>
      </c>
    </row>
    <row r="894" spans="1:3" x14ac:dyDescent="0.2">
      <c r="A894" s="1">
        <v>0</v>
      </c>
      <c r="B894">
        <f>loans_pred_opti_data!D894*loans_pred_opti_data!B894</f>
        <v>862.86893300496035</v>
      </c>
      <c r="C894">
        <f>(loans_pred_opti_data!B894-ret_PESS!$G$35*loans_pred_opti_data!C894)*loans_pred_opti_data!D894</f>
        <v>737.31297820577038</v>
      </c>
    </row>
    <row r="895" spans="1:3" x14ac:dyDescent="0.2">
      <c r="A895" s="1">
        <v>0</v>
      </c>
      <c r="B895">
        <f>loans_pred_opti_data!D895*loans_pred_opti_data!B895</f>
        <v>2178.8371173521609</v>
      </c>
      <c r="C895">
        <f>(loans_pred_opti_data!B895-ret_PESS!$G$35*loans_pred_opti_data!C895)*loans_pred_opti_data!D895</f>
        <v>1990.0311702857098</v>
      </c>
    </row>
    <row r="896" spans="1:3" x14ac:dyDescent="0.2">
      <c r="A896" s="1">
        <v>0</v>
      </c>
      <c r="B896">
        <f>loans_pred_opti_data!D896*loans_pred_opti_data!B896</f>
        <v>517.92042469902628</v>
      </c>
      <c r="C896">
        <f>(loans_pred_opti_data!B896-ret_PESS!$G$35*loans_pred_opti_data!C896)*loans_pred_opti_data!D896</f>
        <v>350.44303008899942</v>
      </c>
    </row>
    <row r="897" spans="1:3" x14ac:dyDescent="0.2">
      <c r="A897" s="1">
        <v>0</v>
      </c>
      <c r="B897">
        <f>loans_pred_opti_data!D897*loans_pred_opti_data!B897</f>
        <v>409.75417701436334</v>
      </c>
      <c r="C897">
        <f>(loans_pred_opti_data!B897-ret_PESS!$G$35*loans_pred_opti_data!C897)*loans_pred_opti_data!D897</f>
        <v>314.99976432349717</v>
      </c>
    </row>
    <row r="898" spans="1:3" x14ac:dyDescent="0.2">
      <c r="A898" s="1">
        <v>0</v>
      </c>
      <c r="B898">
        <f>loans_pred_opti_data!D898*loans_pred_opti_data!B898</f>
        <v>458.40300995671976</v>
      </c>
      <c r="C898">
        <f>(loans_pred_opti_data!B898-ret_PESS!$G$35*loans_pred_opti_data!C898)*loans_pred_opti_data!D898</f>
        <v>353.43907539479068</v>
      </c>
    </row>
    <row r="899" spans="1:3" x14ac:dyDescent="0.2">
      <c r="A899" s="1">
        <v>0</v>
      </c>
      <c r="B899">
        <f>loans_pred_opti_data!D899*loans_pred_opti_data!B899</f>
        <v>380.21018135610757</v>
      </c>
      <c r="C899">
        <f>(loans_pred_opti_data!B899-ret_PESS!$G$35*loans_pred_opti_data!C899)*loans_pred_opti_data!D899</f>
        <v>284.85563531353506</v>
      </c>
    </row>
    <row r="900" spans="1:3" x14ac:dyDescent="0.2">
      <c r="A900" s="1">
        <v>0</v>
      </c>
      <c r="B900">
        <f>loans_pred_opti_data!D900*loans_pred_opti_data!B900</f>
        <v>238.93025737572299</v>
      </c>
      <c r="C900">
        <f>(loans_pred_opti_data!B900-ret_PESS!$G$35*loans_pred_opti_data!C900)*loans_pred_opti_data!D900</f>
        <v>163.95601840291653</v>
      </c>
    </row>
    <row r="901" spans="1:3" x14ac:dyDescent="0.2">
      <c r="A901" s="1">
        <v>1</v>
      </c>
      <c r="B901">
        <f>loans_pred_opti_data!D901*loans_pred_opti_data!B901</f>
        <v>767.45501552676819</v>
      </c>
      <c r="C901">
        <f>(loans_pred_opti_data!B901-ret_PESS!$G$35*loans_pred_opti_data!C901)*loans_pred_opti_data!D901</f>
        <v>654.17144728689755</v>
      </c>
    </row>
    <row r="902" spans="1:3" x14ac:dyDescent="0.2">
      <c r="A902" s="1">
        <v>0</v>
      </c>
      <c r="B902">
        <f>loans_pred_opti_data!D902*loans_pred_opti_data!B902</f>
        <v>540.27499479320397</v>
      </c>
      <c r="C902">
        <f>(loans_pred_opti_data!B902-ret_PESS!$G$35*loans_pred_opti_data!C902)*loans_pred_opti_data!D902</f>
        <v>424.69372686281304</v>
      </c>
    </row>
    <row r="903" spans="1:3" x14ac:dyDescent="0.2">
      <c r="A903" s="1">
        <v>0</v>
      </c>
      <c r="B903">
        <f>loans_pred_opti_data!D903*loans_pred_opti_data!B903</f>
        <v>663.15274491491505</v>
      </c>
      <c r="C903">
        <f>(loans_pred_opti_data!B903-ret_PESS!$G$35*loans_pred_opti_data!C903)*loans_pred_opti_data!D903</f>
        <v>570.50296946159233</v>
      </c>
    </row>
    <row r="904" spans="1:3" x14ac:dyDescent="0.2">
      <c r="A904" s="1">
        <v>0</v>
      </c>
      <c r="B904">
        <f>loans_pred_opti_data!D904*loans_pred_opti_data!B904</f>
        <v>52.609023507462403</v>
      </c>
      <c r="C904">
        <f>(loans_pred_opti_data!B904-ret_PESS!$G$35*loans_pred_opti_data!C904)*loans_pred_opti_data!D904</f>
        <v>-70.677662284954565</v>
      </c>
    </row>
    <row r="905" spans="1:3" x14ac:dyDescent="0.2">
      <c r="A905" s="1">
        <v>0</v>
      </c>
      <c r="B905">
        <f>loans_pred_opti_data!D905*loans_pred_opti_data!B905</f>
        <v>601.15818144408604</v>
      </c>
      <c r="C905">
        <f>(loans_pred_opti_data!B905-ret_PESS!$G$35*loans_pred_opti_data!C905)*loans_pred_opti_data!D905</f>
        <v>473.96016022128072</v>
      </c>
    </row>
    <row r="906" spans="1:3" x14ac:dyDescent="0.2">
      <c r="A906" s="1">
        <v>0</v>
      </c>
      <c r="B906">
        <f>loans_pred_opti_data!D906*loans_pred_opti_data!B906</f>
        <v>166.08794617258002</v>
      </c>
      <c r="C906">
        <f>(loans_pred_opti_data!B906-ret_PESS!$G$35*loans_pred_opti_data!C906)*loans_pred_opti_data!D906</f>
        <v>125.33336006898165</v>
      </c>
    </row>
    <row r="907" spans="1:3" x14ac:dyDescent="0.2">
      <c r="A907" s="1">
        <v>0</v>
      </c>
      <c r="B907">
        <f>loans_pred_opti_data!D907*loans_pred_opti_data!B907</f>
        <v>19.501041426528928</v>
      </c>
      <c r="C907">
        <f>(loans_pred_opti_data!B907-ret_PESS!$G$35*loans_pred_opti_data!C907)*loans_pred_opti_data!D907</f>
        <v>-204.15547922357032</v>
      </c>
    </row>
    <row r="908" spans="1:3" x14ac:dyDescent="0.2">
      <c r="A908" s="1">
        <v>1</v>
      </c>
      <c r="B908">
        <f>loans_pred_opti_data!D908*loans_pred_opti_data!B908</f>
        <v>908.82584593133208</v>
      </c>
      <c r="C908">
        <f>(loans_pred_opti_data!B908-ret_PESS!$G$35*loans_pred_opti_data!C908)*loans_pred_opti_data!D908</f>
        <v>671.38953964876225</v>
      </c>
    </row>
    <row r="909" spans="1:3" x14ac:dyDescent="0.2">
      <c r="A909" s="1">
        <v>0</v>
      </c>
      <c r="B909">
        <f>loans_pred_opti_data!D909*loans_pred_opti_data!B909</f>
        <v>353.39563082355414</v>
      </c>
      <c r="C909">
        <f>(loans_pred_opti_data!B909-ret_PESS!$G$35*loans_pred_opti_data!C909)*loans_pred_opti_data!D909</f>
        <v>255.74168456147368</v>
      </c>
    </row>
    <row r="910" spans="1:3" x14ac:dyDescent="0.2">
      <c r="A910" s="1">
        <v>0</v>
      </c>
      <c r="B910">
        <f>loans_pred_opti_data!D910*loans_pred_opti_data!B910</f>
        <v>244.398140240608</v>
      </c>
      <c r="C910">
        <f>(loans_pred_opti_data!B910-ret_PESS!$G$35*loans_pred_opti_data!C910)*loans_pred_opti_data!D910</f>
        <v>169.42390126780151</v>
      </c>
    </row>
    <row r="911" spans="1:3" x14ac:dyDescent="0.2">
      <c r="A911" s="1">
        <v>0</v>
      </c>
      <c r="B911">
        <f>loans_pred_opti_data!D911*loans_pred_opti_data!B911</f>
        <v>280.98019490534909</v>
      </c>
      <c r="C911">
        <f>(loans_pred_opti_data!B911-ret_PESS!$G$35*loans_pred_opti_data!C911)*loans_pred_opti_data!D911</f>
        <v>206.60307526628213</v>
      </c>
    </row>
    <row r="912" spans="1:3" x14ac:dyDescent="0.2">
      <c r="A912" s="1">
        <v>0</v>
      </c>
      <c r="B912">
        <f>loans_pred_opti_data!D912*loans_pred_opti_data!B912</f>
        <v>163.77362946970621</v>
      </c>
      <c r="C912">
        <f>(loans_pred_opti_data!B912-ret_PESS!$G$35*loans_pred_opti_data!C912)*loans_pred_opti_data!D912</f>
        <v>114.86812614538816</v>
      </c>
    </row>
    <row r="913" spans="1:3" x14ac:dyDescent="0.2">
      <c r="A913" s="1">
        <v>0</v>
      </c>
      <c r="B913">
        <f>loans_pred_opti_data!D913*loans_pred_opti_data!B913</f>
        <v>836.65542762530822</v>
      </c>
      <c r="C913">
        <f>(loans_pred_opti_data!B913-ret_PESS!$G$35*loans_pred_opti_data!C913)*loans_pred_opti_data!D913</f>
        <v>723.37185938543757</v>
      </c>
    </row>
    <row r="914" spans="1:3" x14ac:dyDescent="0.2">
      <c r="A914" s="1">
        <v>0</v>
      </c>
      <c r="B914">
        <f>loans_pred_opti_data!D914*loans_pred_opti_data!B914</f>
        <v>578.060906118003</v>
      </c>
      <c r="C914">
        <f>(loans_pred_opti_data!B914-ret_PESS!$G$35*loans_pred_opti_data!C914)*loans_pred_opti_data!D914</f>
        <v>281.26552326479077</v>
      </c>
    </row>
    <row r="915" spans="1:3" x14ac:dyDescent="0.2">
      <c r="A915" s="1">
        <v>0</v>
      </c>
      <c r="B915">
        <f>loans_pred_opti_data!D915*loans_pred_opti_data!B915</f>
        <v>196.83864701192329</v>
      </c>
      <c r="C915">
        <f>(loans_pred_opti_data!B915-ret_PESS!$G$35*loans_pred_opti_data!C915)*loans_pred_opti_data!D915</f>
        <v>128.37094235787805</v>
      </c>
    </row>
    <row r="916" spans="1:3" x14ac:dyDescent="0.2">
      <c r="A916" s="1">
        <v>0</v>
      </c>
      <c r="B916">
        <f>loans_pred_opti_data!D916*loans_pred_opti_data!B916</f>
        <v>205.9250713970298</v>
      </c>
      <c r="C916">
        <f>(loans_pred_opti_data!B916-ret_PESS!$G$35*loans_pred_opti_data!C916)*loans_pred_opti_data!D916</f>
        <v>160.9405280133459</v>
      </c>
    </row>
    <row r="917" spans="1:3" x14ac:dyDescent="0.2">
      <c r="A917" s="1">
        <v>0</v>
      </c>
      <c r="B917">
        <f>loans_pred_opti_data!D917*loans_pred_opti_data!B917</f>
        <v>-106.86085034858166</v>
      </c>
      <c r="C917">
        <f>(loans_pred_opti_data!B917-ret_PESS!$G$35*loans_pred_opti_data!C917)*loans_pred_opti_data!D917</f>
        <v>-251.01860773442763</v>
      </c>
    </row>
    <row r="918" spans="1:3" x14ac:dyDescent="0.2">
      <c r="A918" s="1">
        <v>0</v>
      </c>
      <c r="B918">
        <f>loans_pred_opti_data!D918*loans_pred_opti_data!B918</f>
        <v>179.94544211435101</v>
      </c>
      <c r="C918">
        <f>(loans_pred_opti_data!B918-ret_PESS!$G$35*loans_pred_opti_data!C918)*loans_pred_opti_data!D918</f>
        <v>104.97120314154449</v>
      </c>
    </row>
    <row r="919" spans="1:3" x14ac:dyDescent="0.2">
      <c r="A919" s="1">
        <v>0</v>
      </c>
      <c r="B919">
        <f>loans_pred_opti_data!D919*loans_pred_opti_data!B919</f>
        <v>241.7629040191656</v>
      </c>
      <c r="C919">
        <f>(loans_pred_opti_data!B919-ret_PESS!$G$35*loans_pred_opti_data!C919)*loans_pred_opti_data!D919</f>
        <v>174.28608894363975</v>
      </c>
    </row>
    <row r="920" spans="1:3" x14ac:dyDescent="0.2">
      <c r="A920" s="1">
        <v>0</v>
      </c>
      <c r="B920">
        <f>loans_pred_opti_data!D920*loans_pred_opti_data!B920</f>
        <v>118.22041114963886</v>
      </c>
      <c r="C920">
        <f>(loans_pred_opti_data!B920-ret_PESS!$G$35*loans_pred_opti_data!C920)*loans_pred_opti_data!D920</f>
        <v>97.801053815269796</v>
      </c>
    </row>
    <row r="921" spans="1:3" x14ac:dyDescent="0.2">
      <c r="A921" s="1">
        <v>0</v>
      </c>
      <c r="B921">
        <f>loans_pred_opti_data!D921*loans_pred_opti_data!B921</f>
        <v>941.12799640594847</v>
      </c>
      <c r="C921">
        <f>(loans_pred_opti_data!B921-ret_PESS!$G$35*loans_pred_opti_data!C921)*loans_pred_opti_data!D921</f>
        <v>703.69169012337863</v>
      </c>
    </row>
    <row r="922" spans="1:3" x14ac:dyDescent="0.2">
      <c r="A922" s="1">
        <v>0</v>
      </c>
      <c r="B922">
        <f>loans_pred_opti_data!D922*loans_pred_opti_data!B922</f>
        <v>545.19106187403133</v>
      </c>
      <c r="C922">
        <f>(loans_pred_opti_data!B922-ret_PESS!$G$35*loans_pred_opti_data!C922)*loans_pred_opti_data!D922</f>
        <v>442.69640489510073</v>
      </c>
    </row>
    <row r="923" spans="1:3" x14ac:dyDescent="0.2">
      <c r="A923" s="1">
        <v>0</v>
      </c>
      <c r="B923">
        <f>loans_pred_opti_data!D923*loans_pred_opti_data!B923</f>
        <v>27.334276497061047</v>
      </c>
      <c r="C923">
        <f>(loans_pred_opti_data!B923-ret_PESS!$G$35*loans_pred_opti_data!C923)*loans_pred_opti_data!D923</f>
        <v>18.858316848832381</v>
      </c>
    </row>
    <row r="924" spans="1:3" x14ac:dyDescent="0.2">
      <c r="A924" s="1">
        <v>0</v>
      </c>
      <c r="B924">
        <f>loans_pred_opti_data!D924*loans_pred_opti_data!B924</f>
        <v>362.62848353016653</v>
      </c>
      <c r="C924">
        <f>(loans_pred_opti_data!B924-ret_PESS!$G$35*loans_pred_opti_data!C924)*loans_pred_opti_data!D924</f>
        <v>271.33821065810622</v>
      </c>
    </row>
    <row r="925" spans="1:3" x14ac:dyDescent="0.2">
      <c r="A925" s="1">
        <v>0</v>
      </c>
      <c r="B925">
        <f>loans_pred_opti_data!D925*loans_pred_opti_data!B925</f>
        <v>398.32666619974401</v>
      </c>
      <c r="C925">
        <f>(loans_pred_opti_data!B925-ret_PESS!$G$35*loans_pred_opti_data!C925)*loans_pred_opti_data!D925</f>
        <v>312.01537611222352</v>
      </c>
    </row>
    <row r="926" spans="1:3" x14ac:dyDescent="0.2">
      <c r="A926" s="1">
        <v>0</v>
      </c>
      <c r="B926">
        <f>loans_pred_opti_data!D926*loans_pred_opti_data!B926</f>
        <v>1017.362220530695</v>
      </c>
      <c r="C926">
        <f>(loans_pred_opti_data!B926-ret_PESS!$G$35*loans_pred_opti_data!C926)*loans_pred_opti_data!D926</f>
        <v>882.5008297689443</v>
      </c>
    </row>
    <row r="927" spans="1:3" x14ac:dyDescent="0.2">
      <c r="A927" s="1">
        <v>0</v>
      </c>
      <c r="B927">
        <f>loans_pred_opti_data!D927*loans_pred_opti_data!B927</f>
        <v>174.75535652347082</v>
      </c>
      <c r="C927">
        <f>(loans_pred_opti_data!B927-ret_PESS!$G$35*loans_pred_opti_data!C927)*loans_pred_opti_data!D927</f>
        <v>99.232977696890387</v>
      </c>
    </row>
    <row r="928" spans="1:3" x14ac:dyDescent="0.2">
      <c r="A928" s="1">
        <v>0</v>
      </c>
      <c r="B928">
        <f>loans_pred_opti_data!D928*loans_pred_opti_data!B928</f>
        <v>72.974804854071252</v>
      </c>
      <c r="C928">
        <f>(loans_pred_opti_data!B928-ret_PESS!$G$35*loans_pred_opti_data!C928)*loans_pred_opti_data!D928</f>
        <v>46.484323886732319</v>
      </c>
    </row>
    <row r="929" spans="1:3" x14ac:dyDescent="0.2">
      <c r="A929" s="1">
        <v>0</v>
      </c>
      <c r="B929">
        <f>loans_pred_opti_data!D929*loans_pred_opti_data!B929</f>
        <v>439.18277112296352</v>
      </c>
      <c r="C929">
        <f>(loans_pred_opti_data!B929-ret_PESS!$G$35*loans_pred_opti_data!C929)*loans_pred_opti_data!D929</f>
        <v>331.2198670021221</v>
      </c>
    </row>
    <row r="930" spans="1:3" x14ac:dyDescent="0.2">
      <c r="A930" s="1">
        <v>0</v>
      </c>
      <c r="B930">
        <f>loans_pred_opti_data!D930*loans_pred_opti_data!B930</f>
        <v>10.125974992640719</v>
      </c>
      <c r="C930">
        <f>(loans_pred_opti_data!B930-ret_PESS!$G$35*loans_pred_opti_data!C930)*loans_pred_opti_data!D930</f>
        <v>-90.901812023216053</v>
      </c>
    </row>
    <row r="931" spans="1:3" x14ac:dyDescent="0.2">
      <c r="A931" s="1">
        <v>0</v>
      </c>
      <c r="B931">
        <f>loans_pred_opti_data!D931*loans_pred_opti_data!B931</f>
        <v>1358.8424928074976</v>
      </c>
      <c r="C931">
        <f>(loans_pred_opti_data!B931-ret_PESS!$G$35*loans_pred_opti_data!C931)*loans_pred_opti_data!D931</f>
        <v>1207.7977351543368</v>
      </c>
    </row>
    <row r="932" spans="1:3" x14ac:dyDescent="0.2">
      <c r="A932" s="1">
        <v>0</v>
      </c>
      <c r="B932">
        <f>loans_pred_opti_data!D932*loans_pred_opti_data!B932</f>
        <v>518.58166817618405</v>
      </c>
      <c r="C932">
        <f>(loans_pred_opti_data!B932-ret_PESS!$G$35*loans_pred_opti_data!C932)*loans_pred_opti_data!D932</f>
        <v>396.31790986538897</v>
      </c>
    </row>
    <row r="933" spans="1:3" x14ac:dyDescent="0.2">
      <c r="A933" s="1">
        <v>0</v>
      </c>
      <c r="B933">
        <f>loans_pred_opti_data!D933*loans_pred_opti_data!B933</f>
        <v>223.93400365256718</v>
      </c>
      <c r="C933">
        <f>(loans_pred_opti_data!B933-ret_PESS!$G$35*loans_pred_opti_data!C933)*loans_pred_opti_data!D933</f>
        <v>163.95461247432198</v>
      </c>
    </row>
    <row r="934" spans="1:3" x14ac:dyDescent="0.2">
      <c r="A934" s="1">
        <v>0</v>
      </c>
      <c r="B934">
        <f>loans_pred_opti_data!D934*loans_pred_opti_data!B934</f>
        <v>265.67971291736598</v>
      </c>
      <c r="C934">
        <f>(loans_pred_opti_data!B934-ret_PESS!$G$35*loans_pred_opti_data!C934)*loans_pred_opti_data!D934</f>
        <v>-31.11566993584632</v>
      </c>
    </row>
    <row r="935" spans="1:3" x14ac:dyDescent="0.2">
      <c r="A935" s="1">
        <v>0</v>
      </c>
      <c r="B935">
        <f>loans_pred_opti_data!D935*loans_pred_opti_data!B935</f>
        <v>274.98817287650877</v>
      </c>
      <c r="C935">
        <f>(loans_pred_opti_data!B935-ret_PESS!$G$35*loans_pred_opti_data!C935)*loans_pred_opti_data!D935</f>
        <v>203.01290346261456</v>
      </c>
    </row>
    <row r="936" spans="1:3" x14ac:dyDescent="0.2">
      <c r="A936" s="1">
        <v>0</v>
      </c>
      <c r="B936">
        <f>loans_pred_opti_data!D936*loans_pred_opti_data!B936</f>
        <v>1322.293814477094</v>
      </c>
      <c r="C936">
        <f>(loans_pred_opti_data!B936-ret_PESS!$G$35*loans_pred_opti_data!C936)*loans_pred_opti_data!D936</f>
        <v>1160.4601455629931</v>
      </c>
    </row>
    <row r="937" spans="1:3" x14ac:dyDescent="0.2">
      <c r="A937" s="1">
        <v>0</v>
      </c>
      <c r="B937">
        <f>loans_pred_opti_data!D937*loans_pred_opti_data!B937</f>
        <v>23.055945760047763</v>
      </c>
      <c r="C937">
        <f>(loans_pred_opti_data!B937-ret_PESS!$G$35*loans_pred_opti_data!C937)*loans_pred_opti_data!D937</f>
        <v>-81.907988801881345</v>
      </c>
    </row>
    <row r="938" spans="1:3" x14ac:dyDescent="0.2">
      <c r="A938" s="1">
        <v>1</v>
      </c>
      <c r="B938">
        <f>loans_pred_opti_data!D938*loans_pred_opti_data!B938</f>
        <v>570.52374244264706</v>
      </c>
      <c r="C938">
        <f>(loans_pred_opti_data!B938-ret_PESS!$G$35*loans_pred_opti_data!C938)*loans_pred_opti_data!D938</f>
        <v>381.71779537619602</v>
      </c>
    </row>
    <row r="939" spans="1:3" x14ac:dyDescent="0.2">
      <c r="A939" s="1">
        <v>0</v>
      </c>
      <c r="B939">
        <f>loans_pred_opti_data!D939*loans_pred_opti_data!B939</f>
        <v>1182.0522726206264</v>
      </c>
      <c r="C939">
        <f>(loans_pred_opti_data!B939-ret_PESS!$G$35*loans_pred_opti_data!C939)*loans_pred_opti_data!D939</f>
        <v>1031.0075149674656</v>
      </c>
    </row>
    <row r="940" spans="1:3" x14ac:dyDescent="0.2">
      <c r="A940" s="1">
        <v>0</v>
      </c>
      <c r="B940">
        <f>loans_pred_opti_data!D940*loans_pred_opti_data!B940</f>
        <v>78.843385849534272</v>
      </c>
      <c r="C940">
        <f>(loans_pred_opti_data!B940-ret_PESS!$G$35*loans_pred_opti_data!C940)*loans_pred_opti_data!D940</f>
        <v>33.296535673554317</v>
      </c>
    </row>
    <row r="941" spans="1:3" x14ac:dyDescent="0.2">
      <c r="A941" s="1">
        <v>0</v>
      </c>
      <c r="B941">
        <f>loans_pred_opti_data!D941*loans_pred_opti_data!B941</f>
        <v>304.22606758977554</v>
      </c>
      <c r="C941">
        <f>(loans_pred_opti_data!B941-ret_PESS!$G$35*loans_pred_opti_data!C941)*loans_pred_opti_data!D941</f>
        <v>241.24770685261808</v>
      </c>
    </row>
    <row r="942" spans="1:3" x14ac:dyDescent="0.2">
      <c r="A942" s="1">
        <v>0</v>
      </c>
      <c r="B942">
        <f>loans_pred_opti_data!D942*loans_pred_opti_data!B942</f>
        <v>278.75548790214373</v>
      </c>
      <c r="C942">
        <f>(loans_pred_opti_data!B942-ret_PESS!$G$35*loans_pred_opti_data!C942)*loans_pred_opti_data!D942</f>
        <v>226.27352062117919</v>
      </c>
    </row>
    <row r="943" spans="1:3" x14ac:dyDescent="0.2">
      <c r="A943" s="1">
        <v>0</v>
      </c>
      <c r="B943">
        <f>loans_pred_opti_data!D943*loans_pred_opti_data!B943</f>
        <v>-85.611028710487133</v>
      </c>
      <c r="C943">
        <f>(loans_pred_opti_data!B943-ret_PESS!$G$35*loans_pred_opti_data!C943)*loans_pred_opti_data!D943</f>
        <v>-238.24865417785347</v>
      </c>
    </row>
    <row r="944" spans="1:3" x14ac:dyDescent="0.2">
      <c r="A944" s="1">
        <v>0</v>
      </c>
      <c r="B944">
        <f>loans_pred_opti_data!D944*loans_pred_opti_data!B944</f>
        <v>53.090155750095605</v>
      </c>
      <c r="C944">
        <f>(loans_pred_opti_data!B944-ret_PESS!$G$35*loans_pred_opti_data!C944)*loans_pred_opti_data!D944</f>
        <v>-116.5072058803114</v>
      </c>
    </row>
    <row r="945" spans="1:3" x14ac:dyDescent="0.2">
      <c r="A945" s="1">
        <v>0</v>
      </c>
      <c r="B945">
        <f>loans_pred_opti_data!D945*loans_pred_opti_data!B945</f>
        <v>-43.776731367190081</v>
      </c>
      <c r="C945">
        <f>(loans_pred_opti_data!B945-ret_PESS!$G$35*loans_pred_opti_data!C945)*loans_pred_opti_data!D945</f>
        <v>-129.36136218474664</v>
      </c>
    </row>
    <row r="946" spans="1:3" x14ac:dyDescent="0.2">
      <c r="A946" s="1">
        <v>0</v>
      </c>
      <c r="B946">
        <f>loans_pred_opti_data!D946*loans_pred_opti_data!B946</f>
        <v>-15.312410076820079</v>
      </c>
      <c r="C946">
        <f>(loans_pred_opti_data!B946-ret_PESS!$G$35*loans_pred_opti_data!C946)*loans_pred_opti_data!D946</f>
        <v>-60.296953460503978</v>
      </c>
    </row>
    <row r="947" spans="1:3" x14ac:dyDescent="0.2">
      <c r="A947" s="1">
        <v>0</v>
      </c>
      <c r="B947">
        <f>loans_pred_opti_data!D947*loans_pred_opti_data!B947</f>
        <v>717.90510219450744</v>
      </c>
      <c r="C947">
        <f>(loans_pred_opti_data!B947-ret_PESS!$G$35*loans_pred_opti_data!C947)*loans_pred_opti_data!D947</f>
        <v>505.90840015649871</v>
      </c>
    </row>
    <row r="948" spans="1:3" x14ac:dyDescent="0.2">
      <c r="A948" s="1">
        <v>0</v>
      </c>
      <c r="B948">
        <f>loans_pred_opti_data!D948*loans_pred_opti_data!B948</f>
        <v>239.82764812257096</v>
      </c>
      <c r="C948">
        <f>(loans_pred_opti_data!B948-ret_PESS!$G$35*loans_pred_opti_data!C948)*loans_pred_opti_data!D948</f>
        <v>167.48825778868385</v>
      </c>
    </row>
    <row r="949" spans="1:3" x14ac:dyDescent="0.2">
      <c r="A949" s="1">
        <v>0</v>
      </c>
      <c r="B949">
        <f>loans_pred_opti_data!D949*loans_pred_opti_data!B949</f>
        <v>481.07306853162601</v>
      </c>
      <c r="C949">
        <f>(loans_pred_opti_data!B949-ret_PESS!$G$35*loans_pred_opti_data!C949)*loans_pred_opti_data!D949</f>
        <v>365.49180060123507</v>
      </c>
    </row>
    <row r="950" spans="1:3" x14ac:dyDescent="0.2">
      <c r="A950" s="1">
        <v>0</v>
      </c>
      <c r="B950">
        <f>loans_pred_opti_data!D950*loans_pred_opti_data!B950</f>
        <v>1198.3308835003206</v>
      </c>
      <c r="C950">
        <f>(loans_pred_opti_data!B950-ret_PESS!$G$35*loans_pred_opti_data!C950)*loans_pred_opti_data!D950</f>
        <v>901.53550064710828</v>
      </c>
    </row>
    <row r="951" spans="1:3" x14ac:dyDescent="0.2">
      <c r="A951" s="1">
        <v>0</v>
      </c>
      <c r="B951">
        <f>loans_pred_opti_data!D951*loans_pred_opti_data!B951</f>
        <v>760.64749691430825</v>
      </c>
      <c r="C951">
        <f>(loans_pred_opti_data!B951-ret_PESS!$G$35*loans_pred_opti_data!C951)*loans_pred_opti_data!D951</f>
        <v>537.41496966828504</v>
      </c>
    </row>
    <row r="952" spans="1:3" x14ac:dyDescent="0.2">
      <c r="A952" s="1">
        <v>0</v>
      </c>
      <c r="B952">
        <f>loans_pred_opti_data!D952*loans_pred_opti_data!B952</f>
        <v>512.04803044618393</v>
      </c>
      <c r="C952">
        <f>(loans_pred_opti_data!B952-ret_PESS!$G$35*loans_pred_opti_data!C952)*loans_pred_opti_data!D952</f>
        <v>381.63335491466921</v>
      </c>
    </row>
    <row r="953" spans="1:3" x14ac:dyDescent="0.2">
      <c r="A953" s="1">
        <v>0</v>
      </c>
      <c r="B953">
        <f>loans_pred_opti_data!D953*loans_pred_opti_data!B953</f>
        <v>241.88347606297799</v>
      </c>
      <c r="C953">
        <f>(loans_pred_opti_data!B953-ret_PESS!$G$35*loans_pred_opti_data!C953)*loans_pred_opti_data!D953</f>
        <v>160.37430385578131</v>
      </c>
    </row>
    <row r="954" spans="1:3" x14ac:dyDescent="0.2">
      <c r="A954" s="1">
        <v>0</v>
      </c>
      <c r="B954">
        <f>loans_pred_opti_data!D954*loans_pred_opti_data!B954</f>
        <v>266.16303929176485</v>
      </c>
      <c r="C954">
        <f>(loans_pred_opti_data!B954-ret_PESS!$G$35*loans_pred_opti_data!C954)*loans_pred_opti_data!D954</f>
        <v>204.51969639555634</v>
      </c>
    </row>
    <row r="955" spans="1:3" x14ac:dyDescent="0.2">
      <c r="A955" s="1">
        <v>0</v>
      </c>
      <c r="B955">
        <f>loans_pred_opti_data!D955*loans_pred_opti_data!B955</f>
        <v>280.89278166334805</v>
      </c>
      <c r="C955">
        <f>(loans_pred_opti_data!B955-ret_PESS!$G$35*loans_pred_opti_data!C955)*loans_pred_opti_data!D955</f>
        <v>215.68544389759066</v>
      </c>
    </row>
    <row r="956" spans="1:3" x14ac:dyDescent="0.2">
      <c r="A956" s="1">
        <v>0</v>
      </c>
      <c r="B956">
        <f>loans_pred_opti_data!D956*loans_pred_opti_data!B956</f>
        <v>233.95155901100401</v>
      </c>
      <c r="C956">
        <f>(loans_pred_opti_data!B956-ret_PESS!$G$35*loans_pred_opti_data!C956)*loans_pred_opti_data!D956</f>
        <v>173.97216783275883</v>
      </c>
    </row>
    <row r="957" spans="1:3" x14ac:dyDescent="0.2">
      <c r="A957" s="1">
        <v>0</v>
      </c>
      <c r="B957">
        <f>loans_pred_opti_data!D957*loans_pred_opti_data!B957</f>
        <v>891.1121700513047</v>
      </c>
      <c r="C957">
        <f>(loans_pred_opti_data!B957-ret_PESS!$G$35*loans_pred_opti_data!C957)*loans_pred_opti_data!D957</f>
        <v>772.16442339944058</v>
      </c>
    </row>
    <row r="958" spans="1:3" x14ac:dyDescent="0.2">
      <c r="A958" s="1">
        <v>0</v>
      </c>
      <c r="B958">
        <f>loans_pred_opti_data!D958*loans_pred_opti_data!B958</f>
        <v>73.2878883628388</v>
      </c>
      <c r="C958">
        <f>(loans_pred_opti_data!B958-ret_PESS!$G$35*loans_pred_opti_data!C958)*loans_pred_opti_data!D958</f>
        <v>43.298192773716195</v>
      </c>
    </row>
    <row r="959" spans="1:3" x14ac:dyDescent="0.2">
      <c r="A959" s="1">
        <v>1</v>
      </c>
      <c r="B959">
        <f>loans_pred_opti_data!D959*loans_pred_opti_data!B959</f>
        <v>251.699126553924</v>
      </c>
      <c r="C959">
        <f>(loans_pred_opti_data!B959-ret_PESS!$G$35*loans_pred_opti_data!C959)*loans_pred_opti_data!D959</f>
        <v>199.21715927295946</v>
      </c>
    </row>
    <row r="960" spans="1:3" x14ac:dyDescent="0.2">
      <c r="A960" s="1">
        <v>0</v>
      </c>
      <c r="B960">
        <f>loans_pred_opti_data!D960*loans_pred_opti_data!B960</f>
        <v>16.363348561154712</v>
      </c>
      <c r="C960">
        <f>(loans_pred_opti_data!B960-ret_PESS!$G$35*loans_pred_opti_data!C960)*loans_pred_opti_data!D960</f>
        <v>-61.609859970564052</v>
      </c>
    </row>
    <row r="961" spans="1:3" x14ac:dyDescent="0.2">
      <c r="A961" s="1">
        <v>0</v>
      </c>
      <c r="B961">
        <f>loans_pred_opti_data!D961*loans_pred_opti_data!B961</f>
        <v>297.81347490664831</v>
      </c>
      <c r="C961">
        <f>(loans_pred_opti_data!B961-ret_PESS!$G$35*loans_pred_opti_data!C961)*loans_pred_opti_data!D961</f>
        <v>224.45521992017126</v>
      </c>
    </row>
    <row r="962" spans="1:3" x14ac:dyDescent="0.2">
      <c r="A962" s="1">
        <v>1</v>
      </c>
      <c r="B962">
        <f>loans_pred_opti_data!D962*loans_pred_opti_data!B962</f>
        <v>348.71566991826853</v>
      </c>
      <c r="C962">
        <f>(loans_pred_opti_data!B962-ret_PESS!$G$35*loans_pred_opti_data!C962)*loans_pred_opti_data!D962</f>
        <v>134.81099756191767</v>
      </c>
    </row>
    <row r="963" spans="1:3" x14ac:dyDescent="0.2">
      <c r="A963" s="1">
        <v>0</v>
      </c>
      <c r="B963">
        <f>loans_pred_opti_data!D963*loans_pred_opti_data!B963</f>
        <v>265.13096724394478</v>
      </c>
      <c r="C963">
        <f>(loans_pred_opti_data!B963-ret_PESS!$G$35*loans_pred_opti_data!C963)*loans_pred_opti_data!D963</f>
        <v>205.1515760656996</v>
      </c>
    </row>
    <row r="964" spans="1:3" x14ac:dyDescent="0.2">
      <c r="A964" s="1">
        <v>1</v>
      </c>
      <c r="B964">
        <f>loans_pred_opti_data!D964*loans_pred_opti_data!B964</f>
        <v>388.55575350055801</v>
      </c>
      <c r="C964">
        <f>(loans_pred_opti_data!B964-ret_PESS!$G$35*loans_pred_opti_data!C964)*loans_pred_opti_data!D964</f>
        <v>151.11944721798815</v>
      </c>
    </row>
    <row r="965" spans="1:3" x14ac:dyDescent="0.2">
      <c r="A965" s="1">
        <v>0</v>
      </c>
      <c r="B965">
        <f>loans_pred_opti_data!D965*loans_pred_opti_data!B965</f>
        <v>34.940458644150155</v>
      </c>
      <c r="C965">
        <f>(loans_pred_opti_data!B965-ret_PESS!$G$35*loans_pred_opti_data!C965)*loans_pred_opti_data!D965</f>
        <v>-143.13677106777723</v>
      </c>
    </row>
    <row r="966" spans="1:3" x14ac:dyDescent="0.2">
      <c r="A966" s="1">
        <v>0</v>
      </c>
      <c r="B966">
        <f>loans_pred_opti_data!D966*loans_pred_opti_data!B966</f>
        <v>124.18018959109958</v>
      </c>
      <c r="C966">
        <f>(loans_pred_opti_data!B966-ret_PESS!$G$35*loans_pred_opti_data!C966)*loans_pred_opti_data!D966</f>
        <v>86.278424514753112</v>
      </c>
    </row>
    <row r="967" spans="1:3" x14ac:dyDescent="0.2">
      <c r="A967" s="1">
        <v>0</v>
      </c>
      <c r="B967">
        <f>loans_pred_opti_data!D967*loans_pred_opti_data!B967</f>
        <v>-2.5411980420199241</v>
      </c>
      <c r="C967">
        <f>(loans_pred_opti_data!B967-ret_PESS!$G$35*loans_pred_opti_data!C967)*loans_pred_opti_data!D967</f>
        <v>-83.325940535218933</v>
      </c>
    </row>
    <row r="968" spans="1:3" x14ac:dyDescent="0.2">
      <c r="A968" s="1">
        <v>0</v>
      </c>
      <c r="B968">
        <f>loans_pred_opti_data!D968*loans_pred_opti_data!B968</f>
        <v>666.08648276075041</v>
      </c>
      <c r="C968">
        <f>(loans_pred_opti_data!B968-ret_PESS!$G$35*loans_pred_opti_data!C968)*loans_pred_opti_data!D968</f>
        <v>535.6718072292357</v>
      </c>
    </row>
    <row r="969" spans="1:3" x14ac:dyDescent="0.2">
      <c r="A969" s="1">
        <v>0</v>
      </c>
      <c r="B969">
        <f>loans_pred_opti_data!D969*loans_pred_opti_data!B969</f>
        <v>-13.865058473597577</v>
      </c>
      <c r="C969">
        <f>(loans_pred_opti_data!B969-ret_PESS!$G$35*loans_pred_opti_data!C969)*loans_pred_opti_data!D969</f>
        <v>-216.10991221785795</v>
      </c>
    </row>
    <row r="970" spans="1:3" x14ac:dyDescent="0.2">
      <c r="A970" s="1">
        <v>0</v>
      </c>
      <c r="B970">
        <f>loans_pred_opti_data!D970*loans_pred_opti_data!B970</f>
        <v>406.3145694568185</v>
      </c>
      <c r="C970">
        <f>(loans_pred_opti_data!B970-ret_PESS!$G$35*loans_pred_opti_data!C970)*loans_pred_opti_data!D970</f>
        <v>284.05081114602342</v>
      </c>
    </row>
    <row r="971" spans="1:3" x14ac:dyDescent="0.2">
      <c r="A971" s="1">
        <v>0</v>
      </c>
      <c r="B971">
        <f>loans_pred_opti_data!D971*loans_pred_opti_data!B971</f>
        <v>392.08047866828866</v>
      </c>
      <c r="C971">
        <f>(loans_pred_opti_data!B971-ret_PESS!$G$35*loans_pred_opti_data!C971)*loans_pred_opti_data!D971</f>
        <v>290.52985142469032</v>
      </c>
    </row>
    <row r="972" spans="1:3" x14ac:dyDescent="0.2">
      <c r="A972" s="1">
        <v>0</v>
      </c>
      <c r="B972">
        <f>loans_pred_opti_data!D972*loans_pred_opti_data!B972</f>
        <v>318.83340064053027</v>
      </c>
      <c r="C972">
        <f>(loans_pred_opti_data!B972-ret_PESS!$G$35*loans_pred_opti_data!C972)*loans_pred_opti_data!D972</f>
        <v>210.87049651968888</v>
      </c>
    </row>
    <row r="973" spans="1:3" x14ac:dyDescent="0.2">
      <c r="A973" s="1">
        <v>0</v>
      </c>
      <c r="B973">
        <f>loans_pred_opti_data!D973*loans_pred_opti_data!B973</f>
        <v>495.48570773932056</v>
      </c>
      <c r="C973">
        <f>(loans_pred_opti_data!B973-ret_PESS!$G$35*loans_pred_opti_data!C973)*loans_pred_opti_data!D973</f>
        <v>383.02434928011081</v>
      </c>
    </row>
    <row r="974" spans="1:3" x14ac:dyDescent="0.2">
      <c r="A974" s="1">
        <v>0</v>
      </c>
      <c r="B974">
        <f>loans_pred_opti_data!D974*loans_pred_opti_data!B974</f>
        <v>195.83558010155699</v>
      </c>
      <c r="C974">
        <f>(loans_pred_opti_data!B974-ret_PESS!$G$35*loans_pred_opti_data!C974)*loans_pred_opti_data!D974</f>
        <v>150.85103671787309</v>
      </c>
    </row>
    <row r="975" spans="1:3" x14ac:dyDescent="0.2">
      <c r="A975" s="1">
        <v>0</v>
      </c>
      <c r="B975">
        <f>loans_pred_opti_data!D975*loans_pred_opti_data!B975</f>
        <v>662.88505889061798</v>
      </c>
      <c r="C975">
        <f>(loans_pred_opti_data!B975-ret_PESS!$G$35*loans_pred_opti_data!C975)*loans_pred_opti_data!D975</f>
        <v>508.7767016500967</v>
      </c>
    </row>
    <row r="976" spans="1:3" x14ac:dyDescent="0.2">
      <c r="A976" s="1">
        <v>0</v>
      </c>
      <c r="B976">
        <f>loans_pred_opti_data!D976*loans_pred_opti_data!B976</f>
        <v>489.75986612542397</v>
      </c>
      <c r="C976">
        <f>(loans_pred_opti_data!B976-ret_PESS!$G$35*loans_pred_opti_data!C976)*loans_pred_opti_data!D976</f>
        <v>369.80108376893361</v>
      </c>
    </row>
    <row r="977" spans="1:3" x14ac:dyDescent="0.2">
      <c r="A977" s="1">
        <v>0</v>
      </c>
      <c r="B977">
        <f>loans_pred_opti_data!D977*loans_pred_opti_data!B977</f>
        <v>190.13204283334574</v>
      </c>
      <c r="C977">
        <f>(loans_pred_opti_data!B977-ret_PESS!$G$35*loans_pred_opti_data!C977)*loans_pred_opti_data!D977</f>
        <v>98.841769961285436</v>
      </c>
    </row>
    <row r="978" spans="1:3" x14ac:dyDescent="0.2">
      <c r="A978" s="1">
        <v>0</v>
      </c>
      <c r="B978">
        <f>loans_pred_opti_data!D978*loans_pred_opti_data!B978</f>
        <v>527.23813663176077</v>
      </c>
      <c r="C978">
        <f>(loans_pred_opti_data!B978-ret_PESS!$G$35*loans_pred_opti_data!C978)*loans_pred_opti_data!D978</f>
        <v>359.7607420217339</v>
      </c>
    </row>
    <row r="979" spans="1:3" x14ac:dyDescent="0.2">
      <c r="A979" s="1">
        <v>0</v>
      </c>
      <c r="B979">
        <f>loans_pred_opti_data!D979*loans_pred_opti_data!B979</f>
        <v>56.186273292436496</v>
      </c>
      <c r="C979">
        <f>(loans_pred_opti_data!B979-ret_PESS!$G$35*loans_pred_opti_data!C979)*loans_pred_opti_data!D979</f>
        <v>15.431687188838145</v>
      </c>
    </row>
    <row r="980" spans="1:3" x14ac:dyDescent="0.2">
      <c r="A980" s="1">
        <v>0</v>
      </c>
      <c r="B980">
        <f>loans_pred_opti_data!D980*loans_pred_opti_data!B980</f>
        <v>318.21227301358317</v>
      </c>
      <c r="C980">
        <f>(loans_pred_opti_data!B980-ret_PESS!$G$35*loans_pred_opti_data!C980)*loans_pred_opti_data!D980</f>
        <v>220.40126636494711</v>
      </c>
    </row>
    <row r="981" spans="1:3" x14ac:dyDescent="0.2">
      <c r="A981" s="1">
        <v>0</v>
      </c>
      <c r="B981">
        <f>loans_pred_opti_data!D981*loans_pred_opti_data!B981</f>
        <v>550.38748778303591</v>
      </c>
      <c r="C981">
        <f>(loans_pred_opti_data!B981-ret_PESS!$G$35*loans_pred_opti_data!C981)*loans_pred_opti_data!D981</f>
        <v>422.93128152926488</v>
      </c>
    </row>
    <row r="982" spans="1:3" x14ac:dyDescent="0.2">
      <c r="A982" s="1">
        <v>0</v>
      </c>
      <c r="B982">
        <f>loans_pred_opti_data!D982*loans_pred_opti_data!B982</f>
        <v>367.63511276727002</v>
      </c>
      <c r="C982">
        <f>(loans_pred_opti_data!B982-ret_PESS!$G$35*loans_pred_opti_data!C982)*loans_pred_opti_data!D982</f>
        <v>292.6608737944635</v>
      </c>
    </row>
    <row r="983" spans="1:3" x14ac:dyDescent="0.2">
      <c r="A983" s="1">
        <v>0</v>
      </c>
      <c r="B983">
        <f>loans_pred_opti_data!D983*loans_pred_opti_data!B983</f>
        <v>345.37009032645352</v>
      </c>
      <c r="C983">
        <f>(loans_pred_opti_data!B983-ret_PESS!$G$35*loans_pred_opti_data!C983)*loans_pred_opti_data!D983</f>
        <v>262.89842745636639</v>
      </c>
    </row>
    <row r="984" spans="1:3" x14ac:dyDescent="0.2">
      <c r="A984" s="1">
        <v>0</v>
      </c>
      <c r="B984">
        <f>loans_pred_opti_data!D984*loans_pred_opti_data!B984</f>
        <v>336.10281452576601</v>
      </c>
      <c r="C984">
        <f>(loans_pred_opti_data!B984-ret_PESS!$G$35*loans_pred_opti_data!C984)*loans_pred_opti_data!D984</f>
        <v>259.04863590550536</v>
      </c>
    </row>
    <row r="985" spans="1:3" x14ac:dyDescent="0.2">
      <c r="A985" s="1">
        <v>0</v>
      </c>
      <c r="B985">
        <f>loans_pred_opti_data!D985*loans_pred_opti_data!B985</f>
        <v>58.508509681210398</v>
      </c>
      <c r="C985">
        <f>(loans_pred_opti_data!B985-ret_PESS!$G$35*loans_pred_opti_data!C985)*loans_pred_opti_data!D985</f>
        <v>28.518814092087798</v>
      </c>
    </row>
    <row r="986" spans="1:3" x14ac:dyDescent="0.2">
      <c r="A986" s="1">
        <v>0</v>
      </c>
      <c r="B986">
        <f>loans_pred_opti_data!D986*loans_pred_opti_data!B986</f>
        <v>268.5810680922375</v>
      </c>
      <c r="C986">
        <f>(loans_pred_opti_data!B986-ret_PESS!$G$35*loans_pred_opti_data!C986)*loans_pred_opti_data!D986</f>
        <v>178.10588694224916</v>
      </c>
    </row>
    <row r="987" spans="1:3" x14ac:dyDescent="0.2">
      <c r="A987" s="1">
        <v>0</v>
      </c>
      <c r="B987">
        <f>loans_pred_opti_data!D987*loans_pred_opti_data!B987</f>
        <v>145.00889048411625</v>
      </c>
      <c r="C987">
        <f>(loans_pred_opti_data!B987-ret_PESS!$G$35*loans_pred_opti_data!C987)*loans_pred_opti_data!D987</f>
        <v>88.778211254511376</v>
      </c>
    </row>
    <row r="988" spans="1:3" x14ac:dyDescent="0.2">
      <c r="A988" s="1">
        <v>1</v>
      </c>
      <c r="B988">
        <f>loans_pred_opti_data!D988*loans_pred_opti_data!B988</f>
        <v>329.19545055217759</v>
      </c>
      <c r="C988">
        <f>(loans_pred_opti_data!B988-ret_PESS!$G$35*loans_pred_opti_data!C988)*loans_pred_opti_data!D988</f>
        <v>209.23666819568717</v>
      </c>
    </row>
    <row r="989" spans="1:3" x14ac:dyDescent="0.2">
      <c r="A989" s="1">
        <v>0</v>
      </c>
      <c r="B989">
        <f>loans_pred_opti_data!D989*loans_pred_opti_data!B989</f>
        <v>355.14317384659262</v>
      </c>
      <c r="C989">
        <f>(loans_pred_opti_data!B989-ret_PESS!$G$35*loans_pred_opti_data!C989)*loans_pred_opti_data!D989</f>
        <v>281.78491886011557</v>
      </c>
    </row>
    <row r="990" spans="1:3" x14ac:dyDescent="0.2">
      <c r="A990" s="1">
        <v>0</v>
      </c>
      <c r="B990">
        <f>loans_pred_opti_data!D990*loans_pred_opti_data!B990</f>
        <v>195.26780151362235</v>
      </c>
      <c r="C990">
        <f>(loans_pred_opti_data!B990-ret_PESS!$G$35*loans_pred_opti_data!C990)*loans_pred_opti_data!D990</f>
        <v>154.92076127105997</v>
      </c>
    </row>
    <row r="991" spans="1:3" x14ac:dyDescent="0.2">
      <c r="A991" s="1">
        <v>0</v>
      </c>
      <c r="B991">
        <f>loans_pred_opti_data!D991*loans_pred_opti_data!B991</f>
        <v>111.82751679264048</v>
      </c>
      <c r="C991">
        <f>(loans_pred_opti_data!B991-ret_PESS!$G$35*loans_pred_opti_data!C991)*loans_pred_opti_data!D991</f>
        <v>72.703114133186062</v>
      </c>
    </row>
    <row r="992" spans="1:3" x14ac:dyDescent="0.2">
      <c r="A992" s="1">
        <v>0</v>
      </c>
      <c r="B992">
        <f>loans_pred_opti_data!D992*loans_pred_opti_data!B992</f>
        <v>205.16710011921893</v>
      </c>
      <c r="C992">
        <f>(loans_pred_opti_data!B992-ret_PESS!$G$35*loans_pred_opti_data!C992)*loans_pred_opti_data!D992</f>
        <v>156.4338447868947</v>
      </c>
    </row>
    <row r="993" spans="1:3" x14ac:dyDescent="0.2">
      <c r="A993" s="1">
        <v>0</v>
      </c>
      <c r="B993">
        <f>loans_pred_opti_data!D993*loans_pred_opti_data!B993</f>
        <v>299.07921846144001</v>
      </c>
      <c r="C993">
        <f>(loans_pred_opti_data!B993-ret_PESS!$G$35*loans_pred_opti_data!C993)*loans_pred_opti_data!D993</f>
        <v>209.11013169407215</v>
      </c>
    </row>
    <row r="994" spans="1:3" x14ac:dyDescent="0.2">
      <c r="A994" s="1">
        <v>0</v>
      </c>
      <c r="B994">
        <f>loans_pred_opti_data!D994*loans_pred_opti_data!B994</f>
        <v>213.41947936381592</v>
      </c>
      <c r="C994">
        <f>(loans_pred_opti_data!B994-ret_PESS!$G$35*loans_pred_opti_data!C994)*loans_pred_opti_data!D994</f>
        <v>-47.336464142934865</v>
      </c>
    </row>
    <row r="995" spans="1:3" x14ac:dyDescent="0.2">
      <c r="A995" s="1">
        <v>0</v>
      </c>
      <c r="B995">
        <f>loans_pred_opti_data!D995*loans_pred_opti_data!B995</f>
        <v>249.11692487402161</v>
      </c>
      <c r="C995">
        <f>(loans_pred_opti_data!B995-ret_PESS!$G$35*loans_pred_opti_data!C995)*loans_pred_opti_data!D995</f>
        <v>183.90958710826422</v>
      </c>
    </row>
    <row r="996" spans="1:3" x14ac:dyDescent="0.2">
      <c r="A996" s="1">
        <v>0</v>
      </c>
      <c r="B996">
        <f>loans_pred_opti_data!D996*loans_pred_opti_data!B996</f>
        <v>138.35603077928101</v>
      </c>
      <c r="C996">
        <f>(loans_pred_opti_data!B996-ret_PESS!$G$35*loans_pred_opti_data!C996)*loans_pred_opti_data!D996</f>
        <v>102.69576793863244</v>
      </c>
    </row>
    <row r="997" spans="1:3" x14ac:dyDescent="0.2">
      <c r="A997" s="1">
        <v>0</v>
      </c>
      <c r="B997">
        <f>loans_pred_opti_data!D997*loans_pred_opti_data!B997</f>
        <v>294.5721569285484</v>
      </c>
      <c r="C997">
        <f>(loans_pred_opti_data!B997-ret_PESS!$G$35*loans_pred_opti_data!C997)*loans_pred_opti_data!D997</f>
        <v>221.21390194207137</v>
      </c>
    </row>
    <row r="998" spans="1:3" x14ac:dyDescent="0.2">
      <c r="A998" s="1">
        <v>0</v>
      </c>
      <c r="B998">
        <f>loans_pred_opti_data!D998*loans_pred_opti_data!B998</f>
        <v>405.46414695653397</v>
      </c>
      <c r="C998">
        <f>(loans_pred_opti_data!B998-ret_PESS!$G$35*loans_pred_opti_data!C998)*loans_pred_opti_data!D998</f>
        <v>315.49506018916617</v>
      </c>
    </row>
    <row r="999" spans="1:3" x14ac:dyDescent="0.2">
      <c r="A999" s="1">
        <v>0</v>
      </c>
      <c r="B999">
        <f>loans_pred_opti_data!D999*loans_pred_opti_data!B999</f>
        <v>53.026331481142655</v>
      </c>
      <c r="C999">
        <f>(loans_pred_opti_data!B999-ret_PESS!$G$35*loans_pred_opti_data!C999)*loans_pred_opti_data!D999</f>
        <v>-101.30726760252774</v>
      </c>
    </row>
    <row r="1000" spans="1:3" x14ac:dyDescent="0.2">
      <c r="A1000" s="1">
        <v>0</v>
      </c>
      <c r="B1000">
        <f>loans_pred_opti_data!D1000*loans_pred_opti_data!B1000</f>
        <v>192.6180305207576</v>
      </c>
      <c r="C1000">
        <f>(loans_pred_opti_data!B1000-ret_PESS!$G$35*loans_pred_opti_data!C1000)*loans_pred_opti_data!D1000</f>
        <v>84.728917911357016</v>
      </c>
    </row>
    <row r="1001" spans="1:3" x14ac:dyDescent="0.2">
      <c r="A1001" s="1">
        <v>0</v>
      </c>
      <c r="B1001">
        <f>loans_pred_opti_data!D1001*loans_pred_opti_data!B1001</f>
        <v>339.03432742433665</v>
      </c>
      <c r="C1001">
        <f>(loans_pred_opti_data!B1001-ret_PESS!$G$35*loans_pred_opti_data!C1001)*loans_pred_opti_data!D1001</f>
        <v>287.24755337182432</v>
      </c>
    </row>
    <row r="1002" spans="1:3" x14ac:dyDescent="0.2">
      <c r="A1002" s="1">
        <v>0</v>
      </c>
      <c r="B1002">
        <f>loans_pred_opti_data!D1002*loans_pred_opti_data!B1002</f>
        <v>340.86052315693462</v>
      </c>
      <c r="C1002">
        <f>(loans_pred_opti_data!B1002-ret_PESS!$G$35*loans_pred_opti_data!C1002)*loans_pred_opti_data!D1002</f>
        <v>269.97067882629483</v>
      </c>
    </row>
    <row r="1003" spans="1:3" x14ac:dyDescent="0.2">
      <c r="A1003" s="1">
        <v>0</v>
      </c>
      <c r="B1003">
        <f>loans_pred_opti_data!D1003*loans_pred_opti_data!B1003</f>
        <v>280.84379486594725</v>
      </c>
      <c r="C1003">
        <f>(loans_pred_opti_data!B1003-ret_PESS!$G$35*loans_pred_opti_data!C1003)*loans_pred_opti_data!D1003</f>
        <v>199.87161677531623</v>
      </c>
    </row>
    <row r="1004" spans="1:3" x14ac:dyDescent="0.2">
      <c r="A1004" s="1">
        <v>0</v>
      </c>
      <c r="B1004">
        <f>loans_pred_opti_data!D1004*loans_pred_opti_data!B1004</f>
        <v>211.93564775384755</v>
      </c>
      <c r="C1004">
        <f>(loans_pred_opti_data!B1004-ret_PESS!$G$35*loans_pred_opti_data!C1004)*loans_pred_opti_data!D1004</f>
        <v>156.82958210883479</v>
      </c>
    </row>
    <row r="1005" spans="1:3" x14ac:dyDescent="0.2">
      <c r="A1005" s="1">
        <v>0</v>
      </c>
      <c r="B1005">
        <f>loans_pred_opti_data!D1005*loans_pred_opti_data!B1005</f>
        <v>325.57144398024599</v>
      </c>
      <c r="C1005">
        <f>(loans_pred_opti_data!B1005-ret_PESS!$G$35*loans_pred_opti_data!C1005)*loans_pred_opti_data!D1005</f>
        <v>71.175401534635483</v>
      </c>
    </row>
    <row r="1006" spans="1:3" x14ac:dyDescent="0.2">
      <c r="A1006" s="1">
        <v>0</v>
      </c>
      <c r="B1006">
        <f>loans_pred_opti_data!D1006*loans_pred_opti_data!B1006</f>
        <v>264.18793134009297</v>
      </c>
      <c r="C1006">
        <f>(loans_pred_opti_data!B1006-ret_PESS!$G$35*loans_pred_opti_data!C1006)*loans_pred_opti_data!D1006</f>
        <v>189.21369236728651</v>
      </c>
    </row>
    <row r="1007" spans="1:3" x14ac:dyDescent="0.2">
      <c r="A1007" s="1">
        <v>0</v>
      </c>
      <c r="B1007">
        <f>loans_pred_opti_data!D1007*loans_pred_opti_data!B1007</f>
        <v>176.25453904817502</v>
      </c>
      <c r="C1007">
        <f>(loans_pred_opti_data!B1007-ret_PESS!$G$35*loans_pred_opti_data!C1007)*loans_pred_opti_data!D1007</f>
        <v>94.745366840978306</v>
      </c>
    </row>
    <row r="1008" spans="1:3" x14ac:dyDescent="0.2">
      <c r="A1008" s="1">
        <v>0</v>
      </c>
      <c r="B1008">
        <f>loans_pred_opti_data!D1008*loans_pred_opti_data!B1008</f>
        <v>719.59046466695997</v>
      </c>
      <c r="C1008">
        <f>(loans_pred_opti_data!B1008-ret_PESS!$G$35*loans_pred_opti_data!C1008)*loans_pred_opti_data!D1008</f>
        <v>549.99310303655295</v>
      </c>
    </row>
    <row r="1009" spans="1:3" x14ac:dyDescent="0.2">
      <c r="A1009" s="1">
        <v>0</v>
      </c>
      <c r="B1009">
        <f>loans_pred_opti_data!D1009*loans_pred_opti_data!B1009</f>
        <v>211.48588809195479</v>
      </c>
      <c r="C1009">
        <f>(loans_pred_opti_data!B1009-ret_PESS!$G$35*loans_pred_opti_data!C1009)*loans_pred_opti_data!D1009</f>
        <v>152.79928410277319</v>
      </c>
    </row>
    <row r="1010" spans="1:3" x14ac:dyDescent="0.2">
      <c r="A1010" s="1">
        <v>0</v>
      </c>
      <c r="B1010">
        <f>loans_pred_opti_data!D1010*loans_pred_opti_data!B1010</f>
        <v>708.81496702590425</v>
      </c>
      <c r="C1010">
        <f>(loans_pred_opti_data!B1010-ret_PESS!$G$35*loans_pred_opti_data!C1010)*loans_pred_opti_data!D1010</f>
        <v>562.09845705295015</v>
      </c>
    </row>
    <row r="1011" spans="1:3" x14ac:dyDescent="0.2">
      <c r="A1011" s="1">
        <v>0</v>
      </c>
      <c r="B1011">
        <f>loans_pred_opti_data!D1011*loans_pred_opti_data!B1011</f>
        <v>316.24478240453567</v>
      </c>
      <c r="C1011">
        <f>(loans_pred_opti_data!B1011-ret_PESS!$G$35*loans_pred_opti_data!C1011)*loans_pred_opti_data!D1011</f>
        <v>258.13974720061066</v>
      </c>
    </row>
    <row r="1012" spans="1:3" x14ac:dyDescent="0.2">
      <c r="A1012" s="1">
        <v>0</v>
      </c>
      <c r="B1012">
        <f>loans_pred_opti_data!D1012*loans_pred_opti_data!B1012</f>
        <v>500.21524707687036</v>
      </c>
      <c r="C1012">
        <f>(loans_pred_opti_data!B1012-ret_PESS!$G$35*loans_pred_opti_data!C1012)*loans_pred_opti_data!D1012</f>
        <v>376.92856128445339</v>
      </c>
    </row>
    <row r="1013" spans="1:3" x14ac:dyDescent="0.2">
      <c r="A1013" s="1">
        <v>0</v>
      </c>
      <c r="B1013">
        <f>loans_pred_opti_data!D1013*loans_pred_opti_data!B1013</f>
        <v>780.49158915289581</v>
      </c>
      <c r="C1013">
        <f>(loans_pred_opti_data!B1013-ret_PESS!$G$35*loans_pred_opti_data!C1013)*loans_pred_opti_data!D1013</f>
        <v>667.20802091302528</v>
      </c>
    </row>
    <row r="1014" spans="1:3" x14ac:dyDescent="0.2">
      <c r="A1014" s="1">
        <v>0</v>
      </c>
      <c r="B1014">
        <f>loans_pred_opti_data!D1014*loans_pred_opti_data!B1014</f>
        <v>271.97605291111398</v>
      </c>
      <c r="C1014">
        <f>(loans_pred_opti_data!B1014-ret_PESS!$G$35*loans_pred_opti_data!C1014)*loans_pred_opti_data!D1014</f>
        <v>197.00181393830749</v>
      </c>
    </row>
    <row r="1015" spans="1:3" x14ac:dyDescent="0.2">
      <c r="A1015" s="1">
        <v>0</v>
      </c>
      <c r="B1015">
        <f>loans_pred_opti_data!D1015*loans_pred_opti_data!B1015</f>
        <v>177.90141509594301</v>
      </c>
      <c r="C1015">
        <f>(loans_pred_opti_data!B1015-ret_PESS!$G$35*loans_pred_opti_data!C1015)*loans_pred_opti_data!D1015</f>
        <v>8.3040534655359757</v>
      </c>
    </row>
    <row r="1016" spans="1:3" x14ac:dyDescent="0.2">
      <c r="A1016" s="1">
        <v>0</v>
      </c>
      <c r="B1016">
        <f>loans_pred_opti_data!D1016*loans_pred_opti_data!B1016</f>
        <v>446.03220956356319</v>
      </c>
      <c r="C1016">
        <f>(loans_pred_opti_data!B1016-ret_PESS!$G$35*loans_pred_opti_data!C1016)*loans_pred_opti_data!D1016</f>
        <v>359.72091947604275</v>
      </c>
    </row>
    <row r="1017" spans="1:3" x14ac:dyDescent="0.2">
      <c r="A1017" s="1">
        <v>0</v>
      </c>
      <c r="B1017">
        <f>loans_pred_opti_data!D1017*loans_pred_opti_data!B1017</f>
        <v>28.1992861918514</v>
      </c>
      <c r="C1017">
        <f>(loans_pred_opti_data!B1017-ret_PESS!$G$35*loans_pred_opti_data!C1017)*loans_pred_opti_data!D1017</f>
        <v>11.897451750412058</v>
      </c>
    </row>
    <row r="1018" spans="1:3" x14ac:dyDescent="0.2">
      <c r="A1018" s="1">
        <v>0</v>
      </c>
      <c r="B1018">
        <f>loans_pred_opti_data!D1018*loans_pred_opti_data!B1018</f>
        <v>471.7872932608845</v>
      </c>
      <c r="C1018">
        <f>(loans_pred_opti_data!B1018-ret_PESS!$G$35*loans_pred_opti_data!C1018)*loans_pred_opti_data!D1018</f>
        <v>344.33108700711341</v>
      </c>
    </row>
    <row r="1019" spans="1:3" x14ac:dyDescent="0.2">
      <c r="A1019" s="1">
        <v>0</v>
      </c>
      <c r="B1019">
        <f>loans_pred_opti_data!D1019*loans_pred_opti_data!B1019</f>
        <v>-60.159633418498245</v>
      </c>
      <c r="C1019">
        <f>(loans_pred_opti_data!B1019-ret_PESS!$G$35*loans_pred_opti_data!C1019)*loans_pred_opti_data!D1019</f>
        <v>-272.15633545650701</v>
      </c>
    </row>
    <row r="1020" spans="1:3" x14ac:dyDescent="0.2">
      <c r="A1020" s="1">
        <v>0</v>
      </c>
      <c r="B1020">
        <f>loans_pred_opti_data!D1020*loans_pred_opti_data!B1020</f>
        <v>332.35863790105515</v>
      </c>
      <c r="C1020">
        <f>(loans_pred_opti_data!B1020-ret_PESS!$G$35*loans_pred_opti_data!C1020)*loans_pred_opti_data!D1020</f>
        <v>263.75720924093719</v>
      </c>
    </row>
    <row r="1021" spans="1:3" x14ac:dyDescent="0.2">
      <c r="A1021" s="1">
        <v>0</v>
      </c>
      <c r="B1021">
        <f>loans_pred_opti_data!D1021*loans_pred_opti_data!B1021</f>
        <v>104.68217557806359</v>
      </c>
      <c r="C1021">
        <f>(loans_pred_opti_data!B1021-ret_PESS!$G$35*loans_pred_opti_data!C1021)*loans_pred_opti_data!D1021</f>
        <v>59.697632194379693</v>
      </c>
    </row>
    <row r="1022" spans="1:3" x14ac:dyDescent="0.2">
      <c r="A1022" s="1">
        <v>0</v>
      </c>
      <c r="B1022">
        <f>loans_pred_opti_data!D1022*loans_pred_opti_data!B1022</f>
        <v>220.24841432849399</v>
      </c>
      <c r="C1022">
        <f>(loans_pred_opti_data!B1022-ret_PESS!$G$35*loans_pred_opti_data!C1022)*loans_pred_opti_data!D1022</f>
        <v>164.01773509888909</v>
      </c>
    </row>
    <row r="1023" spans="1:3" x14ac:dyDescent="0.2">
      <c r="A1023" s="1">
        <v>0</v>
      </c>
      <c r="B1023">
        <f>loans_pred_opti_data!D1023*loans_pred_opti_data!B1023</f>
        <v>318.13081076297345</v>
      </c>
      <c r="C1023">
        <f>(loans_pred_opti_data!B1023-ret_PESS!$G$35*loans_pred_opti_data!C1023)*loans_pred_opti_data!D1023</f>
        <v>244.9763287070144</v>
      </c>
    </row>
    <row r="1024" spans="1:3" x14ac:dyDescent="0.2">
      <c r="A1024" s="1">
        <v>1</v>
      </c>
      <c r="B1024">
        <f>loans_pred_opti_data!D1024*loans_pred_opti_data!B1024</f>
        <v>34.7333826583655</v>
      </c>
      <c r="C1024">
        <f>(loans_pred_opti_data!B1024-ret_PESS!$G$35*loans_pred_opti_data!C1024)*loans_pred_opti_data!D1024</f>
        <v>26.450058456687486</v>
      </c>
    </row>
    <row r="1025" spans="1:3" x14ac:dyDescent="0.2">
      <c r="A1025" s="1">
        <v>0</v>
      </c>
      <c r="B1025">
        <f>loans_pred_opti_data!D1025*loans_pred_opti_data!B1025</f>
        <v>24.687663260440488</v>
      </c>
      <c r="C1025">
        <f>(loans_pred_opti_data!B1025-ret_PESS!$G$35*loans_pred_opti_data!C1025)*loans_pred_opti_data!D1025</f>
        <v>-101.26905821387443</v>
      </c>
    </row>
    <row r="1026" spans="1:3" x14ac:dyDescent="0.2">
      <c r="A1026" s="1">
        <v>0</v>
      </c>
      <c r="B1026">
        <f>loans_pred_opti_data!D1026*loans_pred_opti_data!B1026</f>
        <v>767.084956622238</v>
      </c>
      <c r="C1026">
        <f>(loans_pred_opti_data!B1026-ret_PESS!$G$35*loans_pred_opti_data!C1026)*loans_pred_opti_data!D1026</f>
        <v>597.48759499183097</v>
      </c>
    </row>
    <row r="1027" spans="1:3" x14ac:dyDescent="0.2">
      <c r="A1027" s="1">
        <v>0</v>
      </c>
      <c r="B1027">
        <f>loans_pred_opti_data!D1027*loans_pred_opti_data!B1027</f>
        <v>292.83062032352518</v>
      </c>
      <c r="C1027">
        <f>(loans_pred_opti_data!B1027-ret_PESS!$G$35*loans_pred_opti_data!C1027)*loans_pred_opti_data!D1027</f>
        <v>175.6360717515638</v>
      </c>
    </row>
    <row r="1028" spans="1:3" x14ac:dyDescent="0.2">
      <c r="A1028" s="1">
        <v>0</v>
      </c>
      <c r="B1028">
        <f>loans_pred_opti_data!D1028*loans_pred_opti_data!B1028</f>
        <v>1259.6732839336007</v>
      </c>
      <c r="C1028">
        <f>(loans_pred_opti_data!B1028-ret_PESS!$G$35*loans_pred_opti_data!C1028)*loans_pred_opti_data!D1028</f>
        <v>1005.3944944867408</v>
      </c>
    </row>
    <row r="1029" spans="1:3" x14ac:dyDescent="0.2">
      <c r="A1029" s="1">
        <v>0</v>
      </c>
      <c r="B1029">
        <f>loans_pred_opti_data!D1029*loans_pred_opti_data!B1029</f>
        <v>-58.031051294480044</v>
      </c>
      <c r="C1029">
        <f>(loans_pred_opti_data!B1029-ret_PESS!$G$35*loans_pred_opti_data!C1029)*loans_pred_opti_data!D1029</f>
        <v>-127.37981205271458</v>
      </c>
    </row>
    <row r="1030" spans="1:3" x14ac:dyDescent="0.2">
      <c r="A1030" s="1">
        <v>0</v>
      </c>
      <c r="B1030">
        <f>loans_pred_opti_data!D1030*loans_pred_opti_data!B1030</f>
        <v>1189.6713470767895</v>
      </c>
      <c r="C1030">
        <f>(loans_pred_opti_data!B1030-ret_PESS!$G$35*loans_pred_opti_data!C1030)*loans_pred_opti_data!D1030</f>
        <v>892.87596422357728</v>
      </c>
    </row>
    <row r="1031" spans="1:3" x14ac:dyDescent="0.2">
      <c r="A1031" s="1">
        <v>0</v>
      </c>
      <c r="B1031">
        <f>loans_pred_opti_data!D1031*loans_pred_opti_data!B1031</f>
        <v>786.90123271102595</v>
      </c>
      <c r="C1031">
        <f>(loans_pred_opti_data!B1031-ret_PESS!$G$35*loans_pred_opti_data!C1031)*loans_pred_opti_data!D1031</f>
        <v>617.30387108061893</v>
      </c>
    </row>
    <row r="1032" spans="1:3" x14ac:dyDescent="0.2">
      <c r="A1032" s="1">
        <v>0</v>
      </c>
      <c r="B1032">
        <f>loans_pred_opti_data!D1032*loans_pred_opti_data!B1032</f>
        <v>-118.39720922478043</v>
      </c>
      <c r="C1032">
        <f>(loans_pred_opti_data!B1032-ret_PESS!$G$35*loans_pred_opti_data!C1032)*loans_pred_opti_data!D1032</f>
        <v>-398.23285591495198</v>
      </c>
    </row>
    <row r="1033" spans="1:3" x14ac:dyDescent="0.2">
      <c r="A1033" s="1">
        <v>0</v>
      </c>
      <c r="B1033">
        <f>loans_pred_opti_data!D1033*loans_pred_opti_data!B1033</f>
        <v>137.32010432526505</v>
      </c>
      <c r="C1033">
        <f>(loans_pred_opti_data!B1033-ret_PESS!$G$35*loans_pred_opti_data!C1033)*loans_pred_opti_data!D1033</f>
        <v>108.79189405274619</v>
      </c>
    </row>
    <row r="1034" spans="1:3" x14ac:dyDescent="0.2">
      <c r="A1034" s="1">
        <v>0</v>
      </c>
      <c r="B1034">
        <f>loans_pred_opti_data!D1034*loans_pred_opti_data!B1034</f>
        <v>505.19120855549255</v>
      </c>
      <c r="C1034">
        <f>(loans_pred_opti_data!B1034-ret_PESS!$G$35*loans_pred_opti_data!C1034)*loans_pred_opti_data!D1034</f>
        <v>392.7298500962828</v>
      </c>
    </row>
    <row r="1035" spans="1:3" x14ac:dyDescent="0.2">
      <c r="A1035" s="1">
        <v>0</v>
      </c>
      <c r="B1035">
        <f>loans_pred_opti_data!D1035*loans_pred_opti_data!B1035</f>
        <v>121.3827621924963</v>
      </c>
      <c r="C1035">
        <f>(loans_pred_opti_data!B1035-ret_PESS!$G$35*loans_pred_opti_data!C1035)*loans_pred_opti_data!D1035</f>
        <v>-58.390441135735138</v>
      </c>
    </row>
    <row r="1036" spans="1:3" x14ac:dyDescent="0.2">
      <c r="A1036" s="1">
        <v>0</v>
      </c>
      <c r="B1036">
        <f>loans_pred_opti_data!D1036*loans_pred_opti_data!B1036</f>
        <v>208.83410362240701</v>
      </c>
      <c r="C1036">
        <f>(loans_pred_opti_data!B1036-ret_PESS!$G$35*loans_pred_opti_data!C1036)*loans_pred_opti_data!D1036</f>
        <v>156.6682334098011</v>
      </c>
    </row>
    <row r="1037" spans="1:3" x14ac:dyDescent="0.2">
      <c r="A1037" s="1">
        <v>0</v>
      </c>
      <c r="B1037">
        <f>loans_pred_opti_data!D1037*loans_pred_opti_data!B1037</f>
        <v>310.40361505356378</v>
      </c>
      <c r="C1037">
        <f>(loans_pred_opti_data!B1037-ret_PESS!$G$35*loans_pred_opti_data!C1037)*loans_pred_opti_data!D1037</f>
        <v>235.80424727562132</v>
      </c>
    </row>
    <row r="1038" spans="1:3" x14ac:dyDescent="0.2">
      <c r="A1038" s="1">
        <v>0</v>
      </c>
      <c r="B1038">
        <f>loans_pred_opti_data!D1038*loans_pred_opti_data!B1038</f>
        <v>246.87772516590286</v>
      </c>
      <c r="C1038">
        <f>(loans_pred_opti_data!B1038-ret_PESS!$G$35*loans_pred_opti_data!C1038)*loans_pred_opti_data!D1038</f>
        <v>153.14217712762664</v>
      </c>
    </row>
    <row r="1039" spans="1:3" x14ac:dyDescent="0.2">
      <c r="A1039" s="1">
        <v>0</v>
      </c>
      <c r="B1039">
        <f>loans_pred_opti_data!D1039*loans_pred_opti_data!B1039</f>
        <v>373.98670047477759</v>
      </c>
      <c r="C1039">
        <f>(loans_pred_opti_data!B1039-ret_PESS!$G$35*loans_pred_opti_data!C1039)*loans_pred_opti_data!D1039</f>
        <v>269.65496004956577</v>
      </c>
    </row>
    <row r="1040" spans="1:3" x14ac:dyDescent="0.2">
      <c r="A1040" s="1">
        <v>0</v>
      </c>
      <c r="B1040">
        <f>loans_pred_opti_data!D1040*loans_pred_opti_data!B1040</f>
        <v>278.80667516879799</v>
      </c>
      <c r="C1040">
        <f>(loans_pred_opti_data!B1040-ret_PESS!$G$35*loans_pred_opti_data!C1040)*loans_pred_opti_data!D1040</f>
        <v>197.29750296160128</v>
      </c>
    </row>
    <row r="1041" spans="1:3" x14ac:dyDescent="0.2">
      <c r="A1041" s="1">
        <v>0</v>
      </c>
      <c r="B1041">
        <f>loans_pred_opti_data!D1041*loans_pred_opti_data!B1041</f>
        <v>178.1041134386488</v>
      </c>
      <c r="C1041">
        <f>(loans_pred_opti_data!B1041-ret_PESS!$G$35*loans_pred_opti_data!C1041)*loans_pred_opti_data!D1041</f>
        <v>118.12472226040359</v>
      </c>
    </row>
    <row r="1042" spans="1:3" x14ac:dyDescent="0.2">
      <c r="A1042" s="1">
        <v>0</v>
      </c>
      <c r="B1042">
        <f>loans_pred_opti_data!D1042*loans_pred_opti_data!B1042</f>
        <v>133.47871637505989</v>
      </c>
      <c r="C1042">
        <f>(loans_pred_opti_data!B1042-ret_PESS!$G$35*loans_pred_opti_data!C1042)*loans_pred_opti_data!D1042</f>
        <v>110.98644468321795</v>
      </c>
    </row>
    <row r="1043" spans="1:3" x14ac:dyDescent="0.2">
      <c r="A1043" s="1">
        <v>0</v>
      </c>
      <c r="B1043">
        <f>loans_pred_opti_data!D1043*loans_pred_opti_data!B1043</f>
        <v>616.84687050170396</v>
      </c>
      <c r="C1043">
        <f>(loans_pred_opti_data!B1043-ret_PESS!$G$35*loans_pred_opti_data!C1043)*loans_pred_opti_data!D1043</f>
        <v>530.53558041418353</v>
      </c>
    </row>
    <row r="1044" spans="1:3" x14ac:dyDescent="0.2">
      <c r="A1044" s="1">
        <v>0</v>
      </c>
      <c r="B1044">
        <f>loans_pred_opti_data!D1044*loans_pred_opti_data!B1044</f>
        <v>179.88526816375918</v>
      </c>
      <c r="C1044">
        <f>(loans_pred_opti_data!B1044-ret_PESS!$G$35*loans_pred_opti_data!C1044)*loans_pred_opti_data!D1044</f>
        <v>114.67793039800182</v>
      </c>
    </row>
    <row r="1045" spans="1:3" x14ac:dyDescent="0.2">
      <c r="A1045" s="1">
        <v>0</v>
      </c>
      <c r="B1045">
        <f>loans_pred_opti_data!D1045*loans_pred_opti_data!B1045</f>
        <v>190.54993456465499</v>
      </c>
      <c r="C1045">
        <f>(loans_pred_opti_data!B1045-ret_PESS!$G$35*loans_pred_opti_data!C1045)*loans_pred_opti_data!D1045</f>
        <v>141.64443124033696</v>
      </c>
    </row>
    <row r="1046" spans="1:3" x14ac:dyDescent="0.2">
      <c r="A1046" s="1">
        <v>0</v>
      </c>
      <c r="B1046">
        <f>loans_pred_opti_data!D1046*loans_pred_opti_data!B1046</f>
        <v>110.95580351315286</v>
      </c>
      <c r="C1046">
        <f>(loans_pred_opti_data!B1046-ret_PESS!$G$35*loans_pred_opti_data!C1046)*loans_pred_opti_data!D1046</f>
        <v>74.218426416477669</v>
      </c>
    </row>
    <row r="1047" spans="1:3" x14ac:dyDescent="0.2">
      <c r="A1047" s="1">
        <v>0</v>
      </c>
      <c r="B1047">
        <f>loans_pred_opti_data!D1047*loans_pred_opti_data!B1047</f>
        <v>503.30494803456361</v>
      </c>
      <c r="C1047">
        <f>(loans_pred_opti_data!B1047-ret_PESS!$G$35*loans_pred_opti_data!C1047)*loans_pred_opti_data!D1047</f>
        <v>368.35131788351191</v>
      </c>
    </row>
    <row r="1048" spans="1:3" x14ac:dyDescent="0.2">
      <c r="A1048" s="1">
        <v>0</v>
      </c>
      <c r="B1048">
        <f>loans_pred_opti_data!D1048*loans_pred_opti_data!B1048</f>
        <v>419.48413955618997</v>
      </c>
      <c r="C1048">
        <f>(loans_pred_opti_data!B1048-ret_PESS!$G$35*loans_pred_opti_data!C1048)*loans_pred_opti_data!D1048</f>
        <v>321.67313290755391</v>
      </c>
    </row>
    <row r="1049" spans="1:3" x14ac:dyDescent="0.2">
      <c r="A1049" s="1">
        <v>0</v>
      </c>
      <c r="B1049">
        <f>loans_pred_opti_data!D1049*loans_pred_opti_data!B1049</f>
        <v>203.11360067589209</v>
      </c>
      <c r="C1049">
        <f>(loans_pred_opti_data!B1049-ret_PESS!$G$35*loans_pred_opti_data!C1049)*loans_pred_opti_data!D1049</f>
        <v>129.75534568941507</v>
      </c>
    </row>
    <row r="1050" spans="1:3" x14ac:dyDescent="0.2">
      <c r="A1050" s="1">
        <v>0</v>
      </c>
      <c r="B1050">
        <f>loans_pred_opti_data!D1050*loans_pred_opti_data!B1050</f>
        <v>301.24852301431901</v>
      </c>
      <c r="C1050">
        <f>(loans_pred_opti_data!B1050-ret_PESS!$G$35*loans_pred_opti_data!C1050)*loans_pred_opti_data!D1050</f>
        <v>224.19434439405839</v>
      </c>
    </row>
    <row r="1051" spans="1:3" x14ac:dyDescent="0.2">
      <c r="A1051" s="1">
        <v>0</v>
      </c>
      <c r="B1051">
        <f>loans_pred_opti_data!D1051*loans_pred_opti_data!B1051</f>
        <v>-2.4271008711903872</v>
      </c>
      <c r="C1051">
        <f>(loans_pred_opti_data!B1051-ret_PESS!$G$35*loans_pred_opti_data!C1051)*loans_pred_opti_data!D1051</f>
        <v>-180.50433058311776</v>
      </c>
    </row>
    <row r="1052" spans="1:3" x14ac:dyDescent="0.2">
      <c r="A1052" s="1">
        <v>0</v>
      </c>
      <c r="B1052">
        <f>loans_pred_opti_data!D1052*loans_pred_opti_data!B1052</f>
        <v>412.794328962897</v>
      </c>
      <c r="C1052">
        <f>(loans_pred_opti_data!B1052-ret_PESS!$G$35*loans_pred_opti_data!C1052)*loans_pred_opti_data!D1052</f>
        <v>345.31751388737121</v>
      </c>
    </row>
    <row r="1053" spans="1:3" x14ac:dyDescent="0.2">
      <c r="A1053" s="1">
        <v>0</v>
      </c>
      <c r="B1053">
        <f>loans_pred_opti_data!D1053*loans_pred_opti_data!B1053</f>
        <v>543.01436357102023</v>
      </c>
      <c r="C1053">
        <f>(loans_pred_opti_data!B1053-ret_PESS!$G$35*loans_pred_opti_data!C1053)*loans_pred_opti_data!D1053</f>
        <v>451.30861785302972</v>
      </c>
    </row>
    <row r="1054" spans="1:3" x14ac:dyDescent="0.2">
      <c r="A1054" s="1">
        <v>0</v>
      </c>
      <c r="B1054">
        <f>loans_pred_opti_data!D1054*loans_pred_opti_data!B1054</f>
        <v>856.34442120038887</v>
      </c>
      <c r="C1054">
        <f>(loans_pred_opti_data!B1054-ret_PESS!$G$35*loans_pred_opti_data!C1054)*loans_pred_opti_data!D1054</f>
        <v>652.82758724390044</v>
      </c>
    </row>
    <row r="1055" spans="1:3" x14ac:dyDescent="0.2">
      <c r="A1055" s="1">
        <v>0</v>
      </c>
      <c r="B1055">
        <f>loans_pred_opti_data!D1055*loans_pred_opti_data!B1055</f>
        <v>503.29332020841116</v>
      </c>
      <c r="C1055">
        <f>(loans_pred_opti_data!B1055-ret_PESS!$G$35*loans_pred_opti_data!C1055)*loans_pred_opti_data!D1055</f>
        <v>413.32423344104336</v>
      </c>
    </row>
    <row r="1056" spans="1:3" x14ac:dyDescent="0.2">
      <c r="A1056" s="1">
        <v>0</v>
      </c>
      <c r="B1056">
        <f>loans_pred_opti_data!D1056*loans_pred_opti_data!B1056</f>
        <v>133.57326832136485</v>
      </c>
      <c r="C1056">
        <f>(loans_pred_opti_data!B1056-ret_PESS!$G$35*loans_pred_opti_data!C1056)*loans_pred_opti_data!D1056</f>
        <v>88.743223607406662</v>
      </c>
    </row>
    <row r="1057" spans="1:3" x14ac:dyDescent="0.2">
      <c r="A1057" s="1">
        <v>0</v>
      </c>
      <c r="B1057">
        <f>loans_pred_opti_data!D1057*loans_pred_opti_data!B1057</f>
        <v>67.976087294269334</v>
      </c>
      <c r="C1057">
        <f>(loans_pred_opti_data!B1057-ret_PESS!$G$35*loans_pred_opti_data!C1057)*loans_pred_opti_data!D1057</f>
        <v>-64.680090472943306</v>
      </c>
    </row>
    <row r="1058" spans="1:3" x14ac:dyDescent="0.2">
      <c r="A1058" s="1">
        <v>0</v>
      </c>
      <c r="B1058">
        <f>loans_pred_opti_data!D1058*loans_pred_opti_data!B1058</f>
        <v>211.38129469708079</v>
      </c>
      <c r="C1058">
        <f>(loans_pred_opti_data!B1058-ret_PESS!$G$35*loans_pred_opti_data!C1058)*loans_pred_opti_data!D1058</f>
        <v>165.14878752492442</v>
      </c>
    </row>
    <row r="1059" spans="1:3" x14ac:dyDescent="0.2">
      <c r="A1059" s="1">
        <v>0</v>
      </c>
      <c r="B1059">
        <f>loans_pred_opti_data!D1059*loans_pred_opti_data!B1059</f>
        <v>344.27945669993761</v>
      </c>
      <c r="C1059">
        <f>(loans_pred_opti_data!B1059-ret_PESS!$G$35*loans_pred_opti_data!C1059)*loans_pred_opti_data!D1059</f>
        <v>254.31036993256978</v>
      </c>
    </row>
    <row r="1060" spans="1:3" x14ac:dyDescent="0.2">
      <c r="A1060" s="1">
        <v>0</v>
      </c>
      <c r="B1060">
        <f>loans_pred_opti_data!D1060*loans_pred_opti_data!B1060</f>
        <v>-158.45538708245056</v>
      </c>
      <c r="C1060">
        <f>(loans_pred_opti_data!B1060-ret_PESS!$G$35*loans_pred_opti_data!C1060)*loans_pred_opti_data!D1060</f>
        <v>-372.14806273676339</v>
      </c>
    </row>
    <row r="1061" spans="1:3" x14ac:dyDescent="0.2">
      <c r="A1061" s="1">
        <v>0</v>
      </c>
      <c r="B1061">
        <f>loans_pred_opti_data!D1061*loans_pred_opti_data!B1061</f>
        <v>257.30166483900302</v>
      </c>
      <c r="C1061">
        <f>(loans_pred_opti_data!B1061-ret_PESS!$G$35*loans_pred_opti_data!C1061)*loans_pred_opti_data!D1061</f>
        <v>182.32742586619651</v>
      </c>
    </row>
    <row r="1062" spans="1:3" x14ac:dyDescent="0.2">
      <c r="A1062" s="1">
        <v>0</v>
      </c>
      <c r="B1062">
        <f>loans_pred_opti_data!D1062*loans_pred_opti_data!B1062</f>
        <v>788.78347936769512</v>
      </c>
      <c r="C1062">
        <f>(loans_pred_opti_data!B1062-ret_PESS!$G$35*loans_pred_opti_data!C1062)*loans_pred_opti_data!D1062</f>
        <v>541.38332808933887</v>
      </c>
    </row>
    <row r="1063" spans="1:3" x14ac:dyDescent="0.2">
      <c r="A1063" s="1">
        <v>0</v>
      </c>
      <c r="B1063">
        <f>loans_pred_opti_data!D1063*loans_pred_opti_data!B1063</f>
        <v>138.19091146135801</v>
      </c>
      <c r="C1063">
        <f>(loans_pred_opti_data!B1063-ret_PESS!$G$35*loans_pred_opti_data!C1063)*loans_pred_opti_data!D1063</f>
        <v>97.436325357759642</v>
      </c>
    </row>
    <row r="1064" spans="1:3" x14ac:dyDescent="0.2">
      <c r="A1064" s="1">
        <v>0</v>
      </c>
      <c r="B1064">
        <f>loans_pred_opti_data!D1064*loans_pred_opti_data!B1064</f>
        <v>333.92293990104002</v>
      </c>
      <c r="C1064">
        <f>(loans_pred_opti_data!B1064-ret_PESS!$G$35*loans_pred_opti_data!C1064)*loans_pred_opti_data!D1064</f>
        <v>258.94870092823356</v>
      </c>
    </row>
    <row r="1065" spans="1:3" x14ac:dyDescent="0.2">
      <c r="A1065" s="1">
        <v>0</v>
      </c>
      <c r="B1065">
        <f>loans_pred_opti_data!D1065*loans_pred_opti_data!B1065</f>
        <v>179.32703551180424</v>
      </c>
      <c r="C1065">
        <f>(loans_pred_opti_data!B1065-ret_PESS!$G$35*loans_pred_opti_data!C1065)*loans_pred_opti_data!D1065</f>
        <v>136.53472010302596</v>
      </c>
    </row>
    <row r="1066" spans="1:3" x14ac:dyDescent="0.2">
      <c r="A1066" s="1">
        <v>0</v>
      </c>
      <c r="B1066">
        <f>loans_pred_opti_data!D1066*loans_pred_opti_data!B1066</f>
        <v>291.81966966651839</v>
      </c>
      <c r="C1066">
        <f>(loans_pred_opti_data!B1066-ret_PESS!$G$35*loans_pred_opti_data!C1066)*loans_pred_opti_data!D1066</f>
        <v>194.00866301788233</v>
      </c>
    </row>
    <row r="1067" spans="1:3" x14ac:dyDescent="0.2">
      <c r="A1067" s="1">
        <v>0</v>
      </c>
      <c r="B1067">
        <f>loans_pred_opti_data!D1067*loans_pred_opti_data!B1067</f>
        <v>256.69068791986172</v>
      </c>
      <c r="C1067">
        <f>(loans_pred_opti_data!B1067-ret_PESS!$G$35*loans_pred_opti_data!C1067)*loans_pred_opti_data!D1067</f>
        <v>187.34192716162715</v>
      </c>
    </row>
    <row r="1068" spans="1:3" x14ac:dyDescent="0.2">
      <c r="A1068" s="1">
        <v>0</v>
      </c>
      <c r="B1068">
        <f>loans_pred_opti_data!D1068*loans_pred_opti_data!B1068</f>
        <v>500.69916683232401</v>
      </c>
      <c r="C1068">
        <f>(loans_pred_opti_data!B1068-ret_PESS!$G$35*loans_pred_opti_data!C1068)*loans_pred_opti_data!D1068</f>
        <v>392.81005422292338</v>
      </c>
    </row>
    <row r="1069" spans="1:3" x14ac:dyDescent="0.2">
      <c r="A1069" s="1">
        <v>0</v>
      </c>
      <c r="B1069">
        <f>loans_pred_opti_data!D1069*loans_pred_opti_data!B1069</f>
        <v>322.74660254768588</v>
      </c>
      <c r="C1069">
        <f>(loans_pred_opti_data!B1069-ret_PESS!$G$35*loans_pred_opti_data!C1069)*loans_pred_opti_data!D1069</f>
        <v>243.27515964566905</v>
      </c>
    </row>
    <row r="1070" spans="1:3" x14ac:dyDescent="0.2">
      <c r="A1070" s="1">
        <v>0</v>
      </c>
      <c r="B1070">
        <f>loans_pred_opti_data!D1070*loans_pred_opti_data!B1070</f>
        <v>381.61528223364144</v>
      </c>
      <c r="C1070">
        <f>(loans_pred_opti_data!B1070-ret_PESS!$G$35*loans_pred_opti_data!C1070)*loans_pred_opti_data!D1070</f>
        <v>237.03353144371945</v>
      </c>
    </row>
    <row r="1071" spans="1:3" x14ac:dyDescent="0.2">
      <c r="A1071" s="1">
        <v>0</v>
      </c>
      <c r="B1071">
        <f>loans_pred_opti_data!D1071*loans_pred_opti_data!B1071</f>
        <v>249.39922702103772</v>
      </c>
      <c r="C1071">
        <f>(loans_pred_opti_data!B1071-ret_PESS!$G$35*loans_pred_opti_data!C1071)*loans_pred_opti_data!D1071</f>
        <v>193.16854779143287</v>
      </c>
    </row>
    <row r="1072" spans="1:3" x14ac:dyDescent="0.2">
      <c r="A1072" s="1">
        <v>0</v>
      </c>
      <c r="B1072">
        <f>loans_pred_opti_data!D1072*loans_pred_opti_data!B1072</f>
        <v>211.03318186265588</v>
      </c>
      <c r="C1072">
        <f>(loans_pred_opti_data!B1072-ret_PESS!$G$35*loans_pred_opti_data!C1072)*loans_pred_opti_data!D1072</f>
        <v>137.5584276693055</v>
      </c>
    </row>
    <row r="1073" spans="1:3" x14ac:dyDescent="0.2">
      <c r="A1073" s="1">
        <v>0</v>
      </c>
      <c r="B1073">
        <f>loans_pred_opti_data!D1073*loans_pred_opti_data!B1073</f>
        <v>414.8799069613712</v>
      </c>
      <c r="C1073">
        <f>(loans_pred_opti_data!B1073-ret_PESS!$G$35*loans_pred_opti_data!C1073)*loans_pred_opti_data!D1073</f>
        <v>294.92112460488084</v>
      </c>
    </row>
    <row r="1074" spans="1:3" x14ac:dyDescent="0.2">
      <c r="A1074" s="1">
        <v>0</v>
      </c>
      <c r="B1074">
        <f>loans_pred_opti_data!D1074*loans_pred_opti_data!B1074</f>
        <v>188.60432782226894</v>
      </c>
      <c r="C1074">
        <f>(loans_pred_opti_data!B1074-ret_PESS!$G$35*loans_pred_opti_data!C1074)*loans_pred_opti_data!D1074</f>
        <v>145.45398779492299</v>
      </c>
    </row>
    <row r="1075" spans="1:3" x14ac:dyDescent="0.2">
      <c r="A1075" s="1">
        <v>0</v>
      </c>
      <c r="B1075">
        <f>loans_pred_opti_data!D1075*loans_pred_opti_data!B1075</f>
        <v>103.82965523079241</v>
      </c>
      <c r="C1075">
        <f>(loans_pred_opti_data!B1075-ret_PESS!$G$35*loans_pred_opti_data!C1075)*loans_pred_opti_data!D1075</f>
        <v>71.225986347913718</v>
      </c>
    </row>
    <row r="1076" spans="1:3" x14ac:dyDescent="0.2">
      <c r="A1076" s="1">
        <v>0</v>
      </c>
      <c r="B1076">
        <f>loans_pred_opti_data!D1076*loans_pred_opti_data!B1076</f>
        <v>254.52419631120347</v>
      </c>
      <c r="C1076">
        <f>(loans_pred_opti_data!B1076-ret_PESS!$G$35*loans_pred_opti_data!C1076)*loans_pred_opti_data!D1076</f>
        <v>189.02814448398195</v>
      </c>
    </row>
    <row r="1077" spans="1:3" x14ac:dyDescent="0.2">
      <c r="A1077" s="1">
        <v>0</v>
      </c>
      <c r="B1077">
        <f>loans_pred_opti_data!D1077*loans_pred_opti_data!B1077</f>
        <v>485.80145676518549</v>
      </c>
      <c r="C1077">
        <f>(loans_pred_opti_data!B1077-ret_PESS!$G$35*loans_pred_opti_data!C1077)*loans_pred_opti_data!D1077</f>
        <v>373.34009830597574</v>
      </c>
    </row>
    <row r="1078" spans="1:3" x14ac:dyDescent="0.2">
      <c r="A1078" s="1">
        <v>0</v>
      </c>
      <c r="B1078">
        <f>loans_pred_opti_data!D1078*loans_pred_opti_data!B1078</f>
        <v>196.065062696524</v>
      </c>
      <c r="C1078">
        <f>(loans_pred_opti_data!B1078-ret_PESS!$G$35*loans_pred_opti_data!C1078)*loans_pred_opti_data!D1078</f>
        <v>158.57794321012076</v>
      </c>
    </row>
    <row r="1079" spans="1:3" x14ac:dyDescent="0.2">
      <c r="A1079" s="1">
        <v>0</v>
      </c>
      <c r="B1079">
        <f>loans_pred_opti_data!D1079*loans_pred_opti_data!B1079</f>
        <v>193.02817797042715</v>
      </c>
      <c r="C1079">
        <f>(loans_pred_opti_data!B1079-ret_PESS!$G$35*loans_pred_opti_data!C1079)*loans_pred_opti_data!D1079</f>
        <v>118.80368138734872</v>
      </c>
    </row>
    <row r="1080" spans="1:3" x14ac:dyDescent="0.2">
      <c r="A1080" s="1">
        <v>0</v>
      </c>
      <c r="B1080">
        <f>loans_pred_opti_data!D1080*loans_pred_opti_data!B1080</f>
        <v>445.09213398127486</v>
      </c>
      <c r="C1080">
        <f>(loans_pred_opti_data!B1080-ret_PESS!$G$35*loans_pred_opti_data!C1080)*loans_pred_opti_data!D1080</f>
        <v>301.43221796609066</v>
      </c>
    </row>
    <row r="1081" spans="1:3" x14ac:dyDescent="0.2">
      <c r="A1081" s="1">
        <v>0</v>
      </c>
      <c r="B1081">
        <f>loans_pred_opti_data!D1081*loans_pred_opti_data!B1081</f>
        <v>226.4329282973035</v>
      </c>
      <c r="C1081">
        <f>(loans_pred_opti_data!B1081-ret_PESS!$G$35*loans_pred_opti_data!C1081)*loans_pred_opti_data!D1081</f>
        <v>186.13427484942002</v>
      </c>
    </row>
    <row r="1082" spans="1:3" x14ac:dyDescent="0.2">
      <c r="A1082" s="1">
        <v>0</v>
      </c>
      <c r="B1082">
        <f>loans_pred_opti_data!D1082*loans_pred_opti_data!B1082</f>
        <v>49.833603541249914</v>
      </c>
      <c r="C1082">
        <f>(loans_pred_opti_data!B1082-ret_PESS!$G$35*loans_pred_opti_data!C1082)*loans_pred_opti_data!D1082</f>
        <v>39.337210085057009</v>
      </c>
    </row>
    <row r="1083" spans="1:3" x14ac:dyDescent="0.2">
      <c r="A1083" s="1">
        <v>0</v>
      </c>
      <c r="B1083">
        <f>loans_pred_opti_data!D1083*loans_pred_opti_data!B1083</f>
        <v>123.14306590575114</v>
      </c>
      <c r="C1083">
        <f>(loans_pred_opti_data!B1083-ret_PESS!$G$35*loans_pred_opti_data!C1083)*loans_pred_opti_data!D1083</f>
        <v>-173.65231694746112</v>
      </c>
    </row>
    <row r="1084" spans="1:3" x14ac:dyDescent="0.2">
      <c r="A1084" s="1">
        <v>0</v>
      </c>
      <c r="B1084">
        <f>loans_pred_opti_data!D1084*loans_pred_opti_data!B1084</f>
        <v>387.85760711787003</v>
      </c>
      <c r="C1084">
        <f>(loans_pred_opti_data!B1084-ret_PESS!$G$35*loans_pred_opti_data!C1084)*loans_pred_opti_data!D1084</f>
        <v>297.88852035050223</v>
      </c>
    </row>
    <row r="1085" spans="1:3" x14ac:dyDescent="0.2">
      <c r="A1085" s="1">
        <v>0</v>
      </c>
      <c r="B1085">
        <f>loans_pred_opti_data!D1085*loans_pred_opti_data!B1085</f>
        <v>-12.119318310475711</v>
      </c>
      <c r="C1085">
        <f>(loans_pred_opti_data!B1085-ret_PESS!$G$35*loans_pred_opti_data!C1085)*loans_pred_opti_data!D1085</f>
        <v>-132.07810066696612</v>
      </c>
    </row>
    <row r="1086" spans="1:3" x14ac:dyDescent="0.2">
      <c r="A1086" s="1">
        <v>0</v>
      </c>
      <c r="B1086">
        <f>loans_pred_opti_data!D1086*loans_pred_opti_data!B1086</f>
        <v>1069.2366156377325</v>
      </c>
      <c r="C1086">
        <f>(loans_pred_opti_data!B1086-ret_PESS!$G$35*loans_pred_opti_data!C1086)*loans_pred_opti_data!D1086</f>
        <v>880.43066857128144</v>
      </c>
    </row>
    <row r="1087" spans="1:3" x14ac:dyDescent="0.2">
      <c r="A1087" s="1">
        <v>0</v>
      </c>
      <c r="B1087">
        <f>loans_pred_opti_data!D1087*loans_pred_opti_data!B1087</f>
        <v>251.76540740097431</v>
      </c>
      <c r="C1087">
        <f>(loans_pred_opti_data!B1087-ret_PESS!$G$35*loans_pred_opti_data!C1087)*loans_pred_opti_data!D1087</f>
        <v>188.78704666381682</v>
      </c>
    </row>
    <row r="1088" spans="1:3" x14ac:dyDescent="0.2">
      <c r="A1088" s="1">
        <v>0</v>
      </c>
      <c r="B1088">
        <f>loans_pred_opti_data!D1088*loans_pred_opti_data!B1088</f>
        <v>122.5483547199912</v>
      </c>
      <c r="C1088">
        <f>(loans_pred_opti_data!B1088-ret_PESS!$G$35*loans_pred_opti_data!C1088)*loans_pred_opti_data!D1088</f>
        <v>85.86922722675267</v>
      </c>
    </row>
    <row r="1089" spans="1:3" x14ac:dyDescent="0.2">
      <c r="A1089" s="1">
        <v>0</v>
      </c>
      <c r="B1089">
        <f>loans_pred_opti_data!D1089*loans_pred_opti_data!B1089</f>
        <v>606.80400076856699</v>
      </c>
      <c r="C1089">
        <f>(loans_pred_opti_data!B1089-ret_PESS!$G$35*loans_pred_opti_data!C1089)*loans_pred_opti_data!D1089</f>
        <v>525.88716631151658</v>
      </c>
    </row>
    <row r="1090" spans="1:3" x14ac:dyDescent="0.2">
      <c r="A1090" s="1">
        <v>0</v>
      </c>
      <c r="B1090">
        <f>loans_pred_opti_data!D1090*loans_pred_opti_data!B1090</f>
        <v>2568.8849935043995</v>
      </c>
      <c r="C1090">
        <f>(loans_pred_opti_data!B1090-ret_PESS!$G$35*loans_pred_opti_data!C1090)*loans_pred_opti_data!D1090</f>
        <v>2380.0790464379484</v>
      </c>
    </row>
    <row r="1091" spans="1:3" x14ac:dyDescent="0.2">
      <c r="A1091" s="1">
        <v>0</v>
      </c>
      <c r="B1091">
        <f>loans_pred_opti_data!D1091*loans_pred_opti_data!B1091</f>
        <v>568.11119713762093</v>
      </c>
      <c r="C1091">
        <f>(loans_pred_opti_data!B1091-ret_PESS!$G$35*loans_pred_opti_data!C1091)*loans_pred_opti_data!D1091</f>
        <v>447.47762227096973</v>
      </c>
    </row>
    <row r="1092" spans="1:3" x14ac:dyDescent="0.2">
      <c r="A1092" s="1">
        <v>0</v>
      </c>
      <c r="B1092">
        <f>loans_pred_opti_data!D1092*loans_pred_opti_data!B1092</f>
        <v>165.36619799632641</v>
      </c>
      <c r="C1092">
        <f>(loans_pred_opti_data!B1092-ret_PESS!$G$35*loans_pred_opti_data!C1092)*loans_pred_opti_data!D1092</f>
        <v>79.05490790880593</v>
      </c>
    </row>
    <row r="1093" spans="1:3" x14ac:dyDescent="0.2">
      <c r="A1093" s="1">
        <v>0</v>
      </c>
      <c r="B1093">
        <f>loans_pred_opti_data!D1093*loans_pred_opti_data!B1093</f>
        <v>329.93540023076167</v>
      </c>
      <c r="C1093">
        <f>(loans_pred_opti_data!B1093-ret_PESS!$G$35*loans_pred_opti_data!C1093)*loans_pred_opti_data!D1093</f>
        <v>254.53941593910471</v>
      </c>
    </row>
    <row r="1094" spans="1:3" x14ac:dyDescent="0.2">
      <c r="A1094" s="1">
        <v>0</v>
      </c>
      <c r="B1094">
        <f>loans_pred_opti_data!D1094*loans_pred_opti_data!B1094</f>
        <v>261.60553206567323</v>
      </c>
      <c r="C1094">
        <f>(loans_pred_opti_data!B1094-ret_PESS!$G$35*loans_pred_opti_data!C1094)*loans_pred_opti_data!D1094</f>
        <v>203.50049686174822</v>
      </c>
    </row>
    <row r="1095" spans="1:3" x14ac:dyDescent="0.2">
      <c r="A1095" s="1">
        <v>0</v>
      </c>
      <c r="B1095">
        <f>loans_pred_opti_data!D1095*loans_pred_opti_data!B1095</f>
        <v>339.28971098115431</v>
      </c>
      <c r="C1095">
        <f>(loans_pred_opti_data!B1095-ret_PESS!$G$35*loans_pred_opti_data!C1095)*loans_pred_opti_data!D1095</f>
        <v>239.44097502733837</v>
      </c>
    </row>
    <row r="1096" spans="1:3" x14ac:dyDescent="0.2">
      <c r="A1096" s="1">
        <v>0</v>
      </c>
      <c r="B1096">
        <f>loans_pred_opti_data!D1096*loans_pred_opti_data!B1096</f>
        <v>379.49543599782356</v>
      </c>
      <c r="C1096">
        <f>(loans_pred_opti_data!B1096-ret_PESS!$G$35*loans_pred_opti_data!C1096)*loans_pred_opti_data!D1096</f>
        <v>281.6844293491875</v>
      </c>
    </row>
    <row r="1097" spans="1:3" x14ac:dyDescent="0.2">
      <c r="A1097" s="1">
        <v>0</v>
      </c>
      <c r="B1097">
        <f>loans_pred_opti_data!D1097*loans_pred_opti_data!B1097</f>
        <v>178.03920475842401</v>
      </c>
      <c r="C1097">
        <f>(loans_pred_opti_data!B1097-ret_PESS!$G$35*loans_pred_opti_data!C1097)*loans_pred_opti_data!D1097</f>
        <v>137.28461865482564</v>
      </c>
    </row>
    <row r="1098" spans="1:3" x14ac:dyDescent="0.2">
      <c r="A1098" s="1">
        <v>1</v>
      </c>
      <c r="B1098">
        <f>loans_pred_opti_data!D1098*loans_pred_opti_data!B1098</f>
        <v>566.64401400486599</v>
      </c>
      <c r="C1098">
        <f>(loans_pred_opti_data!B1098-ret_PESS!$G$35*loans_pred_opti_data!C1098)*loans_pred_opti_data!D1098</f>
        <v>453.36044576499535</v>
      </c>
    </row>
    <row r="1099" spans="1:3" x14ac:dyDescent="0.2">
      <c r="A1099" s="1">
        <v>0</v>
      </c>
      <c r="B1099">
        <f>loans_pred_opti_data!D1099*loans_pred_opti_data!B1099</f>
        <v>259.1632121426864</v>
      </c>
      <c r="C1099">
        <f>(loans_pred_opti_data!B1099-ret_PESS!$G$35*loans_pred_opti_data!C1099)*loans_pred_opti_data!D1099</f>
        <v>199.1838209644412</v>
      </c>
    </row>
    <row r="1100" spans="1:3" x14ac:dyDescent="0.2">
      <c r="A1100" s="1">
        <v>0</v>
      </c>
      <c r="B1100">
        <f>loans_pred_opti_data!D1100*loans_pred_opti_data!B1100</f>
        <v>19.668915789768384</v>
      </c>
      <c r="C1100">
        <f>(loans_pred_opti_data!B1100-ret_PESS!$G$35*loans_pred_opti_data!C1100)*loans_pred_opti_data!D1100</f>
        <v>-143.14455137542234</v>
      </c>
    </row>
    <row r="1101" spans="1:3" x14ac:dyDescent="0.2">
      <c r="A1101" s="1">
        <v>0</v>
      </c>
      <c r="B1101">
        <f>loans_pred_opti_data!D1101*loans_pred_opti_data!B1101</f>
        <v>102.44438945932737</v>
      </c>
      <c r="C1101">
        <f>(loans_pred_opti_data!B1101-ret_PESS!$G$35*loans_pred_opti_data!C1101)*loans_pred_opti_data!D1101</f>
        <v>16.133099371806889</v>
      </c>
    </row>
    <row r="1102" spans="1:3" x14ac:dyDescent="0.2">
      <c r="A1102" s="1">
        <v>0</v>
      </c>
      <c r="B1102">
        <f>loans_pred_opti_data!D1102*loans_pred_opti_data!B1102</f>
        <v>362.88765911229962</v>
      </c>
      <c r="C1102">
        <f>(loans_pred_opti_data!B1102-ret_PESS!$G$35*loans_pred_opti_data!C1102)*loans_pred_opti_data!D1102</f>
        <v>272.91857234493182</v>
      </c>
    </row>
    <row r="1103" spans="1:3" x14ac:dyDescent="0.2">
      <c r="A1103" s="1">
        <v>0</v>
      </c>
      <c r="B1103">
        <f>loans_pred_opti_data!D1103*loans_pred_opti_data!B1103</f>
        <v>154.90222321758299</v>
      </c>
      <c r="C1103">
        <f>(loans_pred_opti_data!B1103-ret_PESS!$G$35*loans_pred_opti_data!C1103)*loans_pred_opti_data!D1103</f>
        <v>105.99671989326497</v>
      </c>
    </row>
    <row r="1104" spans="1:3" x14ac:dyDescent="0.2">
      <c r="A1104" s="1">
        <v>0</v>
      </c>
      <c r="B1104">
        <f>loans_pred_opti_data!D1104*loans_pred_opti_data!B1104</f>
        <v>358.19523611642637</v>
      </c>
      <c r="C1104">
        <f>(loans_pred_opti_data!B1104-ret_PESS!$G$35*loans_pred_opti_data!C1104)*loans_pred_opti_data!D1104</f>
        <v>260.38422946779031</v>
      </c>
    </row>
    <row r="1105" spans="1:3" x14ac:dyDescent="0.2">
      <c r="A1105" s="1">
        <v>0</v>
      </c>
      <c r="B1105">
        <f>loans_pred_opti_data!D1105*loans_pred_opti_data!B1105</f>
        <v>788.93853074354399</v>
      </c>
      <c r="C1105">
        <f>(loans_pred_opti_data!B1105-ret_PESS!$G$35*loans_pred_opti_data!C1105)*loans_pred_opti_data!D1105</f>
        <v>619.34116911313697</v>
      </c>
    </row>
    <row r="1106" spans="1:3" x14ac:dyDescent="0.2">
      <c r="A1106" s="1">
        <v>0</v>
      </c>
      <c r="B1106">
        <f>loans_pred_opti_data!D1106*loans_pred_opti_data!B1106</f>
        <v>212.98006044708535</v>
      </c>
      <c r="C1106">
        <f>(loans_pred_opti_data!B1106-ret_PESS!$G$35*loans_pred_opti_data!C1106)*loans_pred_opti_data!D1106</f>
        <v>132.38275355131836</v>
      </c>
    </row>
    <row r="1107" spans="1:3" x14ac:dyDescent="0.2">
      <c r="A1107" s="1">
        <v>0</v>
      </c>
      <c r="B1107">
        <f>loans_pred_opti_data!D1107*loans_pred_opti_data!B1107</f>
        <v>276.53398120925601</v>
      </c>
      <c r="C1107">
        <f>(loans_pred_opti_data!B1107-ret_PESS!$G$35*loans_pred_opti_data!C1107)*loans_pred_opti_data!D1107</f>
        <v>195.02480900205927</v>
      </c>
    </row>
    <row r="1108" spans="1:3" x14ac:dyDescent="0.2">
      <c r="A1108" s="1">
        <v>1</v>
      </c>
      <c r="B1108">
        <f>loans_pred_opti_data!D1108*loans_pred_opti_data!B1108</f>
        <v>205.73892685557698</v>
      </c>
      <c r="C1108">
        <f>(loans_pred_opti_data!B1108-ret_PESS!$G$35*loans_pred_opti_data!C1108)*loans_pred_opti_data!D1108</f>
        <v>157.75541391298083</v>
      </c>
    </row>
    <row r="1109" spans="1:3" x14ac:dyDescent="0.2">
      <c r="A1109" s="1">
        <v>0</v>
      </c>
      <c r="B1109">
        <f>loans_pred_opti_data!D1109*loans_pred_opti_data!B1109</f>
        <v>317.03690190842337</v>
      </c>
      <c r="C1109">
        <f>(loans_pred_opti_data!B1109-ret_PESS!$G$35*loans_pred_opti_data!C1109)*loans_pred_opti_data!D1109</f>
        <v>234.56523903833624</v>
      </c>
    </row>
    <row r="1110" spans="1:3" x14ac:dyDescent="0.2">
      <c r="A1110" s="1">
        <v>0</v>
      </c>
      <c r="B1110">
        <f>loans_pred_opti_data!D1110*loans_pred_opti_data!B1110</f>
        <v>789.88972710920302</v>
      </c>
      <c r="C1110">
        <f>(loans_pred_opti_data!B1110-ret_PESS!$G$35*loans_pred_opti_data!C1110)*loans_pred_opti_data!D1110</f>
        <v>584.25292613233444</v>
      </c>
    </row>
    <row r="1111" spans="1:3" x14ac:dyDescent="0.2">
      <c r="A1111" s="1">
        <v>0</v>
      </c>
      <c r="B1111">
        <f>loans_pred_opti_data!D1111*loans_pred_opti_data!B1111</f>
        <v>445.51878105423583</v>
      </c>
      <c r="C1111">
        <f>(loans_pred_opti_data!B1111-ret_PESS!$G$35*loans_pred_opti_data!C1111)*loans_pred_opti_data!D1111</f>
        <v>353.81303533624532</v>
      </c>
    </row>
    <row r="1112" spans="1:3" x14ac:dyDescent="0.2">
      <c r="A1112" s="1">
        <v>0</v>
      </c>
      <c r="B1112">
        <f>loans_pred_opti_data!D1112*loans_pred_opti_data!B1112</f>
        <v>556.42066511488645</v>
      </c>
      <c r="C1112">
        <f>(loans_pred_opti_data!B1112-ret_PESS!$G$35*loans_pred_opti_data!C1112)*loans_pred_opti_data!D1112</f>
        <v>443.95930665567676</v>
      </c>
    </row>
    <row r="1113" spans="1:3" x14ac:dyDescent="0.2">
      <c r="A1113" s="1">
        <v>1</v>
      </c>
      <c r="B1113">
        <f>loans_pred_opti_data!D1113*loans_pred_opti_data!B1113</f>
        <v>414.23398651919899</v>
      </c>
      <c r="C1113">
        <f>(loans_pred_opti_data!B1113-ret_PESS!$G$35*loans_pred_opti_data!C1113)*loans_pred_opti_data!D1113</f>
        <v>339.25974754639253</v>
      </c>
    </row>
    <row r="1114" spans="1:3" x14ac:dyDescent="0.2">
      <c r="A1114" s="1">
        <v>0</v>
      </c>
      <c r="B1114">
        <f>loans_pred_opti_data!D1114*loans_pred_opti_data!B1114</f>
        <v>350.60386773527642</v>
      </c>
      <c r="C1114">
        <f>(loans_pred_opti_data!B1114-ret_PESS!$G$35*loans_pred_opti_data!C1114)*loans_pred_opti_data!D1114</f>
        <v>252.79286108664033</v>
      </c>
    </row>
    <row r="1115" spans="1:3" x14ac:dyDescent="0.2">
      <c r="A1115" s="1">
        <v>0</v>
      </c>
      <c r="B1115">
        <f>loans_pred_opti_data!D1115*loans_pred_opti_data!B1115</f>
        <v>247.25333742712522</v>
      </c>
      <c r="C1115">
        <f>(loans_pred_opti_data!B1115-ret_PESS!$G$35*loans_pred_opti_data!C1115)*loans_pred_opti_data!D1115</f>
        <v>180.41581621722395</v>
      </c>
    </row>
    <row r="1116" spans="1:3" x14ac:dyDescent="0.2">
      <c r="A1116" s="1">
        <v>0</v>
      </c>
      <c r="B1116">
        <f>loans_pred_opti_data!D1116*loans_pred_opti_data!B1116</f>
        <v>297.58610978836742</v>
      </c>
      <c r="C1116">
        <f>(loans_pred_opti_data!B1116-ret_PESS!$G$35*loans_pred_opti_data!C1116)*loans_pred_opti_data!D1116</f>
        <v>207.92602036045102</v>
      </c>
    </row>
    <row r="1117" spans="1:3" x14ac:dyDescent="0.2">
      <c r="A1117" s="1">
        <v>0</v>
      </c>
      <c r="B1117">
        <f>loans_pred_opti_data!D1117*loans_pred_opti_data!B1117</f>
        <v>361.68145929518897</v>
      </c>
      <c r="C1117">
        <f>(loans_pred_opti_data!B1117-ret_PESS!$G$35*loans_pred_opti_data!C1117)*loans_pred_opti_data!D1117</f>
        <v>286.70722032238251</v>
      </c>
    </row>
    <row r="1118" spans="1:3" x14ac:dyDescent="0.2">
      <c r="A1118" s="1">
        <v>0</v>
      </c>
      <c r="B1118">
        <f>loans_pred_opti_data!D1118*loans_pred_opti_data!B1118</f>
        <v>757.04380594742338</v>
      </c>
      <c r="C1118">
        <f>(loans_pred_opti_data!B1118-ret_PESS!$G$35*loans_pred_opti_data!C1118)*loans_pred_opti_data!D1118</f>
        <v>585.87454431231026</v>
      </c>
    </row>
    <row r="1119" spans="1:3" x14ac:dyDescent="0.2">
      <c r="A1119" s="1">
        <v>0</v>
      </c>
      <c r="B1119">
        <f>loans_pred_opti_data!D1119*loans_pred_opti_data!B1119</f>
        <v>93.504466134867201</v>
      </c>
      <c r="C1119">
        <f>(loans_pred_opti_data!B1119-ret_PESS!$G$35*loans_pred_opti_data!C1119)*loans_pred_opti_data!D1119</f>
        <v>63.514770545744589</v>
      </c>
    </row>
    <row r="1120" spans="1:3" x14ac:dyDescent="0.2">
      <c r="A1120" s="1">
        <v>0</v>
      </c>
      <c r="B1120">
        <f>loans_pred_opti_data!D1120*loans_pred_opti_data!B1120</f>
        <v>236.57541549993059</v>
      </c>
      <c r="C1120">
        <f>(loans_pred_opti_data!B1120-ret_PESS!$G$35*loans_pred_opti_data!C1120)*loans_pred_opti_data!D1120</f>
        <v>191.59087211624671</v>
      </c>
    </row>
    <row r="1121" spans="1:3" x14ac:dyDescent="0.2">
      <c r="A1121" s="1">
        <v>0</v>
      </c>
      <c r="B1121">
        <f>loans_pred_opti_data!D1121*loans_pred_opti_data!B1121</f>
        <v>250.67388489125852</v>
      </c>
      <c r="C1121">
        <f>(loans_pred_opti_data!B1121-ret_PESS!$G$35*loans_pred_opti_data!C1121)*loans_pred_opti_data!D1121</f>
        <v>61.86793782480747</v>
      </c>
    </row>
    <row r="1122" spans="1:3" x14ac:dyDescent="0.2">
      <c r="A1122" s="1">
        <v>0</v>
      </c>
      <c r="B1122">
        <f>loans_pred_opti_data!D1122*loans_pred_opti_data!B1122</f>
        <v>324.75138392885032</v>
      </c>
      <c r="C1122">
        <f>(loans_pred_opti_data!B1122-ret_PESS!$G$35*loans_pred_opti_data!C1122)*loans_pred_opti_data!D1122</f>
        <v>213.08381800499083</v>
      </c>
    </row>
    <row r="1123" spans="1:3" x14ac:dyDescent="0.2">
      <c r="A1123" s="1">
        <v>0</v>
      </c>
      <c r="B1123">
        <f>loans_pred_opti_data!D1123*loans_pred_opti_data!B1123</f>
        <v>333.567636630923</v>
      </c>
      <c r="C1123">
        <f>(loans_pred_opti_data!B1123-ret_PESS!$G$35*loans_pred_opti_data!C1123)*loans_pred_opti_data!D1123</f>
        <v>258.59339765811654</v>
      </c>
    </row>
    <row r="1124" spans="1:3" x14ac:dyDescent="0.2">
      <c r="A1124" s="1">
        <v>0</v>
      </c>
      <c r="B1124">
        <f>loans_pred_opti_data!D1124*loans_pred_opti_data!B1124</f>
        <v>663.52741989266451</v>
      </c>
      <c r="C1124">
        <f>(loans_pred_opti_data!B1124-ret_PESS!$G$35*loans_pred_opti_data!C1124)*loans_pred_opti_data!D1124</f>
        <v>550.24385165279386</v>
      </c>
    </row>
    <row r="1125" spans="1:3" x14ac:dyDescent="0.2">
      <c r="A1125" s="1">
        <v>0</v>
      </c>
      <c r="B1125">
        <f>loans_pred_opti_data!D1125*loans_pred_opti_data!B1125</f>
        <v>400.91298328297319</v>
      </c>
      <c r="C1125">
        <f>(loans_pred_opti_data!B1125-ret_PESS!$G$35*loans_pred_opti_data!C1125)*loans_pred_opti_data!D1125</f>
        <v>303.10197663433712</v>
      </c>
    </row>
    <row r="1126" spans="1:3" x14ac:dyDescent="0.2">
      <c r="A1126" s="1">
        <v>0</v>
      </c>
      <c r="B1126">
        <f>loans_pred_opti_data!D1126*loans_pred_opti_data!B1126</f>
        <v>515.51506217148608</v>
      </c>
      <c r="C1126">
        <f>(loans_pred_opti_data!B1126-ret_PESS!$G$35*loans_pred_opti_data!C1126)*loans_pred_opti_data!D1126</f>
        <v>453.47882242108068</v>
      </c>
    </row>
    <row r="1127" spans="1:3" x14ac:dyDescent="0.2">
      <c r="A1127" s="1">
        <v>0</v>
      </c>
      <c r="B1127">
        <f>loans_pred_opti_data!D1127*loans_pred_opti_data!B1127</f>
        <v>9.445108644752505</v>
      </c>
      <c r="C1127">
        <f>(loans_pred_opti_data!B1127-ret_PESS!$G$35*loans_pred_opti_data!C1127)*loans_pred_opti_data!D1127</f>
        <v>-47.382348087689685</v>
      </c>
    </row>
    <row r="1128" spans="1:3" x14ac:dyDescent="0.2">
      <c r="A1128" s="1">
        <v>1</v>
      </c>
      <c r="B1128">
        <f>loans_pred_opti_data!D1128*loans_pred_opti_data!B1128</f>
        <v>444.41987456922595</v>
      </c>
      <c r="C1128">
        <f>(loans_pred_opti_data!B1128-ret_PESS!$G$35*loans_pred_opti_data!C1128)*loans_pred_opti_data!D1128</f>
        <v>331.95851611001621</v>
      </c>
    </row>
    <row r="1129" spans="1:3" x14ac:dyDescent="0.2">
      <c r="A1129" s="1">
        <v>0</v>
      </c>
      <c r="B1129">
        <f>loans_pred_opti_data!D1129*loans_pred_opti_data!B1129</f>
        <v>381.25998567989637</v>
      </c>
      <c r="C1129">
        <f>(loans_pred_opti_data!B1129-ret_PESS!$G$35*loans_pred_opti_data!C1129)*loans_pred_opti_data!D1129</f>
        <v>267.14714458982098</v>
      </c>
    </row>
    <row r="1130" spans="1:3" x14ac:dyDescent="0.2">
      <c r="A1130" s="1">
        <v>0</v>
      </c>
      <c r="B1130">
        <f>loans_pred_opti_data!D1130*loans_pred_opti_data!B1130</f>
        <v>275.21367121961902</v>
      </c>
      <c r="C1130">
        <f>(loans_pred_opti_data!B1130-ret_PESS!$G$35*loans_pred_opti_data!C1130)*loans_pred_opti_data!D1130</f>
        <v>198.1594925993584</v>
      </c>
    </row>
    <row r="1131" spans="1:3" x14ac:dyDescent="0.2">
      <c r="A1131" s="1">
        <v>0</v>
      </c>
      <c r="B1131">
        <f>loans_pred_opti_data!D1131*loans_pred_opti_data!B1131</f>
        <v>235.74133681214107</v>
      </c>
      <c r="C1131">
        <f>(loans_pred_opti_data!B1131-ret_PESS!$G$35*loans_pred_opti_data!C1131)*loans_pred_opti_data!D1131</f>
        <v>177.636301608216</v>
      </c>
    </row>
    <row r="1132" spans="1:3" x14ac:dyDescent="0.2">
      <c r="A1132" s="1">
        <v>0</v>
      </c>
      <c r="B1132">
        <f>loans_pred_opti_data!D1132*loans_pred_opti_data!B1132</f>
        <v>688.23072778918595</v>
      </c>
      <c r="C1132">
        <f>(loans_pred_opti_data!B1132-ret_PESS!$G$35*loans_pred_opti_data!C1132)*loans_pred_opti_data!D1132</f>
        <v>538.28224984357303</v>
      </c>
    </row>
    <row r="1133" spans="1:3" x14ac:dyDescent="0.2">
      <c r="A1133" s="1">
        <v>0</v>
      </c>
      <c r="B1133">
        <f>loans_pred_opti_data!D1133*loans_pred_opti_data!B1133</f>
        <v>334.06525632672663</v>
      </c>
      <c r="C1133">
        <f>(loans_pred_opti_data!B1133-ret_PESS!$G$35*loans_pred_opti_data!C1133)*loans_pred_opti_data!D1133</f>
        <v>254.59381342470982</v>
      </c>
    </row>
    <row r="1134" spans="1:3" x14ac:dyDescent="0.2">
      <c r="A1134" s="1">
        <v>0</v>
      </c>
      <c r="B1134">
        <f>loans_pred_opti_data!D1134*loans_pred_opti_data!B1134</f>
        <v>198.95385332778639</v>
      </c>
      <c r="C1134">
        <f>(loans_pred_opti_data!B1134-ret_PESS!$G$35*loans_pred_opti_data!C1134)*loans_pred_opti_data!D1134</f>
        <v>133.74651556202903</v>
      </c>
    </row>
    <row r="1135" spans="1:3" x14ac:dyDescent="0.2">
      <c r="A1135" s="1">
        <v>0</v>
      </c>
      <c r="B1135">
        <f>loans_pred_opti_data!D1135*loans_pred_opti_data!B1135</f>
        <v>-15.684187609517716</v>
      </c>
      <c r="C1135">
        <f>(loans_pred_opti_data!B1135-ret_PESS!$G$35*loans_pred_opti_data!C1135)*loans_pred_opti_data!D1135</f>
        <v>-114.89144258310324</v>
      </c>
    </row>
    <row r="1136" spans="1:3" x14ac:dyDescent="0.2">
      <c r="A1136" s="1">
        <v>0</v>
      </c>
      <c r="B1136">
        <f>loans_pred_opti_data!D1136*loans_pred_opti_data!B1136</f>
        <v>430.38617854376395</v>
      </c>
      <c r="C1136">
        <f>(loans_pred_opti_data!B1136-ret_PESS!$G$35*loans_pred_opti_data!C1136)*loans_pred_opti_data!D1136</f>
        <v>332.57517189512788</v>
      </c>
    </row>
    <row r="1137" spans="1:3" x14ac:dyDescent="0.2">
      <c r="A1137" s="1">
        <v>0</v>
      </c>
      <c r="B1137">
        <f>loans_pred_opti_data!D1137*loans_pred_opti_data!B1137</f>
        <v>166.14955464899825</v>
      </c>
      <c r="C1137">
        <f>(loans_pred_opti_data!B1137-ret_PESS!$G$35*loans_pred_opti_data!C1137)*loans_pred_opti_data!D1137</f>
        <v>119.85296208329025</v>
      </c>
    </row>
    <row r="1138" spans="1:3" x14ac:dyDescent="0.2">
      <c r="A1138" s="1">
        <v>0</v>
      </c>
      <c r="B1138">
        <f>loans_pred_opti_data!D1138*loans_pred_opti_data!B1138</f>
        <v>185.64221354007478</v>
      </c>
      <c r="C1138">
        <f>(loans_pred_opti_data!B1138-ret_PESS!$G$35*loans_pred_opti_data!C1138)*loans_pred_opti_data!D1138</f>
        <v>136.73671021575674</v>
      </c>
    </row>
    <row r="1139" spans="1:3" x14ac:dyDescent="0.2">
      <c r="A1139" s="1">
        <v>0</v>
      </c>
      <c r="B1139">
        <f>loans_pred_opti_data!D1139*loans_pred_opti_data!B1139</f>
        <v>77.988648436362709</v>
      </c>
      <c r="C1139">
        <f>(loans_pred_opti_data!B1139-ret_PESS!$G$35*loans_pred_opti_data!C1139)*loans_pred_opti_data!D1139</f>
        <v>-69.349059480053384</v>
      </c>
    </row>
    <row r="1140" spans="1:3" x14ac:dyDescent="0.2">
      <c r="A1140" s="1">
        <v>0</v>
      </c>
      <c r="B1140">
        <f>loans_pred_opti_data!D1140*loans_pred_opti_data!B1140</f>
        <v>259.99856886725314</v>
      </c>
      <c r="C1140">
        <f>(loans_pred_opti_data!B1140-ret_PESS!$G$35*loans_pred_opti_data!C1140)*loans_pred_opti_data!D1140</f>
        <v>195.27305882623426</v>
      </c>
    </row>
    <row r="1141" spans="1:3" x14ac:dyDescent="0.2">
      <c r="A1141" s="1">
        <v>0</v>
      </c>
      <c r="B1141">
        <f>loans_pred_opti_data!D1141*loans_pred_opti_data!B1141</f>
        <v>466.13065673085799</v>
      </c>
      <c r="C1141">
        <f>(loans_pred_opti_data!B1141-ret_PESS!$G$35*loans_pred_opti_data!C1141)*loans_pred_opti_data!D1141</f>
        <v>384.62148452366125</v>
      </c>
    </row>
    <row r="1142" spans="1:3" x14ac:dyDescent="0.2">
      <c r="A1142" s="1">
        <v>0</v>
      </c>
      <c r="B1142">
        <f>loans_pred_opti_data!D1142*loans_pred_opti_data!B1142</f>
        <v>306.3288637694082</v>
      </c>
      <c r="C1142">
        <f>(loans_pred_opti_data!B1142-ret_PESS!$G$35*loans_pred_opti_data!C1142)*loans_pred_opti_data!D1142</f>
        <v>220.94800588236967</v>
      </c>
    </row>
    <row r="1143" spans="1:3" x14ac:dyDescent="0.2">
      <c r="A1143" s="1">
        <v>0</v>
      </c>
      <c r="B1143">
        <f>loans_pred_opti_data!D1143*loans_pred_opti_data!B1143</f>
        <v>87.093796176492006</v>
      </c>
      <c r="C1143">
        <f>(loans_pred_opti_data!B1143-ret_PESS!$G$35*loans_pred_opti_data!C1143)*loans_pred_opti_data!D1143</f>
        <v>46.339210072893657</v>
      </c>
    </row>
    <row r="1144" spans="1:3" x14ac:dyDescent="0.2">
      <c r="A1144" s="1">
        <v>0</v>
      </c>
      <c r="B1144">
        <f>loans_pred_opti_data!D1144*loans_pred_opti_data!B1144</f>
        <v>347.12578895981</v>
      </c>
      <c r="C1144">
        <f>(loans_pred_opti_data!B1144-ret_PESS!$G$35*loans_pred_opti_data!C1144)*loans_pred_opti_data!D1144</f>
        <v>242.16185439788092</v>
      </c>
    </row>
    <row r="1145" spans="1:3" x14ac:dyDescent="0.2">
      <c r="A1145" s="1">
        <v>0</v>
      </c>
      <c r="B1145">
        <f>loans_pred_opti_data!D1145*loans_pred_opti_data!B1145</f>
        <v>228.27587549004801</v>
      </c>
      <c r="C1145">
        <f>(loans_pred_opti_data!B1145-ret_PESS!$G$35*loans_pred_opti_data!C1145)*loans_pred_opti_data!D1145</f>
        <v>153.30163651724149</v>
      </c>
    </row>
    <row r="1146" spans="1:3" x14ac:dyDescent="0.2">
      <c r="A1146" s="1">
        <v>0</v>
      </c>
      <c r="B1146">
        <f>loans_pred_opti_data!D1146*loans_pred_opti_data!B1146</f>
        <v>106.99069658560093</v>
      </c>
      <c r="C1146">
        <f>(loans_pred_opti_data!B1146-ret_PESS!$G$35*loans_pred_opti_data!C1146)*loans_pred_opti_data!D1146</f>
        <v>17.02160981823312</v>
      </c>
    </row>
    <row r="1147" spans="1:3" x14ac:dyDescent="0.2">
      <c r="A1147" s="1">
        <v>0</v>
      </c>
      <c r="B1147">
        <f>loans_pred_opti_data!D1147*loans_pred_opti_data!B1147</f>
        <v>247.76073234910726</v>
      </c>
      <c r="C1147">
        <f>(loans_pred_opti_data!B1147-ret_PESS!$G$35*loans_pred_opti_data!C1147)*loans_pred_opti_data!D1147</f>
        <v>162.17610153155073</v>
      </c>
    </row>
    <row r="1148" spans="1:3" x14ac:dyDescent="0.2">
      <c r="A1148" s="1">
        <v>0</v>
      </c>
      <c r="B1148">
        <f>loans_pred_opti_data!D1148*loans_pred_opti_data!B1148</f>
        <v>66.717986781923997</v>
      </c>
      <c r="C1148">
        <f>(loans_pred_opti_data!B1148-ret_PESS!$G$35*loans_pred_opti_data!C1148)*loans_pred_opti_data!D1148</f>
        <v>46.340693730124833</v>
      </c>
    </row>
    <row r="1149" spans="1:3" x14ac:dyDescent="0.2">
      <c r="A1149" s="1">
        <v>0</v>
      </c>
      <c r="B1149">
        <f>loans_pred_opti_data!D1149*loans_pred_opti_data!B1149</f>
        <v>-13.649807475834576</v>
      </c>
      <c r="C1149">
        <f>(loans_pred_opti_data!B1149-ret_PESS!$G$35*loans_pred_opti_data!C1149)*loans_pred_opti_data!D1149</f>
        <v>-225.64650951384337</v>
      </c>
    </row>
    <row r="1150" spans="1:3" x14ac:dyDescent="0.2">
      <c r="A1150" s="1">
        <v>0</v>
      </c>
      <c r="B1150">
        <f>loans_pred_opti_data!D1150*loans_pred_opti_data!B1150</f>
        <v>778.39265159574234</v>
      </c>
      <c r="C1150">
        <f>(loans_pred_opti_data!B1150-ret_PESS!$G$35*loans_pred_opti_data!C1150)*loans_pred_opti_data!D1150</f>
        <v>627.34789394258155</v>
      </c>
    </row>
    <row r="1151" spans="1:3" x14ac:dyDescent="0.2">
      <c r="A1151" s="1">
        <v>0</v>
      </c>
      <c r="B1151">
        <f>loans_pred_opti_data!D1151*loans_pred_opti_data!B1151</f>
        <v>212.77460614525236</v>
      </c>
      <c r="C1151">
        <f>(loans_pred_opti_data!B1151-ret_PESS!$G$35*loans_pred_opti_data!C1151)*loans_pred_opti_data!D1151</f>
        <v>158.97855248850254</v>
      </c>
    </row>
    <row r="1152" spans="1:3" x14ac:dyDescent="0.2">
      <c r="A1152" s="1">
        <v>0</v>
      </c>
      <c r="B1152">
        <f>loans_pred_opti_data!D1152*loans_pred_opti_data!B1152</f>
        <v>792.32390690805039</v>
      </c>
      <c r="C1152">
        <f>(loans_pred_opti_data!B1152-ret_PESS!$G$35*loans_pred_opti_data!C1152)*loans_pred_opti_data!D1152</f>
        <v>652.06806051582964</v>
      </c>
    </row>
    <row r="1153" spans="1:3" x14ac:dyDescent="0.2">
      <c r="A1153" s="1">
        <v>0</v>
      </c>
      <c r="B1153">
        <f>loans_pred_opti_data!D1153*loans_pred_opti_data!B1153</f>
        <v>42.444525234061203</v>
      </c>
      <c r="C1153">
        <f>(loans_pred_opti_data!B1153-ret_PESS!$G$35*loans_pred_opti_data!C1153)*loans_pred_opti_data!D1153</f>
        <v>33.447616557324423</v>
      </c>
    </row>
    <row r="1154" spans="1:3" x14ac:dyDescent="0.2">
      <c r="A1154" s="1">
        <v>0</v>
      </c>
      <c r="B1154">
        <f>loans_pred_opti_data!D1154*loans_pred_opti_data!B1154</f>
        <v>430.95678408152162</v>
      </c>
      <c r="C1154">
        <f>(loans_pred_opti_data!B1154-ret_PESS!$G$35*loans_pred_opti_data!C1154)*loans_pred_opti_data!D1154</f>
        <v>340.98769731415382</v>
      </c>
    </row>
    <row r="1155" spans="1:3" x14ac:dyDescent="0.2">
      <c r="A1155" s="1">
        <v>0</v>
      </c>
      <c r="B1155">
        <f>loans_pred_opti_data!D1155*loans_pred_opti_data!B1155</f>
        <v>211.58085819875799</v>
      </c>
      <c r="C1155">
        <f>(loans_pred_opti_data!B1155-ret_PESS!$G$35*loans_pred_opti_data!C1155)*loans_pred_opti_data!D1155</f>
        <v>136.60661922595148</v>
      </c>
    </row>
    <row r="1156" spans="1:3" x14ac:dyDescent="0.2">
      <c r="A1156" s="1">
        <v>0</v>
      </c>
      <c r="B1156">
        <f>loans_pred_opti_data!D1156*loans_pred_opti_data!B1156</f>
        <v>329.7249316912152</v>
      </c>
      <c r="C1156">
        <f>(loans_pred_opti_data!B1156-ret_PESS!$G$35*loans_pred_opti_data!C1156)*loans_pred_opti_data!D1156</f>
        <v>239.75584492384741</v>
      </c>
    </row>
    <row r="1157" spans="1:3" x14ac:dyDescent="0.2">
      <c r="A1157" s="1">
        <v>0</v>
      </c>
      <c r="B1157">
        <f>loans_pred_opti_data!D1157*loans_pred_opti_data!B1157</f>
        <v>583.50353472382551</v>
      </c>
      <c r="C1157">
        <f>(loans_pred_opti_data!B1157-ret_PESS!$G$35*loans_pred_opti_data!C1157)*loans_pred_opti_data!D1157</f>
        <v>447.82564541949995</v>
      </c>
    </row>
    <row r="1158" spans="1:3" x14ac:dyDescent="0.2">
      <c r="A1158" s="1">
        <v>0</v>
      </c>
      <c r="B1158">
        <f>loans_pred_opti_data!D1158*loans_pred_opti_data!B1158</f>
        <v>344.33400386627301</v>
      </c>
      <c r="C1158">
        <f>(loans_pred_opti_data!B1158-ret_PESS!$G$35*loans_pred_opti_data!C1158)*loans_pred_opti_data!D1158</f>
        <v>262.82483165907632</v>
      </c>
    </row>
    <row r="1159" spans="1:3" x14ac:dyDescent="0.2">
      <c r="A1159" s="1">
        <v>1</v>
      </c>
      <c r="B1159">
        <f>loans_pred_opti_data!D1159*loans_pred_opti_data!B1159</f>
        <v>279.6195895611034</v>
      </c>
      <c r="C1159">
        <f>(loans_pred_opti_data!B1159-ret_PESS!$G$35*loans_pred_opti_data!C1159)*loans_pred_opti_data!D1159</f>
        <v>207.89151801877031</v>
      </c>
    </row>
    <row r="1160" spans="1:3" x14ac:dyDescent="0.2">
      <c r="A1160" s="1">
        <v>0</v>
      </c>
      <c r="B1160">
        <f>loans_pred_opti_data!D1160*loans_pred_opti_data!B1160</f>
        <v>290.00376018272016</v>
      </c>
      <c r="C1160">
        <f>(loans_pred_opti_data!B1160-ret_PESS!$G$35*loans_pred_opti_data!C1160)*loans_pred_opti_data!D1160</f>
        <v>218.15073861932717</v>
      </c>
    </row>
    <row r="1161" spans="1:3" x14ac:dyDescent="0.2">
      <c r="A1161" s="1">
        <v>0</v>
      </c>
      <c r="B1161">
        <f>loans_pred_opti_data!D1161*loans_pred_opti_data!B1161</f>
        <v>300.2892180933826</v>
      </c>
      <c r="C1161">
        <f>(loans_pred_opti_data!B1161-ret_PESS!$G$35*loans_pred_opti_data!C1161)*loans_pred_opti_data!D1161</f>
        <v>225.68985031544014</v>
      </c>
    </row>
    <row r="1162" spans="1:3" x14ac:dyDescent="0.2">
      <c r="A1162" s="1">
        <v>0</v>
      </c>
      <c r="B1162">
        <f>loans_pred_opti_data!D1162*loans_pred_opti_data!B1162</f>
        <v>398.73909088044479</v>
      </c>
      <c r="C1162">
        <f>(loans_pred_opti_data!B1162-ret_PESS!$G$35*loans_pred_opti_data!C1162)*loans_pred_opti_data!D1162</f>
        <v>312.4278007929243</v>
      </c>
    </row>
    <row r="1163" spans="1:3" x14ac:dyDescent="0.2">
      <c r="A1163" s="1">
        <v>0</v>
      </c>
      <c r="B1163">
        <f>loans_pred_opti_data!D1163*loans_pred_opti_data!B1163</f>
        <v>0.9556477624814208</v>
      </c>
      <c r="C1163">
        <f>(loans_pred_opti_data!B1163-ret_PESS!$G$35*loans_pred_opti_data!C1163)*loans_pred_opti_data!D1163</f>
        <v>-38.168754896972992</v>
      </c>
    </row>
    <row r="1164" spans="1:3" x14ac:dyDescent="0.2">
      <c r="A1164" s="1">
        <v>0</v>
      </c>
      <c r="B1164">
        <f>loans_pred_opti_data!D1164*loans_pred_opti_data!B1164</f>
        <v>41.499059604217067</v>
      </c>
      <c r="C1164">
        <f>(loans_pred_opti_data!B1164-ret_PESS!$G$35*loans_pred_opti_data!C1164)*loans_pred_opti_data!D1164</f>
        <v>-165.1977248828415</v>
      </c>
    </row>
    <row r="1165" spans="1:3" x14ac:dyDescent="0.2">
      <c r="A1165" s="1">
        <v>0</v>
      </c>
      <c r="B1165">
        <f>loans_pred_opti_data!D1165*loans_pred_opti_data!B1165</f>
        <v>1098.5737623938521</v>
      </c>
      <c r="C1165">
        <f>(loans_pred_opti_data!B1165-ret_PESS!$G$35*loans_pred_opti_data!C1165)*loans_pred_opti_data!D1165</f>
        <v>844.17771994824147</v>
      </c>
    </row>
    <row r="1166" spans="1:3" x14ac:dyDescent="0.2">
      <c r="A1166" s="1">
        <v>0</v>
      </c>
      <c r="B1166">
        <f>loans_pred_opti_data!D1166*loans_pred_opti_data!B1166</f>
        <v>420.41491242467401</v>
      </c>
      <c r="C1166">
        <f>(loans_pred_opti_data!B1166-ret_PESS!$G$35*loans_pred_opti_data!C1166)*loans_pred_opti_data!D1166</f>
        <v>298.15115411387893</v>
      </c>
    </row>
    <row r="1167" spans="1:3" x14ac:dyDescent="0.2">
      <c r="A1167" s="1">
        <v>0</v>
      </c>
      <c r="B1167">
        <f>loans_pred_opti_data!D1167*loans_pred_opti_data!B1167</f>
        <v>220.06782050229702</v>
      </c>
      <c r="C1167">
        <f>(loans_pred_opti_data!B1167-ret_PESS!$G$35*loans_pred_opti_data!C1167)*loans_pred_opti_data!D1167</f>
        <v>145.09358152949051</v>
      </c>
    </row>
    <row r="1168" spans="1:3" x14ac:dyDescent="0.2">
      <c r="A1168" s="1">
        <v>0</v>
      </c>
      <c r="B1168">
        <f>loans_pred_opti_data!D1168*loans_pred_opti_data!B1168</f>
        <v>250.439518273088</v>
      </c>
      <c r="C1168">
        <f>(loans_pred_opti_data!B1168-ret_PESS!$G$35*loans_pred_opti_data!C1168)*loans_pred_opti_data!D1168</f>
        <v>175.46527930028151</v>
      </c>
    </row>
    <row r="1169" spans="1:3" x14ac:dyDescent="0.2">
      <c r="A1169" s="1">
        <v>0</v>
      </c>
      <c r="B1169">
        <f>loans_pred_opti_data!D1169*loans_pred_opti_data!B1169</f>
        <v>-29.966931139958998</v>
      </c>
      <c r="C1169">
        <f>(loans_pred_opti_data!B1169-ret_PESS!$G$35*loans_pred_opti_data!C1169)*loans_pred_opti_data!D1169</f>
        <v>-199.56429277036602</v>
      </c>
    </row>
    <row r="1170" spans="1:3" x14ac:dyDescent="0.2">
      <c r="A1170" s="1">
        <v>0</v>
      </c>
      <c r="B1170">
        <f>loans_pred_opti_data!D1170*loans_pred_opti_data!B1170</f>
        <v>53.512215969683503</v>
      </c>
      <c r="C1170">
        <f>(loans_pred_opti_data!B1170-ret_PESS!$G$35*loans_pred_opti_data!C1170)*loans_pred_opti_data!D1170</f>
        <v>12.757629866085152</v>
      </c>
    </row>
    <row r="1171" spans="1:3" x14ac:dyDescent="0.2">
      <c r="A1171" s="1">
        <v>0</v>
      </c>
      <c r="B1171">
        <f>loans_pred_opti_data!D1171*loans_pred_opti_data!B1171</f>
        <v>-47.326211054504896</v>
      </c>
      <c r="C1171">
        <f>(loans_pred_opti_data!B1171-ret_PESS!$G$35*loans_pred_opti_data!C1171)*loans_pred_opti_data!D1171</f>
        <v>-124.38038967476548</v>
      </c>
    </row>
    <row r="1172" spans="1:3" x14ac:dyDescent="0.2">
      <c r="A1172" s="1">
        <v>0</v>
      </c>
      <c r="B1172">
        <f>loans_pred_opti_data!D1172*loans_pred_opti_data!B1172</f>
        <v>635.84351808453266</v>
      </c>
      <c r="C1172">
        <f>(loans_pred_opti_data!B1172-ret_PESS!$G$35*loans_pred_opti_data!C1172)*loans_pred_opti_data!D1172</f>
        <v>501.96188273182986</v>
      </c>
    </row>
    <row r="1173" spans="1:3" x14ac:dyDescent="0.2">
      <c r="A1173" s="1">
        <v>1</v>
      </c>
      <c r="B1173">
        <f>loans_pred_opti_data!D1173*loans_pred_opti_data!B1173</f>
        <v>166.13156790867615</v>
      </c>
      <c r="C1173">
        <f>(loans_pred_opti_data!B1173-ret_PESS!$G$35*loans_pred_opti_data!C1173)*loans_pred_opti_data!D1173</f>
        <v>120.48643147264599</v>
      </c>
    </row>
    <row r="1174" spans="1:3" x14ac:dyDescent="0.2">
      <c r="A1174" s="1">
        <v>0</v>
      </c>
      <c r="B1174">
        <f>loans_pred_opti_data!D1174*loans_pred_opti_data!B1174</f>
        <v>689.7311283399855</v>
      </c>
      <c r="C1174">
        <f>(loans_pred_opti_data!B1174-ret_PESS!$G$35*loans_pred_opti_data!C1174)*loans_pred_opti_data!D1174</f>
        <v>600.04830348342125</v>
      </c>
    </row>
    <row r="1175" spans="1:3" x14ac:dyDescent="0.2">
      <c r="A1175" s="1">
        <v>0</v>
      </c>
      <c r="B1175">
        <f>loans_pred_opti_data!D1175*loans_pred_opti_data!B1175</f>
        <v>224.3909907253869</v>
      </c>
      <c r="C1175">
        <f>(loans_pred_opti_data!B1175-ret_PESS!$G$35*loans_pred_opti_data!C1175)*loans_pred_opti_data!D1175</f>
        <v>173.44775809588893</v>
      </c>
    </row>
    <row r="1176" spans="1:3" x14ac:dyDescent="0.2">
      <c r="A1176" s="1">
        <v>0</v>
      </c>
      <c r="B1176">
        <f>loans_pred_opti_data!D1176*loans_pred_opti_data!B1176</f>
        <v>54.989467901227201</v>
      </c>
      <c r="C1176">
        <f>(loans_pred_opti_data!B1176-ret_PESS!$G$35*loans_pred_opti_data!C1176)*loans_pred_opti_data!D1176</f>
        <v>22.385799018348514</v>
      </c>
    </row>
    <row r="1177" spans="1:3" x14ac:dyDescent="0.2">
      <c r="A1177" s="1">
        <v>0</v>
      </c>
      <c r="B1177">
        <f>loans_pred_opti_data!D1177*loans_pred_opti_data!B1177</f>
        <v>151.37129730731584</v>
      </c>
      <c r="C1177">
        <f>(loans_pred_opti_data!B1177-ret_PESS!$G$35*loans_pred_opti_data!C1177)*loans_pred_opti_data!D1177</f>
        <v>99.205427094709947</v>
      </c>
    </row>
    <row r="1178" spans="1:3" x14ac:dyDescent="0.2">
      <c r="A1178" s="1">
        <v>0</v>
      </c>
      <c r="B1178">
        <f>loans_pred_opti_data!D1178*loans_pred_opti_data!B1178</f>
        <v>435.59381246634001</v>
      </c>
      <c r="C1178">
        <f>(loans_pred_opti_data!B1178-ret_PESS!$G$35*loans_pred_opti_data!C1178)*loans_pred_opti_data!D1178</f>
        <v>381.6492561616397</v>
      </c>
    </row>
    <row r="1179" spans="1:3" x14ac:dyDescent="0.2">
      <c r="A1179" s="1">
        <v>0</v>
      </c>
      <c r="B1179">
        <f>loans_pred_opti_data!D1179*loans_pred_opti_data!B1179</f>
        <v>132.66165509992001</v>
      </c>
      <c r="C1179">
        <f>(loans_pred_opti_data!B1179-ret_PESS!$G$35*loans_pred_opti_data!C1179)*loans_pred_opti_data!D1179</f>
        <v>80.495784887314116</v>
      </c>
    </row>
    <row r="1180" spans="1:3" x14ac:dyDescent="0.2">
      <c r="A1180" s="1">
        <v>0</v>
      </c>
      <c r="B1180">
        <f>loans_pred_opti_data!D1180*loans_pred_opti_data!B1180</f>
        <v>1604.3925795296875</v>
      </c>
      <c r="C1180">
        <f>(loans_pred_opti_data!B1180-ret_PESS!$G$35*loans_pred_opti_data!C1180)*loans_pred_opti_data!D1180</f>
        <v>1415.5866324632364</v>
      </c>
    </row>
    <row r="1181" spans="1:3" x14ac:dyDescent="0.2">
      <c r="A1181" s="1">
        <v>0</v>
      </c>
      <c r="B1181">
        <f>loans_pred_opti_data!D1181*loans_pred_opti_data!B1181</f>
        <v>305.10296942349299</v>
      </c>
      <c r="C1181">
        <f>(loans_pred_opti_data!B1181-ret_PESS!$G$35*loans_pred_opti_data!C1181)*loans_pred_opti_data!D1181</f>
        <v>182.83921111269794</v>
      </c>
    </row>
    <row r="1182" spans="1:3" x14ac:dyDescent="0.2">
      <c r="A1182" s="1">
        <v>1</v>
      </c>
      <c r="B1182">
        <f>loans_pred_opti_data!D1182*loans_pred_opti_data!B1182</f>
        <v>-271.35836066309008</v>
      </c>
      <c r="C1182">
        <f>(loans_pred_opti_data!B1182-ret_PESS!$G$35*loans_pred_opti_data!C1182)*loans_pred_opti_data!D1182</f>
        <v>-568.15374351630237</v>
      </c>
    </row>
    <row r="1183" spans="1:3" x14ac:dyDescent="0.2">
      <c r="A1183" s="1">
        <v>0</v>
      </c>
      <c r="B1183">
        <f>loans_pred_opti_data!D1183*loans_pred_opti_data!B1183</f>
        <v>418.2939278778552</v>
      </c>
      <c r="C1183">
        <f>(loans_pred_opti_data!B1183-ret_PESS!$G$35*loans_pred_opti_data!C1183)*loans_pred_opti_data!D1183</f>
        <v>320.48292122921913</v>
      </c>
    </row>
    <row r="1184" spans="1:3" x14ac:dyDescent="0.2">
      <c r="A1184" s="1">
        <v>0</v>
      </c>
      <c r="B1184">
        <f>loans_pred_opti_data!D1184*loans_pred_opti_data!B1184</f>
        <v>344.303269253606</v>
      </c>
      <c r="C1184">
        <f>(loans_pred_opti_data!B1184-ret_PESS!$G$35*loans_pred_opti_data!C1184)*loans_pred_opti_data!D1184</f>
        <v>269.32903028079949</v>
      </c>
    </row>
    <row r="1185" spans="1:3" x14ac:dyDescent="0.2">
      <c r="A1185" s="1">
        <v>0</v>
      </c>
      <c r="B1185">
        <f>loans_pred_opti_data!D1185*loans_pred_opti_data!B1185</f>
        <v>429.72863730886803</v>
      </c>
      <c r="C1185">
        <f>(loans_pred_opti_data!B1185-ret_PESS!$G$35*loans_pred_opti_data!C1185)*loans_pred_opti_data!D1185</f>
        <v>317.26727884965828</v>
      </c>
    </row>
    <row r="1186" spans="1:3" x14ac:dyDescent="0.2">
      <c r="A1186" s="1">
        <v>0</v>
      </c>
      <c r="B1186">
        <f>loans_pred_opti_data!D1186*loans_pred_opti_data!B1186</f>
        <v>281.44823669932987</v>
      </c>
      <c r="C1186">
        <f>(loans_pred_opti_data!B1186-ret_PESS!$G$35*loans_pred_opti_data!C1186)*loans_pred_opti_data!D1186</f>
        <v>215.01826135046454</v>
      </c>
    </row>
    <row r="1187" spans="1:3" x14ac:dyDescent="0.2">
      <c r="A1187" s="1">
        <v>0</v>
      </c>
      <c r="B1187">
        <f>loans_pred_opti_data!D1187*loans_pred_opti_data!B1187</f>
        <v>200.28832825637221</v>
      </c>
      <c r="C1187">
        <f>(loans_pred_opti_data!B1187-ret_PESS!$G$35*loans_pred_opti_data!C1187)*loans_pred_opti_data!D1187</f>
        <v>151.38282493205418</v>
      </c>
    </row>
    <row r="1188" spans="1:3" x14ac:dyDescent="0.2">
      <c r="A1188" s="1">
        <v>0</v>
      </c>
      <c r="B1188">
        <f>loans_pred_opti_data!D1188*loans_pred_opti_data!B1188</f>
        <v>133.27522913312438</v>
      </c>
      <c r="C1188">
        <f>(loans_pred_opti_data!B1188-ret_PESS!$G$35*loans_pred_opti_data!C1188)*loans_pred_opti_data!D1188</f>
        <v>100.6715602502457</v>
      </c>
    </row>
    <row r="1189" spans="1:3" x14ac:dyDescent="0.2">
      <c r="A1189" s="1">
        <v>1</v>
      </c>
      <c r="B1189">
        <f>loans_pred_opti_data!D1189*loans_pred_opti_data!B1189</f>
        <v>347.54367470851201</v>
      </c>
      <c r="C1189">
        <f>(loans_pred_opti_data!B1189-ret_PESS!$G$35*loans_pred_opti_data!C1189)*loans_pred_opti_data!D1189</f>
        <v>272.5694357357055</v>
      </c>
    </row>
    <row r="1190" spans="1:3" x14ac:dyDescent="0.2">
      <c r="A1190" s="1">
        <v>0</v>
      </c>
      <c r="B1190">
        <f>loans_pred_opti_data!D1190*loans_pred_opti_data!B1190</f>
        <v>70.594512412113403</v>
      </c>
      <c r="C1190">
        <f>(loans_pred_opti_data!B1190-ret_PESS!$G$35*loans_pred_opti_data!C1190)*loans_pred_opti_data!D1190</f>
        <v>55.599664617552101</v>
      </c>
    </row>
    <row r="1191" spans="1:3" x14ac:dyDescent="0.2">
      <c r="A1191" s="1">
        <v>1</v>
      </c>
      <c r="B1191">
        <f>loans_pred_opti_data!D1191*loans_pred_opti_data!B1191</f>
        <v>723.31267820219693</v>
      </c>
      <c r="C1191">
        <f>(loans_pred_opti_data!B1191-ret_PESS!$G$35*loans_pred_opti_data!C1191)*loans_pred_opti_data!D1191</f>
        <v>489.48031585427321</v>
      </c>
    </row>
    <row r="1192" spans="1:3" x14ac:dyDescent="0.2">
      <c r="A1192" s="1">
        <v>0</v>
      </c>
      <c r="B1192">
        <f>loans_pred_opti_data!D1192*loans_pred_opti_data!B1192</f>
        <v>494.25899430533758</v>
      </c>
      <c r="C1192">
        <f>(loans_pred_opti_data!B1192-ret_PESS!$G$35*loans_pred_opti_data!C1192)*loans_pred_opti_data!D1192</f>
        <v>390.68544620031298</v>
      </c>
    </row>
    <row r="1193" spans="1:3" x14ac:dyDescent="0.2">
      <c r="A1193" s="1">
        <v>0</v>
      </c>
      <c r="B1193">
        <f>loans_pred_opti_data!D1193*loans_pred_opti_data!B1193</f>
        <v>420.91206916347841</v>
      </c>
      <c r="C1193">
        <f>(loans_pred_opti_data!B1193-ret_PESS!$G$35*loans_pred_opti_data!C1193)*loans_pred_opti_data!D1193</f>
        <v>330.94298239611061</v>
      </c>
    </row>
    <row r="1194" spans="1:3" x14ac:dyDescent="0.2">
      <c r="A1194" s="1">
        <v>0</v>
      </c>
      <c r="B1194">
        <f>loans_pred_opti_data!D1194*loans_pred_opti_data!B1194</f>
        <v>304.05294783501046</v>
      </c>
      <c r="C1194">
        <f>(loans_pred_opti_data!B1194-ret_PESS!$G$35*loans_pred_opti_data!C1194)*loans_pred_opti_data!D1194</f>
        <v>250.07149577458981</v>
      </c>
    </row>
    <row r="1195" spans="1:3" x14ac:dyDescent="0.2">
      <c r="A1195" s="1">
        <v>0</v>
      </c>
      <c r="B1195">
        <f>loans_pred_opti_data!D1195*loans_pred_opti_data!B1195</f>
        <v>266.38703888742998</v>
      </c>
      <c r="C1195">
        <f>(loans_pred_opti_data!B1195-ret_PESS!$G$35*loans_pred_opti_data!C1195)*loans_pred_opti_data!D1195</f>
        <v>198.53065302493869</v>
      </c>
    </row>
    <row r="1196" spans="1:3" x14ac:dyDescent="0.2">
      <c r="A1196" s="1">
        <v>0</v>
      </c>
      <c r="B1196">
        <f>loans_pred_opti_data!D1196*loans_pred_opti_data!B1196</f>
        <v>35.643619704289748</v>
      </c>
      <c r="C1196">
        <f>(loans_pred_opti_data!B1196-ret_PESS!$G$35*loans_pred_opti_data!C1196)*loans_pred_opti_data!D1196</f>
        <v>-176.35308233371902</v>
      </c>
    </row>
    <row r="1197" spans="1:3" x14ac:dyDescent="0.2">
      <c r="A1197" s="1">
        <v>0</v>
      </c>
      <c r="B1197">
        <f>loans_pred_opti_data!D1197*loans_pred_opti_data!B1197</f>
        <v>816.82364929889798</v>
      </c>
      <c r="C1197">
        <f>(loans_pred_opti_data!B1197-ret_PESS!$G$35*loans_pred_opti_data!C1197)*loans_pred_opti_data!D1197</f>
        <v>662.7152920583768</v>
      </c>
    </row>
    <row r="1198" spans="1:3" x14ac:dyDescent="0.2">
      <c r="A1198" s="1">
        <v>0</v>
      </c>
      <c r="B1198">
        <f>loans_pred_opti_data!D1198*loans_pred_opti_data!B1198</f>
        <v>214.14686998730642</v>
      </c>
      <c r="C1198">
        <f>(loans_pred_opti_data!B1198-ret_PESS!$G$35*loans_pred_opti_data!C1198)*loans_pred_opti_data!D1198</f>
        <v>116.33586333867036</v>
      </c>
    </row>
    <row r="1199" spans="1:3" x14ac:dyDescent="0.2">
      <c r="A1199" s="1">
        <v>0</v>
      </c>
      <c r="B1199">
        <f>loans_pred_opti_data!D1199*loans_pred_opti_data!B1199</f>
        <v>-118.32164025367798</v>
      </c>
      <c r="C1199">
        <f>(loans_pred_opti_data!B1199-ret_PESS!$G$35*loans_pred_opti_data!C1199)*loans_pred_opti_data!D1199</f>
        <v>-309.33066878992389</v>
      </c>
    </row>
    <row r="1200" spans="1:3" x14ac:dyDescent="0.2">
      <c r="A1200" s="1">
        <v>0</v>
      </c>
      <c r="B1200">
        <f>loans_pred_opti_data!D1200*loans_pred_opti_data!B1200</f>
        <v>334.52831977953224</v>
      </c>
      <c r="C1200">
        <f>(loans_pred_opti_data!B1200-ret_PESS!$G$35*loans_pred_opti_data!C1200)*loans_pred_opti_data!D1200</f>
        <v>249.96255361456565</v>
      </c>
    </row>
    <row r="1201" spans="1:3" x14ac:dyDescent="0.2">
      <c r="A1201" s="1">
        <v>0</v>
      </c>
      <c r="B1201">
        <f>loans_pred_opti_data!D1201*loans_pred_opti_data!B1201</f>
        <v>31.105365041189216</v>
      </c>
      <c r="C1201">
        <f>(loans_pred_opti_data!B1201-ret_PESS!$G$35*loans_pred_opti_data!C1201)*loans_pred_opti_data!D1201</f>
        <v>-176.6514029560594</v>
      </c>
    </row>
    <row r="1202" spans="1:3" x14ac:dyDescent="0.2">
      <c r="A1202" s="1">
        <v>0</v>
      </c>
      <c r="B1202">
        <f>loans_pred_opti_data!D1202*loans_pred_opti_data!B1202</f>
        <v>130.06043408883289</v>
      </c>
      <c r="C1202">
        <f>(loans_pred_opti_data!B1202-ret_PESS!$G$35*loans_pred_opti_data!C1202)*loans_pred_opti_data!D1202</f>
        <v>-64.976531786135169</v>
      </c>
    </row>
    <row r="1203" spans="1:3" x14ac:dyDescent="0.2">
      <c r="A1203" s="1">
        <v>0</v>
      </c>
      <c r="B1203">
        <f>loans_pred_opti_data!D1203*loans_pred_opti_data!B1203</f>
        <v>-663.98941246707909</v>
      </c>
      <c r="C1203">
        <f>(loans_pred_opti_data!B1203-ret_PESS!$G$35*loans_pred_opti_data!C1203)*loans_pred_opti_data!D1203</f>
        <v>-918.38545491268951</v>
      </c>
    </row>
    <row r="1204" spans="1:3" x14ac:dyDescent="0.2">
      <c r="A1204" s="1">
        <v>0</v>
      </c>
      <c r="B1204">
        <f>loans_pred_opti_data!D1204*loans_pred_opti_data!B1204</f>
        <v>53.063279567385841</v>
      </c>
      <c r="C1204">
        <f>(loans_pred_opti_data!B1204-ret_PESS!$G$35*loans_pred_opti_data!C1204)*loans_pred_opti_data!D1204</f>
        <v>-150.45355438910258</v>
      </c>
    </row>
    <row r="1205" spans="1:3" x14ac:dyDescent="0.2">
      <c r="A1205" s="1">
        <v>0</v>
      </c>
      <c r="B1205">
        <f>loans_pred_opti_data!D1205*loans_pred_opti_data!B1205</f>
        <v>278.64186694221814</v>
      </c>
      <c r="C1205">
        <f>(loans_pred_opti_data!B1205-ret_PESS!$G$35*loans_pred_opti_data!C1205)*loans_pred_opti_data!D1205</f>
        <v>203.2927567745476</v>
      </c>
    </row>
    <row r="1206" spans="1:3" x14ac:dyDescent="0.2">
      <c r="A1206" s="1">
        <v>0</v>
      </c>
      <c r="B1206">
        <f>loans_pred_opti_data!D1206*loans_pred_opti_data!B1206</f>
        <v>333.66499466825195</v>
      </c>
      <c r="C1206">
        <f>(loans_pred_opti_data!B1206-ret_PESS!$G$35*loans_pred_opti_data!C1206)*loans_pred_opti_data!D1206</f>
        <v>252.15582246105524</v>
      </c>
    </row>
    <row r="1207" spans="1:3" x14ac:dyDescent="0.2">
      <c r="A1207" s="1">
        <v>0</v>
      </c>
      <c r="B1207">
        <f>loans_pred_opti_data!D1207*loans_pred_opti_data!B1207</f>
        <v>557.51052563485052</v>
      </c>
      <c r="C1207">
        <f>(loans_pred_opti_data!B1207-ret_PESS!$G$35*loans_pred_opti_data!C1207)*loans_pred_opti_data!D1207</f>
        <v>445.04916717564078</v>
      </c>
    </row>
    <row r="1208" spans="1:3" x14ac:dyDescent="0.2">
      <c r="A1208" s="1">
        <v>0</v>
      </c>
      <c r="B1208">
        <f>loans_pred_opti_data!D1208*loans_pred_opti_data!B1208</f>
        <v>574.62491962398326</v>
      </c>
      <c r="C1208">
        <f>(loans_pred_opti_data!B1208-ret_PESS!$G$35*loans_pred_opti_data!C1208)*loans_pred_opti_data!D1208</f>
        <v>428.97461760129249</v>
      </c>
    </row>
    <row r="1209" spans="1:3" x14ac:dyDescent="0.2">
      <c r="A1209" s="1">
        <v>0</v>
      </c>
      <c r="B1209">
        <f>loans_pred_opti_data!D1209*loans_pred_opti_data!B1209</f>
        <v>-186.35325592521721</v>
      </c>
      <c r="C1209">
        <f>(loans_pred_opti_data!B1209-ret_PESS!$G$35*loans_pred_opti_data!C1209)*loans_pred_opti_data!D1209</f>
        <v>-355.95061755562421</v>
      </c>
    </row>
    <row r="1210" spans="1:3" x14ac:dyDescent="0.2">
      <c r="A1210" s="1">
        <v>0</v>
      </c>
      <c r="B1210">
        <f>loans_pred_opti_data!D1210*loans_pred_opti_data!B1210</f>
        <v>208.35142381465104</v>
      </c>
      <c r="C1210">
        <f>(loans_pred_opti_data!B1210-ret_PESS!$G$35*loans_pred_opti_data!C1210)*loans_pred_opti_data!D1210</f>
        <v>64.895280729984833</v>
      </c>
    </row>
    <row r="1211" spans="1:3" x14ac:dyDescent="0.2">
      <c r="A1211" s="1">
        <v>0</v>
      </c>
      <c r="B1211">
        <f>loans_pred_opti_data!D1211*loans_pred_opti_data!B1211</f>
        <v>248.1147533181464</v>
      </c>
      <c r="C1211">
        <f>(loans_pred_opti_data!B1211-ret_PESS!$G$35*loans_pred_opti_data!C1211)*loans_pred_opti_data!D1211</f>
        <v>188.13536213990116</v>
      </c>
    </row>
    <row r="1212" spans="1:3" x14ac:dyDescent="0.2">
      <c r="A1212" s="1">
        <v>0</v>
      </c>
      <c r="B1212">
        <f>loans_pred_opti_data!D1212*loans_pred_opti_data!B1212</f>
        <v>-97.031911057624555</v>
      </c>
      <c r="C1212">
        <f>(loans_pred_opti_data!B1212-ret_PESS!$G$35*loans_pred_opti_data!C1212)*loans_pred_opti_data!D1212</f>
        <v>-393.82729391083683</v>
      </c>
    </row>
    <row r="1213" spans="1:3" x14ac:dyDescent="0.2">
      <c r="A1213" s="1">
        <v>0</v>
      </c>
      <c r="B1213">
        <f>loans_pred_opti_data!D1213*loans_pred_opti_data!B1213</f>
        <v>86.046295765090491</v>
      </c>
      <c r="C1213">
        <f>(loans_pred_opti_data!B1213-ret_PESS!$G$35*loans_pred_opti_data!C1213)*loans_pred_opti_data!D1213</f>
        <v>65.66900271329132</v>
      </c>
    </row>
    <row r="1214" spans="1:3" x14ac:dyDescent="0.2">
      <c r="A1214" s="1">
        <v>0</v>
      </c>
      <c r="B1214">
        <f>loans_pred_opti_data!D1214*loans_pred_opti_data!B1214</f>
        <v>135.46137995634888</v>
      </c>
      <c r="C1214">
        <f>(loans_pred_opti_data!B1214-ret_PESS!$G$35*loans_pred_opti_data!C1214)*loans_pred_opti_data!D1214</f>
        <v>76.774775967167244</v>
      </c>
    </row>
    <row r="1215" spans="1:3" x14ac:dyDescent="0.2">
      <c r="A1215" s="1">
        <v>0</v>
      </c>
      <c r="B1215">
        <f>loans_pred_opti_data!D1215*loans_pred_opti_data!B1215</f>
        <v>313.14086803034883</v>
      </c>
      <c r="C1215">
        <f>(loans_pred_opti_data!B1215-ret_PESS!$G$35*loans_pred_opti_data!C1215)*loans_pred_opti_data!D1215</f>
        <v>215.32986138171279</v>
      </c>
    </row>
    <row r="1216" spans="1:3" x14ac:dyDescent="0.2">
      <c r="A1216" s="1">
        <v>0</v>
      </c>
      <c r="B1216">
        <f>loans_pred_opti_data!D1216*loans_pred_opti_data!B1216</f>
        <v>230.75191290945898</v>
      </c>
      <c r="C1216">
        <f>(loans_pred_opti_data!B1216-ret_PESS!$G$35*loans_pred_opti_data!C1216)*loans_pred_opti_data!D1216</f>
        <v>174.52123367985413</v>
      </c>
    </row>
    <row r="1217" spans="1:3" x14ac:dyDescent="0.2">
      <c r="A1217" s="1">
        <v>0</v>
      </c>
      <c r="B1217">
        <f>loans_pred_opti_data!D1217*loans_pred_opti_data!B1217</f>
        <v>849.365142917345</v>
      </c>
      <c r="C1217">
        <f>(loans_pred_opti_data!B1217-ret_PESS!$G$35*loans_pred_opti_data!C1217)*loans_pred_opti_data!D1217</f>
        <v>637.36844087933616</v>
      </c>
    </row>
    <row r="1218" spans="1:3" x14ac:dyDescent="0.2">
      <c r="A1218" s="1">
        <v>0</v>
      </c>
      <c r="B1218">
        <f>loans_pred_opti_data!D1218*loans_pred_opti_data!B1218</f>
        <v>113.36481390645949</v>
      </c>
      <c r="C1218">
        <f>(loans_pred_opti_data!B1218-ret_PESS!$G$35*loans_pred_opti_data!C1218)*loans_pred_opti_data!D1218</f>
        <v>23.395727139091679</v>
      </c>
    </row>
    <row r="1219" spans="1:3" x14ac:dyDescent="0.2">
      <c r="A1219" s="1">
        <v>0</v>
      </c>
      <c r="B1219">
        <f>loans_pred_opti_data!D1219*loans_pred_opti_data!B1219</f>
        <v>266.70781146690996</v>
      </c>
      <c r="C1219">
        <f>(loans_pred_opti_data!B1219-ret_PESS!$G$35*loans_pred_opti_data!C1219)*loans_pred_opti_data!D1219</f>
        <v>181.94821498462332</v>
      </c>
    </row>
    <row r="1220" spans="1:3" x14ac:dyDescent="0.2">
      <c r="A1220" s="1">
        <v>0</v>
      </c>
      <c r="B1220">
        <f>loans_pred_opti_data!D1220*loans_pred_opti_data!B1220</f>
        <v>469.94036374116149</v>
      </c>
      <c r="C1220">
        <f>(loans_pred_opti_data!B1220-ret_PESS!$G$35*loans_pred_opti_data!C1220)*loans_pred_opti_data!D1220</f>
        <v>327.50308530908524</v>
      </c>
    </row>
    <row r="1221" spans="1:3" x14ac:dyDescent="0.2">
      <c r="A1221" s="1">
        <v>0</v>
      </c>
      <c r="B1221">
        <f>loans_pred_opti_data!D1221*loans_pred_opti_data!B1221</f>
        <v>324.82944992210167</v>
      </c>
      <c r="C1221">
        <f>(loans_pred_opti_data!B1221-ret_PESS!$G$35*loans_pred_opti_data!C1221)*loans_pred_opti_data!D1221</f>
        <v>261.10134679521616</v>
      </c>
    </row>
    <row r="1222" spans="1:3" x14ac:dyDescent="0.2">
      <c r="A1222" s="1">
        <v>0</v>
      </c>
      <c r="B1222">
        <f>loans_pred_opti_data!D1222*loans_pred_opti_data!B1222</f>
        <v>584.23309677127622</v>
      </c>
      <c r="C1222">
        <f>(loans_pred_opti_data!B1222-ret_PESS!$G$35*loans_pred_opti_data!C1222)*loans_pred_opti_data!D1222</f>
        <v>487.13289542281575</v>
      </c>
    </row>
    <row r="1223" spans="1:3" x14ac:dyDescent="0.2">
      <c r="A1223" s="1">
        <v>1</v>
      </c>
      <c r="B1223">
        <f>loans_pred_opti_data!D1223*loans_pred_opti_data!B1223</f>
        <v>-0.75085694068991571</v>
      </c>
      <c r="C1223">
        <f>(loans_pred_opti_data!B1223-ret_PESS!$G$35*loans_pred_opti_data!C1223)*loans_pred_opti_data!D1223</f>
        <v>-209.14361504405255</v>
      </c>
    </row>
    <row r="1224" spans="1:3" x14ac:dyDescent="0.2">
      <c r="A1224" s="1">
        <v>0</v>
      </c>
      <c r="B1224">
        <f>loans_pred_opti_data!D1224*loans_pred_opti_data!B1224</f>
        <v>983.10599641243539</v>
      </c>
      <c r="C1224">
        <f>(loans_pred_opti_data!B1224-ret_PESS!$G$35*loans_pred_opti_data!C1224)*loans_pred_opti_data!D1224</f>
        <v>869.68756678180307</v>
      </c>
    </row>
    <row r="1225" spans="1:3" x14ac:dyDescent="0.2">
      <c r="A1225" s="1">
        <v>0</v>
      </c>
      <c r="B1225">
        <f>loans_pred_opti_data!D1225*loans_pred_opti_data!B1225</f>
        <v>353.03943556007403</v>
      </c>
      <c r="C1225">
        <f>(loans_pred_opti_data!B1225-ret_PESS!$G$35*loans_pred_opti_data!C1225)*loans_pred_opti_data!D1225</f>
        <v>263.07034879270617</v>
      </c>
    </row>
    <row r="1226" spans="1:3" x14ac:dyDescent="0.2">
      <c r="A1226" s="1">
        <v>0</v>
      </c>
      <c r="B1226">
        <f>loans_pred_opti_data!D1226*loans_pred_opti_data!B1226</f>
        <v>208.9167270638535</v>
      </c>
      <c r="C1226">
        <f>(loans_pred_opti_data!B1226-ret_PESS!$G$35*loans_pred_opti_data!C1226)*loans_pred_opti_data!D1226</f>
        <v>171.42960757745024</v>
      </c>
    </row>
    <row r="1227" spans="1:3" x14ac:dyDescent="0.2">
      <c r="A1227" s="1">
        <v>0</v>
      </c>
      <c r="B1227">
        <f>loans_pred_opti_data!D1227*loans_pred_opti_data!B1227</f>
        <v>351.90067033835521</v>
      </c>
      <c r="C1227">
        <f>(loans_pred_opti_data!B1227-ret_PESS!$G$35*loans_pred_opti_data!C1227)*loans_pred_opti_data!D1227</f>
        <v>254.08966368971915</v>
      </c>
    </row>
    <row r="1228" spans="1:3" x14ac:dyDescent="0.2">
      <c r="A1228" s="1">
        <v>0</v>
      </c>
      <c r="B1228">
        <f>loans_pred_opti_data!D1228*loans_pred_opti_data!B1228</f>
        <v>133.38906098626299</v>
      </c>
      <c r="C1228">
        <f>(loans_pred_opti_data!B1228-ret_PESS!$G$35*loans_pred_opti_data!C1228)*loans_pred_opti_data!D1228</f>
        <v>56.33488236600239</v>
      </c>
    </row>
    <row r="1229" spans="1:3" x14ac:dyDescent="0.2">
      <c r="A1229" s="1">
        <v>0</v>
      </c>
      <c r="B1229">
        <f>loans_pred_opti_data!D1229*loans_pred_opti_data!B1229</f>
        <v>456.02257960487424</v>
      </c>
      <c r="C1229">
        <f>(loans_pred_opti_data!B1229-ret_PESS!$G$35*loans_pred_opti_data!C1229)*loans_pred_opti_data!D1229</f>
        <v>350.46820159655448</v>
      </c>
    </row>
    <row r="1230" spans="1:3" x14ac:dyDescent="0.2">
      <c r="A1230" s="1">
        <v>0</v>
      </c>
      <c r="B1230">
        <f>loans_pred_opti_data!D1230*loans_pred_opti_data!B1230</f>
        <v>551.12940946403842</v>
      </c>
      <c r="C1230">
        <f>(loans_pred_opti_data!B1230-ret_PESS!$G$35*loans_pred_opti_data!C1230)*loans_pred_opti_data!D1230</f>
        <v>438.66805100482873</v>
      </c>
    </row>
    <row r="1231" spans="1:3" x14ac:dyDescent="0.2">
      <c r="A1231" s="1">
        <v>0</v>
      </c>
      <c r="B1231">
        <f>loans_pred_opti_data!D1231*loans_pred_opti_data!B1231</f>
        <v>217.06563820190729</v>
      </c>
      <c r="C1231">
        <f>(loans_pred_opti_data!B1231-ret_PESS!$G$35*loans_pred_opti_data!C1231)*loans_pred_opti_data!D1231</f>
        <v>164.08467626722941</v>
      </c>
    </row>
    <row r="1232" spans="1:3" x14ac:dyDescent="0.2">
      <c r="A1232" s="1">
        <v>0</v>
      </c>
      <c r="B1232">
        <f>loans_pred_opti_data!D1232*loans_pred_opti_data!B1232</f>
        <v>86.895088138015197</v>
      </c>
      <c r="C1232">
        <f>(loans_pred_opti_data!B1232-ret_PESS!$G$35*loans_pred_opti_data!C1232)*loans_pred_opti_data!D1232</f>
        <v>63.778834551937017</v>
      </c>
    </row>
    <row r="1233" spans="1:3" x14ac:dyDescent="0.2">
      <c r="A1233" s="1">
        <v>0</v>
      </c>
      <c r="B1233">
        <f>loans_pred_opti_data!D1233*loans_pred_opti_data!B1233</f>
        <v>169.30417176477624</v>
      </c>
      <c r="C1233">
        <f>(loans_pred_opti_data!B1233-ret_PESS!$G$35*loans_pred_opti_data!C1233)*loans_pred_opti_data!D1233</f>
        <v>98.3911919445151</v>
      </c>
    </row>
    <row r="1234" spans="1:3" x14ac:dyDescent="0.2">
      <c r="A1234" s="1">
        <v>0</v>
      </c>
      <c r="B1234">
        <f>loans_pred_opti_data!D1234*loans_pred_opti_data!B1234</f>
        <v>-47.820474702866598</v>
      </c>
      <c r="C1234">
        <f>(loans_pred_opti_data!B1234-ret_PESS!$G$35*loans_pred_opti_data!C1234)*loans_pred_opti_data!D1234</f>
        <v>-129.3296469100633</v>
      </c>
    </row>
    <row r="1235" spans="1:3" x14ac:dyDescent="0.2">
      <c r="A1235" s="1">
        <v>0</v>
      </c>
      <c r="B1235">
        <f>loans_pred_opti_data!D1235*loans_pred_opti_data!B1235</f>
        <v>494.37838460055002</v>
      </c>
      <c r="C1235">
        <f>(loans_pred_opti_data!B1235-ret_PESS!$G$35*loans_pred_opti_data!C1235)*loans_pred_opti_data!D1235</f>
        <v>404.40929783318222</v>
      </c>
    </row>
    <row r="1236" spans="1:3" x14ac:dyDescent="0.2">
      <c r="A1236" s="1">
        <v>1</v>
      </c>
      <c r="B1236">
        <f>loans_pred_opti_data!D1236*loans_pred_opti_data!B1236</f>
        <v>200.4709645567344</v>
      </c>
      <c r="C1236">
        <f>(loans_pred_opti_data!B1236-ret_PESS!$G$35*loans_pred_opti_data!C1236)*loans_pred_opti_data!D1236</f>
        <v>151.56546123241637</v>
      </c>
    </row>
    <row r="1237" spans="1:3" x14ac:dyDescent="0.2">
      <c r="A1237" s="1">
        <v>1</v>
      </c>
      <c r="B1237">
        <f>loans_pred_opti_data!D1237*loans_pred_opti_data!B1237</f>
        <v>356.59163201899111</v>
      </c>
      <c r="C1237">
        <f>(loans_pred_opti_data!B1237-ret_PESS!$G$35*loans_pred_opti_data!C1237)*loans_pred_opti_data!D1237</f>
        <v>262.65231105019689</v>
      </c>
    </row>
    <row r="1238" spans="1:3" x14ac:dyDescent="0.2">
      <c r="A1238" s="1">
        <v>0</v>
      </c>
      <c r="B1238">
        <f>loans_pred_opti_data!D1238*loans_pred_opti_data!B1238</f>
        <v>338.17361978441471</v>
      </c>
      <c r="C1238">
        <f>(loans_pred_opti_data!B1238-ret_PESS!$G$35*loans_pred_opti_data!C1238)*loans_pred_opti_data!D1238</f>
        <v>259.9248144655059</v>
      </c>
    </row>
    <row r="1239" spans="1:3" x14ac:dyDescent="0.2">
      <c r="A1239" s="1">
        <v>0</v>
      </c>
      <c r="B1239">
        <f>loans_pred_opti_data!D1239*loans_pred_opti_data!B1239</f>
        <v>134.76298140046973</v>
      </c>
      <c r="C1239">
        <f>(loans_pred_opti_data!B1239-ret_PESS!$G$35*loans_pred_opti_data!C1239)*loans_pred_opti_data!D1239</f>
        <v>107.58481977282737</v>
      </c>
    </row>
    <row r="1240" spans="1:3" x14ac:dyDescent="0.2">
      <c r="A1240" s="1">
        <v>0</v>
      </c>
      <c r="B1240">
        <f>loans_pred_opti_data!D1240*loans_pred_opti_data!B1240</f>
        <v>328.39906343900213</v>
      </c>
      <c r="C1240">
        <f>(loans_pred_opti_data!B1240-ret_PESS!$G$35*loans_pred_opti_data!C1240)*loans_pred_opti_data!D1240</f>
        <v>31.603680585789863</v>
      </c>
    </row>
    <row r="1241" spans="1:3" x14ac:dyDescent="0.2">
      <c r="A1241" s="1">
        <v>0</v>
      </c>
      <c r="B1241">
        <f>loans_pred_opti_data!D1241*loans_pred_opti_data!B1241</f>
        <v>1001.1438967664601</v>
      </c>
      <c r="C1241">
        <f>(loans_pred_opti_data!B1241-ret_PESS!$G$35*loans_pred_opti_data!C1241)*loans_pred_opti_data!D1241</f>
        <v>789.14719472845115</v>
      </c>
    </row>
    <row r="1242" spans="1:3" x14ac:dyDescent="0.2">
      <c r="A1242" s="1">
        <v>0</v>
      </c>
      <c r="B1242">
        <f>loans_pred_opti_data!D1242*loans_pred_opti_data!B1242</f>
        <v>1080.4913058789396</v>
      </c>
      <c r="C1242">
        <f>(loans_pred_opti_data!B1242-ret_PESS!$G$35*loans_pred_opti_data!C1242)*loans_pred_opti_data!D1242</f>
        <v>806.16757344175608</v>
      </c>
    </row>
    <row r="1243" spans="1:3" x14ac:dyDescent="0.2">
      <c r="A1243" s="1">
        <v>0</v>
      </c>
      <c r="B1243">
        <f>loans_pred_opti_data!D1243*loans_pred_opti_data!B1243</f>
        <v>484.14159753604031</v>
      </c>
      <c r="C1243">
        <f>(loans_pred_opti_data!B1243-ret_PESS!$G$35*loans_pred_opti_data!C1243)*loans_pred_opti_data!D1243</f>
        <v>432.35482348352798</v>
      </c>
    </row>
    <row r="1244" spans="1:3" x14ac:dyDescent="0.2">
      <c r="A1244" s="1">
        <v>0</v>
      </c>
      <c r="B1244">
        <f>loans_pred_opti_data!D1244*loans_pred_opti_data!B1244</f>
        <v>566.4047794712518</v>
      </c>
      <c r="C1244">
        <f>(loans_pred_opti_data!B1244-ret_PESS!$G$35*loans_pred_opti_data!C1244)*loans_pred_opti_data!D1244</f>
        <v>485.62280640496317</v>
      </c>
    </row>
    <row r="1245" spans="1:3" x14ac:dyDescent="0.2">
      <c r="A1245" s="1">
        <v>0</v>
      </c>
      <c r="B1245">
        <f>loans_pred_opti_data!D1245*loans_pred_opti_data!B1245</f>
        <v>234.62389008458399</v>
      </c>
      <c r="C1245">
        <f>(loans_pred_opti_data!B1245-ret_PESS!$G$35*loans_pred_opti_data!C1245)*loans_pred_opti_data!D1245</f>
        <v>48.066792291136267</v>
      </c>
    </row>
    <row r="1246" spans="1:3" x14ac:dyDescent="0.2">
      <c r="A1246" s="1">
        <v>0</v>
      </c>
      <c r="B1246">
        <f>loans_pred_opti_data!D1246*loans_pred_opti_data!B1246</f>
        <v>168.82910610102539</v>
      </c>
      <c r="C1246">
        <f>(loans_pred_opti_data!B1246-ret_PESS!$G$35*loans_pred_opti_data!C1246)*loans_pred_opti_data!D1246</f>
        <v>119.92360277670738</v>
      </c>
    </row>
    <row r="1247" spans="1:3" x14ac:dyDescent="0.2">
      <c r="A1247" s="1">
        <v>1</v>
      </c>
      <c r="B1247">
        <f>loans_pred_opti_data!D1247*loans_pred_opti_data!B1247</f>
        <v>-33.87565371746512</v>
      </c>
      <c r="C1247">
        <f>(loans_pred_opti_data!B1247-ret_PESS!$G$35*loans_pred_opti_data!C1247)*loans_pred_opti_data!D1247</f>
        <v>-220.43275151091285</v>
      </c>
    </row>
    <row r="1248" spans="1:3" x14ac:dyDescent="0.2">
      <c r="A1248" s="1">
        <v>0</v>
      </c>
      <c r="B1248">
        <f>loans_pred_opti_data!D1248*loans_pred_opti_data!B1248</f>
        <v>500.23709123519302</v>
      </c>
      <c r="C1248">
        <f>(loans_pred_opti_data!B1248-ret_PESS!$G$35*loans_pred_opti_data!C1248)*loans_pred_opti_data!D1248</f>
        <v>357.78603718686065</v>
      </c>
    </row>
    <row r="1249" spans="1:3" x14ac:dyDescent="0.2">
      <c r="A1249" s="1">
        <v>0</v>
      </c>
      <c r="B1249">
        <f>loans_pred_opti_data!D1249*loans_pred_opti_data!B1249</f>
        <v>477.91531807755598</v>
      </c>
      <c r="C1249">
        <f>(loans_pred_opti_data!B1249-ret_PESS!$G$35*loans_pred_opti_data!C1249)*loans_pred_opti_data!D1249</f>
        <v>387.94623131018818</v>
      </c>
    </row>
    <row r="1250" spans="1:3" x14ac:dyDescent="0.2">
      <c r="A1250" s="1">
        <v>0</v>
      </c>
      <c r="B1250">
        <f>loans_pred_opti_data!D1250*loans_pred_opti_data!B1250</f>
        <v>666.89596204970258</v>
      </c>
      <c r="C1250">
        <f>(loans_pred_opti_data!B1250-ret_PESS!$G$35*loans_pred_opti_data!C1250)*loans_pred_opti_data!D1250</f>
        <v>483.73081148886297</v>
      </c>
    </row>
    <row r="1251" spans="1:3" x14ac:dyDescent="0.2">
      <c r="A1251" s="1">
        <v>0</v>
      </c>
      <c r="B1251">
        <f>loans_pred_opti_data!D1251*loans_pred_opti_data!B1251</f>
        <v>722.58617404572476</v>
      </c>
      <c r="C1251">
        <f>(loans_pred_opti_data!B1251-ret_PESS!$G$35*loans_pred_opti_data!C1251)*loans_pred_opti_data!D1251</f>
        <v>571.54141639256397</v>
      </c>
    </row>
    <row r="1252" spans="1:3" x14ac:dyDescent="0.2">
      <c r="A1252" s="1">
        <v>0</v>
      </c>
      <c r="B1252">
        <f>loans_pred_opti_data!D1252*loans_pred_opti_data!B1252</f>
        <v>101.18273443267999</v>
      </c>
      <c r="C1252">
        <f>(loans_pred_opti_data!B1252-ret_PESS!$G$35*loans_pred_opti_data!C1252)*loans_pred_opti_data!D1252</f>
        <v>68.579065549801314</v>
      </c>
    </row>
    <row r="1253" spans="1:3" x14ac:dyDescent="0.2">
      <c r="A1253" s="1">
        <v>0</v>
      </c>
      <c r="B1253">
        <f>loans_pred_opti_data!D1253*loans_pred_opti_data!B1253</f>
        <v>684.59517630562004</v>
      </c>
      <c r="C1253">
        <f>(loans_pred_opti_data!B1253-ret_PESS!$G$35*loans_pred_opti_data!C1253)*loans_pred_opti_data!D1253</f>
        <v>534.64669836000701</v>
      </c>
    </row>
    <row r="1254" spans="1:3" x14ac:dyDescent="0.2">
      <c r="A1254" s="1">
        <v>0</v>
      </c>
      <c r="B1254">
        <f>loans_pred_opti_data!D1254*loans_pred_opti_data!B1254</f>
        <v>42.777663315975026</v>
      </c>
      <c r="C1254">
        <f>(loans_pred_opti_data!B1254-ret_PESS!$G$35*loans_pred_opti_data!C1254)*loans_pred_opti_data!D1254</f>
        <v>21.177732681067898</v>
      </c>
    </row>
    <row r="1255" spans="1:3" x14ac:dyDescent="0.2">
      <c r="A1255" s="1">
        <v>0</v>
      </c>
      <c r="B1255">
        <f>loans_pred_opti_data!D1255*loans_pred_opti_data!B1255</f>
        <v>312.0297561826232</v>
      </c>
      <c r="C1255">
        <f>(loans_pred_opti_data!B1255-ret_PESS!$G$35*loans_pred_opti_data!C1255)*loans_pred_opti_data!D1255</f>
        <v>230.92812983646246</v>
      </c>
    </row>
    <row r="1256" spans="1:3" x14ac:dyDescent="0.2">
      <c r="A1256" s="1">
        <v>0</v>
      </c>
      <c r="B1256">
        <f>loans_pred_opti_data!D1256*loans_pred_opti_data!B1256</f>
        <v>104.37493639160952</v>
      </c>
      <c r="C1256">
        <f>(loans_pred_opti_data!B1256-ret_PESS!$G$35*loans_pred_opti_data!C1256)*loans_pred_opti_data!D1256</f>
        <v>75.031634397018706</v>
      </c>
    </row>
    <row r="1257" spans="1:3" x14ac:dyDescent="0.2">
      <c r="A1257" s="1">
        <v>0</v>
      </c>
      <c r="B1257">
        <f>loans_pred_opti_data!D1257*loans_pred_opti_data!B1257</f>
        <v>148.36892931628358</v>
      </c>
      <c r="C1257">
        <f>(loans_pred_opti_data!B1257-ret_PESS!$G$35*loans_pred_opti_data!C1257)*loans_pred_opti_data!D1257</f>
        <v>33.283472493025606</v>
      </c>
    </row>
    <row r="1258" spans="1:3" x14ac:dyDescent="0.2">
      <c r="A1258" s="1">
        <v>0</v>
      </c>
      <c r="B1258">
        <f>loans_pred_opti_data!D1258*loans_pred_opti_data!B1258</f>
        <v>215.5706351834211</v>
      </c>
      <c r="C1258">
        <f>(loans_pred_opti_data!B1258-ret_PESS!$G$35*loans_pred_opti_data!C1258)*loans_pred_opti_data!D1258</f>
        <v>146.22187442518657</v>
      </c>
    </row>
    <row r="1259" spans="1:3" x14ac:dyDescent="0.2">
      <c r="A1259" s="1">
        <v>0</v>
      </c>
      <c r="B1259">
        <f>loans_pred_opti_data!D1259*loans_pred_opti_data!B1259</f>
        <v>96.29094029881449</v>
      </c>
      <c r="C1259">
        <f>(loans_pred_opti_data!B1259-ret_PESS!$G$35*loans_pred_opti_data!C1259)*loans_pred_opti_data!D1259</f>
        <v>55.536354195216141</v>
      </c>
    </row>
    <row r="1260" spans="1:3" x14ac:dyDescent="0.2">
      <c r="A1260" s="1">
        <v>0</v>
      </c>
      <c r="B1260">
        <f>loans_pred_opti_data!D1260*loans_pred_opti_data!B1260</f>
        <v>167.4734901079338</v>
      </c>
      <c r="C1260">
        <f>(loans_pred_opti_data!B1260-ret_PESS!$G$35*loans_pred_opti_data!C1260)*loans_pred_opti_data!D1260</f>
        <v>118.56798678361579</v>
      </c>
    </row>
    <row r="1261" spans="1:3" x14ac:dyDescent="0.2">
      <c r="A1261" s="1">
        <v>0</v>
      </c>
      <c r="B1261">
        <f>loans_pred_opti_data!D1261*loans_pred_opti_data!B1261</f>
        <v>374.84593804776017</v>
      </c>
      <c r="C1261">
        <f>(loans_pred_opti_data!B1261-ret_PESS!$G$35*loans_pred_opti_data!C1261)*loans_pred_opti_data!D1261</f>
        <v>254.13741330154173</v>
      </c>
    </row>
    <row r="1262" spans="1:3" x14ac:dyDescent="0.2">
      <c r="A1262" s="1">
        <v>0</v>
      </c>
      <c r="B1262">
        <f>loans_pred_opti_data!D1262*loans_pred_opti_data!B1262</f>
        <v>505.05285002507094</v>
      </c>
      <c r="C1262">
        <f>(loans_pred_opti_data!B1262-ret_PESS!$G$35*loans_pred_opti_data!C1262)*loans_pred_opti_data!D1262</f>
        <v>423.73143139573523</v>
      </c>
    </row>
    <row r="1263" spans="1:3" x14ac:dyDescent="0.2">
      <c r="A1263" s="1">
        <v>0</v>
      </c>
      <c r="B1263">
        <f>loans_pred_opti_data!D1263*loans_pred_opti_data!B1263</f>
        <v>293.59245428507569</v>
      </c>
      <c r="C1263">
        <f>(loans_pred_opti_data!B1263-ret_PESS!$G$35*loans_pred_opti_data!C1263)*loans_pred_opti_data!D1263</f>
        <v>218.46463013032161</v>
      </c>
    </row>
    <row r="1264" spans="1:3" x14ac:dyDescent="0.2">
      <c r="A1264" s="1">
        <v>0</v>
      </c>
      <c r="B1264">
        <f>loans_pred_opti_data!D1264*loans_pred_opti_data!B1264</f>
        <v>437.45227408363201</v>
      </c>
      <c r="C1264">
        <f>(loans_pred_opti_data!B1264-ret_PESS!$G$35*loans_pred_opti_data!C1264)*loans_pred_opti_data!D1264</f>
        <v>347.48318731626426</v>
      </c>
    </row>
    <row r="1265" spans="1:3" x14ac:dyDescent="0.2">
      <c r="A1265" s="1">
        <v>0</v>
      </c>
      <c r="B1265">
        <f>loans_pred_opti_data!D1265*loans_pred_opti_data!B1265</f>
        <v>373.73349291728971</v>
      </c>
      <c r="C1265">
        <f>(loans_pred_opti_data!B1265-ret_PESS!$G$35*loans_pred_opti_data!C1265)*loans_pred_opti_data!D1265</f>
        <v>267.77156904793401</v>
      </c>
    </row>
    <row r="1266" spans="1:3" x14ac:dyDescent="0.2">
      <c r="A1266" s="1">
        <v>0</v>
      </c>
      <c r="B1266">
        <f>loans_pred_opti_data!D1266*loans_pred_opti_data!B1266</f>
        <v>255.08998849821927</v>
      </c>
      <c r="C1266">
        <f>(loans_pred_opti_data!B1266-ret_PESS!$G$35*loans_pred_opti_data!C1266)*loans_pred_opti_data!D1266</f>
        <v>181.61523430486892</v>
      </c>
    </row>
    <row r="1267" spans="1:3" x14ac:dyDescent="0.2">
      <c r="A1267" s="1">
        <v>0</v>
      </c>
      <c r="B1267">
        <f>loans_pred_opti_data!D1267*loans_pred_opti_data!B1267</f>
        <v>199.41428331475717</v>
      </c>
      <c r="C1267">
        <f>(loans_pred_opti_data!B1267-ret_PESS!$G$35*loans_pred_opti_data!C1267)*loans_pred_opti_data!D1267</f>
        <v>99.565547360941224</v>
      </c>
    </row>
    <row r="1268" spans="1:3" x14ac:dyDescent="0.2">
      <c r="A1268" s="1">
        <v>0</v>
      </c>
      <c r="B1268">
        <f>loans_pred_opti_data!D1268*loans_pred_opti_data!B1268</f>
        <v>148.00122076331101</v>
      </c>
      <c r="C1268">
        <f>(loans_pred_opti_data!B1268-ret_PESS!$G$35*loans_pred_opti_data!C1268)*loans_pred_opti_data!D1268</f>
        <v>66.492048556114298</v>
      </c>
    </row>
    <row r="1269" spans="1:3" x14ac:dyDescent="0.2">
      <c r="A1269" s="1">
        <v>0</v>
      </c>
      <c r="B1269">
        <f>loans_pred_opti_data!D1269*loans_pred_opti_data!B1269</f>
        <v>329.58018201348636</v>
      </c>
      <c r="C1269">
        <f>(loans_pred_opti_data!B1269-ret_PESS!$G$35*loans_pred_opti_data!C1269)*loans_pred_opti_data!D1269</f>
        <v>269.60079083524118</v>
      </c>
    </row>
    <row r="1270" spans="1:3" x14ac:dyDescent="0.2">
      <c r="A1270" s="1">
        <v>0</v>
      </c>
      <c r="B1270">
        <f>loans_pred_opti_data!D1270*loans_pred_opti_data!B1270</f>
        <v>546.95167707667292</v>
      </c>
      <c r="C1270">
        <f>(loans_pred_opti_data!B1270-ret_PESS!$G$35*loans_pred_opti_data!C1270)*loans_pred_opti_data!D1270</f>
        <v>358.27461226284504</v>
      </c>
    </row>
    <row r="1271" spans="1:3" x14ac:dyDescent="0.2">
      <c r="A1271" s="1">
        <v>0</v>
      </c>
      <c r="B1271">
        <f>loans_pred_opti_data!D1271*loans_pred_opti_data!B1271</f>
        <v>231.88571068585341</v>
      </c>
      <c r="C1271">
        <f>(loans_pred_opti_data!B1271-ret_PESS!$G$35*loans_pred_opti_data!C1271)*loans_pred_opti_data!D1271</f>
        <v>113.20768681551276</v>
      </c>
    </row>
    <row r="1272" spans="1:3" x14ac:dyDescent="0.2">
      <c r="A1272" s="1">
        <v>0</v>
      </c>
      <c r="B1272">
        <f>loans_pred_opti_data!D1272*loans_pred_opti_data!B1272</f>
        <v>332.19576458355004</v>
      </c>
      <c r="C1272">
        <f>(loans_pred_opti_data!B1272-ret_PESS!$G$35*loans_pred_opti_data!C1272)*loans_pred_opti_data!D1272</f>
        <v>259.09588158506375</v>
      </c>
    </row>
    <row r="1273" spans="1:3" x14ac:dyDescent="0.2">
      <c r="A1273" s="1">
        <v>0</v>
      </c>
      <c r="B1273">
        <f>loans_pred_opti_data!D1273*loans_pred_opti_data!B1273</f>
        <v>783.52892957181609</v>
      </c>
      <c r="C1273">
        <f>(loans_pred_opti_data!B1273-ret_PESS!$G$35*loans_pred_opti_data!C1273)*loans_pred_opti_data!D1273</f>
        <v>654.06199444053539</v>
      </c>
    </row>
    <row r="1274" spans="1:3" x14ac:dyDescent="0.2">
      <c r="A1274" s="1">
        <v>0</v>
      </c>
      <c r="B1274">
        <f>loans_pred_opti_data!D1274*loans_pred_opti_data!B1274</f>
        <v>698.54009761416307</v>
      </c>
      <c r="C1274">
        <f>(loans_pred_opti_data!B1274-ret_PESS!$G$35*loans_pred_opti_data!C1274)*loans_pred_opti_data!D1274</f>
        <v>520.46286790223564</v>
      </c>
    </row>
    <row r="1275" spans="1:3" x14ac:dyDescent="0.2">
      <c r="A1275" s="1">
        <v>0</v>
      </c>
      <c r="B1275">
        <f>loans_pred_opti_data!D1275*loans_pred_opti_data!B1275</f>
        <v>636.26547383629656</v>
      </c>
      <c r="C1275">
        <f>(loans_pred_opti_data!B1275-ret_PESS!$G$35*loans_pred_opti_data!C1275)*loans_pred_opti_data!D1275</f>
        <v>339.47009098308422</v>
      </c>
    </row>
    <row r="1276" spans="1:3" x14ac:dyDescent="0.2">
      <c r="A1276" s="1">
        <v>0</v>
      </c>
      <c r="B1276">
        <f>loans_pred_opti_data!D1276*loans_pred_opti_data!B1276</f>
        <v>-19.479771312524736</v>
      </c>
      <c r="C1276">
        <f>(loans_pred_opti_data!B1276-ret_PESS!$G$35*loans_pred_opti_data!C1276)*loans_pred_opti_data!D1276</f>
        <v>-182.29323847771548</v>
      </c>
    </row>
    <row r="1277" spans="1:3" x14ac:dyDescent="0.2">
      <c r="A1277" s="1">
        <v>1</v>
      </c>
      <c r="B1277">
        <f>loans_pred_opti_data!D1277*loans_pred_opti_data!B1277</f>
        <v>290.71431015927203</v>
      </c>
      <c r="C1277">
        <f>(loans_pred_opti_data!B1277-ret_PESS!$G$35*loans_pred_opti_data!C1277)*loans_pred_opti_data!D1277</f>
        <v>217.61442716078571</v>
      </c>
    </row>
    <row r="1278" spans="1:3" x14ac:dyDescent="0.2">
      <c r="A1278" s="1">
        <v>0</v>
      </c>
      <c r="B1278">
        <f>loans_pred_opti_data!D1278*loans_pred_opti_data!B1278</f>
        <v>285.45616961255519</v>
      </c>
      <c r="C1278">
        <f>(loans_pred_opti_data!B1278-ret_PESS!$G$35*loans_pred_opti_data!C1278)*loans_pred_opti_data!D1278</f>
        <v>187.64516296391915</v>
      </c>
    </row>
    <row r="1279" spans="1:3" x14ac:dyDescent="0.2">
      <c r="A1279" s="1">
        <v>0</v>
      </c>
      <c r="B1279">
        <f>loans_pred_opti_data!D1279*loans_pred_opti_data!B1279</f>
        <v>429.29727342341124</v>
      </c>
      <c r="C1279">
        <f>(loans_pred_opti_data!B1279-ret_PESS!$G$35*loans_pred_opti_data!C1279)*loans_pred_opti_data!D1279</f>
        <v>333.33024753821894</v>
      </c>
    </row>
    <row r="1280" spans="1:3" x14ac:dyDescent="0.2">
      <c r="A1280" s="1">
        <v>0</v>
      </c>
      <c r="B1280">
        <f>loans_pred_opti_data!D1280*loans_pred_opti_data!B1280</f>
        <v>219.98613268531349</v>
      </c>
      <c r="C1280">
        <f>(loans_pred_opti_data!B1280-ret_PESS!$G$35*loans_pred_opti_data!C1280)*loans_pred_opti_data!D1280</f>
        <v>182.49901319891026</v>
      </c>
    </row>
    <row r="1281" spans="1:3" x14ac:dyDescent="0.2">
      <c r="A1281" s="1">
        <v>0</v>
      </c>
      <c r="B1281">
        <f>loans_pred_opti_data!D1281*loans_pred_opti_data!B1281</f>
        <v>118.38847688493944</v>
      </c>
      <c r="C1281">
        <f>(loans_pred_opti_data!B1281-ret_PESS!$G$35*loans_pred_opti_data!C1281)*loans_pred_opti_data!D1281</f>
        <v>33.822710719972854</v>
      </c>
    </row>
    <row r="1282" spans="1:3" x14ac:dyDescent="0.2">
      <c r="A1282" s="1">
        <v>0</v>
      </c>
      <c r="B1282">
        <f>loans_pred_opti_data!D1282*loans_pred_opti_data!B1282</f>
        <v>528.47224351566877</v>
      </c>
      <c r="C1282">
        <f>(loans_pred_opti_data!B1282-ret_PESS!$G$35*loans_pred_opti_data!C1282)*loans_pred_opti_data!D1282</f>
        <v>442.16095342814833</v>
      </c>
    </row>
    <row r="1283" spans="1:3" x14ac:dyDescent="0.2">
      <c r="A1283" s="1">
        <v>0</v>
      </c>
      <c r="B1283">
        <f>loans_pred_opti_data!D1283*loans_pred_opti_data!B1283</f>
        <v>313.66062899491004</v>
      </c>
      <c r="C1283">
        <f>(loans_pred_opti_data!B1283-ret_PESS!$G$35*loans_pred_opti_data!C1283)*loans_pred_opti_data!D1283</f>
        <v>238.68639002210355</v>
      </c>
    </row>
    <row r="1284" spans="1:3" x14ac:dyDescent="0.2">
      <c r="A1284" s="1">
        <v>0</v>
      </c>
      <c r="B1284">
        <f>loans_pred_opti_data!D1284*loans_pred_opti_data!B1284</f>
        <v>178.07643100155661</v>
      </c>
      <c r="C1284">
        <f>(loans_pred_opti_data!B1284-ret_PESS!$G$35*loans_pred_opti_data!C1284)*loans_pred_opti_data!D1284</f>
        <v>129.17092767723858</v>
      </c>
    </row>
    <row r="1285" spans="1:3" x14ac:dyDescent="0.2">
      <c r="A1285" s="1">
        <v>0</v>
      </c>
      <c r="B1285">
        <f>loans_pred_opti_data!D1285*loans_pred_opti_data!B1285</f>
        <v>815.14020980332225</v>
      </c>
      <c r="C1285">
        <f>(loans_pred_opti_data!B1285-ret_PESS!$G$35*loans_pred_opti_data!C1285)*loans_pred_opti_data!D1285</f>
        <v>590.42370564303292</v>
      </c>
    </row>
    <row r="1286" spans="1:3" x14ac:dyDescent="0.2">
      <c r="A1286" s="1">
        <v>0</v>
      </c>
      <c r="B1286">
        <f>loans_pred_opti_data!D1286*loans_pred_opti_data!B1286</f>
        <v>6.4235141524277264</v>
      </c>
      <c r="C1286">
        <f>(loans_pred_opti_data!B1286-ret_PESS!$G$35*loans_pred_opti_data!C1286)*loans_pred_opti_data!D1286</f>
        <v>-161.05388045759921</v>
      </c>
    </row>
    <row r="1287" spans="1:3" x14ac:dyDescent="0.2">
      <c r="A1287" s="1">
        <v>0</v>
      </c>
      <c r="B1287">
        <f>loans_pred_opti_data!D1287*loans_pred_opti_data!B1287</f>
        <v>407.55171126776401</v>
      </c>
      <c r="C1287">
        <f>(loans_pred_opti_data!B1287-ret_PESS!$G$35*loans_pred_opti_data!C1287)*loans_pred_opti_data!D1287</f>
        <v>285.28795295696898</v>
      </c>
    </row>
    <row r="1288" spans="1:3" x14ac:dyDescent="0.2">
      <c r="A1288" s="1">
        <v>1</v>
      </c>
      <c r="B1288">
        <f>loans_pred_opti_data!D1288*loans_pred_opti_data!B1288</f>
        <v>684.8718532439641</v>
      </c>
      <c r="C1288">
        <f>(loans_pred_opti_data!B1288-ret_PESS!$G$35*loans_pred_opti_data!C1288)*loans_pred_opti_data!D1288</f>
        <v>576.98274063456347</v>
      </c>
    </row>
    <row r="1289" spans="1:3" x14ac:dyDescent="0.2">
      <c r="A1289" s="1">
        <v>0</v>
      </c>
      <c r="B1289">
        <f>loans_pred_opti_data!D1289*loans_pred_opti_data!B1289</f>
        <v>59.100980537215889</v>
      </c>
      <c r="C1289">
        <f>(loans_pred_opti_data!B1289-ret_PESS!$G$35*loans_pred_opti_data!C1289)*loans_pred_opti_data!D1289</f>
        <v>22.014307182941387</v>
      </c>
    </row>
    <row r="1290" spans="1:3" x14ac:dyDescent="0.2">
      <c r="A1290" s="1">
        <v>0</v>
      </c>
      <c r="B1290">
        <f>loans_pred_opti_data!D1290*loans_pred_opti_data!B1290</f>
        <v>280.18607668915814</v>
      </c>
      <c r="C1290">
        <f>(loans_pred_opti_data!B1290-ret_PESS!$G$35*loans_pred_opti_data!C1290)*loans_pred_opti_data!D1290</f>
        <v>91.38012962270713</v>
      </c>
    </row>
    <row r="1291" spans="1:3" x14ac:dyDescent="0.2">
      <c r="A1291" s="1">
        <v>1</v>
      </c>
      <c r="B1291">
        <f>loans_pred_opti_data!D1291*loans_pred_opti_data!B1291</f>
        <v>565.02721138684797</v>
      </c>
      <c r="C1291">
        <f>(loans_pred_opti_data!B1291-ret_PESS!$G$35*loans_pred_opti_data!C1291)*loans_pred_opti_data!D1291</f>
        <v>394.58186294828886</v>
      </c>
    </row>
    <row r="1292" spans="1:3" x14ac:dyDescent="0.2">
      <c r="A1292" s="1">
        <v>0</v>
      </c>
      <c r="B1292">
        <f>loans_pred_opti_data!D1292*loans_pred_opti_data!B1292</f>
        <v>70.076139940273208</v>
      </c>
      <c r="C1292">
        <f>(loans_pred_opti_data!B1292-ret_PESS!$G$35*loans_pred_opti_data!C1292)*loans_pred_opti_data!D1292</f>
        <v>-59.390795191007513</v>
      </c>
    </row>
    <row r="1293" spans="1:3" x14ac:dyDescent="0.2">
      <c r="A1293" s="1">
        <v>1</v>
      </c>
      <c r="B1293">
        <f>loans_pred_opti_data!D1293*loans_pred_opti_data!B1293</f>
        <v>50.785551622142599</v>
      </c>
      <c r="C1293">
        <f>(loans_pred_opti_data!B1293-ret_PESS!$G$35*loans_pred_opti_data!C1293)*loans_pred_opti_data!D1293</f>
        <v>-118.81181000826443</v>
      </c>
    </row>
    <row r="1294" spans="1:3" x14ac:dyDescent="0.2">
      <c r="A1294" s="1">
        <v>0</v>
      </c>
      <c r="B1294">
        <f>loans_pred_opti_data!D1294*loans_pred_opti_data!B1294</f>
        <v>-279.48749446305874</v>
      </c>
      <c r="C1294">
        <f>(loans_pred_opti_data!B1294-ret_PESS!$G$35*loans_pred_opti_data!C1294)*loans_pred_opti_data!D1294</f>
        <v>-522.22371829657868</v>
      </c>
    </row>
    <row r="1295" spans="1:3" x14ac:dyDescent="0.2">
      <c r="A1295" s="1">
        <v>0</v>
      </c>
      <c r="B1295">
        <f>loans_pred_opti_data!D1295*loans_pred_opti_data!B1295</f>
        <v>436.15748341985437</v>
      </c>
      <c r="C1295">
        <f>(loans_pred_opti_data!B1295-ret_PESS!$G$35*loans_pred_opti_data!C1295)*loans_pred_opti_data!D1295</f>
        <v>305.74280788833966</v>
      </c>
    </row>
    <row r="1296" spans="1:3" x14ac:dyDescent="0.2">
      <c r="A1296" s="1">
        <v>0</v>
      </c>
      <c r="B1296">
        <f>loans_pred_opti_data!D1296*loans_pred_opti_data!B1296</f>
        <v>263.96851872678502</v>
      </c>
      <c r="C1296">
        <f>(loans_pred_opti_data!B1296-ret_PESS!$G$35*loans_pred_opti_data!C1296)*loans_pred_opti_data!D1296</f>
        <v>182.45934651958834</v>
      </c>
    </row>
    <row r="1297" spans="1:3" x14ac:dyDescent="0.2">
      <c r="A1297" s="1">
        <v>0</v>
      </c>
      <c r="B1297">
        <f>loans_pred_opti_data!D1297*loans_pred_opti_data!B1297</f>
        <v>274.40448819923103</v>
      </c>
      <c r="C1297">
        <f>(loans_pred_opti_data!B1297-ret_PESS!$G$35*loans_pred_opti_data!C1297)*loans_pred_opti_data!D1297</f>
        <v>197.35030957897041</v>
      </c>
    </row>
    <row r="1298" spans="1:3" x14ac:dyDescent="0.2">
      <c r="A1298" s="1">
        <v>0</v>
      </c>
      <c r="B1298">
        <f>loans_pred_opti_data!D1298*loans_pred_opti_data!B1298</f>
        <v>356.06563012844668</v>
      </c>
      <c r="C1298">
        <f>(loans_pred_opti_data!B1298-ret_PESS!$G$35*loans_pred_opti_data!C1298)*loans_pred_opti_data!D1298</f>
        <v>273.59396725835956</v>
      </c>
    </row>
    <row r="1299" spans="1:3" x14ac:dyDescent="0.2">
      <c r="A1299" s="1">
        <v>0</v>
      </c>
      <c r="B1299">
        <f>loans_pred_opti_data!D1299*loans_pred_opti_data!B1299</f>
        <v>146.1736291433393</v>
      </c>
      <c r="C1299">
        <f>(loans_pred_opti_data!B1299-ret_PESS!$G$35*loans_pred_opti_data!C1299)*loans_pred_opti_data!D1299</f>
        <v>-91.262677139230533</v>
      </c>
    </row>
    <row r="1300" spans="1:3" x14ac:dyDescent="0.2">
      <c r="A1300" s="1">
        <v>0</v>
      </c>
      <c r="B1300">
        <f>loans_pred_opti_data!D1300*loans_pred_opti_data!B1300</f>
        <v>586.01218803661652</v>
      </c>
      <c r="C1300">
        <f>(loans_pred_opti_data!B1300-ret_PESS!$G$35*loans_pred_opti_data!C1300)*loans_pred_opti_data!D1300</f>
        <v>402.84703747577697</v>
      </c>
    </row>
    <row r="1301" spans="1:3" x14ac:dyDescent="0.2">
      <c r="A1301" s="1">
        <v>0</v>
      </c>
      <c r="B1301">
        <f>loans_pred_opti_data!D1301*loans_pred_opti_data!B1301</f>
        <v>280.23815710308958</v>
      </c>
      <c r="C1301">
        <f>(loans_pred_opti_data!B1301-ret_PESS!$G$35*loans_pred_opti_data!C1301)*loans_pred_opti_data!D1301</f>
        <v>201.98935178418077</v>
      </c>
    </row>
    <row r="1302" spans="1:3" x14ac:dyDescent="0.2">
      <c r="A1302" s="1">
        <v>0</v>
      </c>
      <c r="B1302">
        <f>loans_pred_opti_data!D1302*loans_pred_opti_data!B1302</f>
        <v>581.83181797031614</v>
      </c>
      <c r="C1302">
        <f>(loans_pred_opti_data!B1302-ret_PESS!$G$35*loans_pred_opti_data!C1302)*loans_pred_opti_data!D1302</f>
        <v>440.13050631171188</v>
      </c>
    </row>
    <row r="1303" spans="1:3" x14ac:dyDescent="0.2">
      <c r="A1303" s="1">
        <v>0</v>
      </c>
      <c r="B1303">
        <f>loans_pred_opti_data!D1303*loans_pred_opti_data!B1303</f>
        <v>617.52507679521307</v>
      </c>
      <c r="C1303">
        <f>(loans_pred_opti_data!B1303-ret_PESS!$G$35*loans_pred_opti_data!C1303)*loans_pred_opti_data!D1303</f>
        <v>501.94380886482213</v>
      </c>
    </row>
    <row r="1304" spans="1:3" x14ac:dyDescent="0.2">
      <c r="A1304" s="1">
        <v>0</v>
      </c>
      <c r="B1304">
        <f>loans_pred_opti_data!D1304*loans_pred_opti_data!B1304</f>
        <v>129.30572378385648</v>
      </c>
      <c r="C1304">
        <f>(loans_pred_opti_data!B1304-ret_PESS!$G$35*loans_pred_opti_data!C1304)*loans_pred_opti_data!D1304</f>
        <v>90.181321124402075</v>
      </c>
    </row>
    <row r="1305" spans="1:3" x14ac:dyDescent="0.2">
      <c r="A1305" s="1">
        <v>0</v>
      </c>
      <c r="B1305">
        <f>loans_pred_opti_data!D1305*loans_pred_opti_data!B1305</f>
        <v>306.55243979382789</v>
      </c>
      <c r="C1305">
        <f>(loans_pred_opti_data!B1305-ret_PESS!$G$35*loans_pred_opti_data!C1305)*loans_pred_opti_data!D1305</f>
        <v>240.57510949775821</v>
      </c>
    </row>
    <row r="1306" spans="1:3" x14ac:dyDescent="0.2">
      <c r="A1306" s="1">
        <v>0</v>
      </c>
      <c r="B1306">
        <f>loans_pred_opti_data!D1306*loans_pred_opti_data!B1306</f>
        <v>142.08139909767121</v>
      </c>
      <c r="C1306">
        <f>(loans_pred_opti_data!B1306-ret_PESS!$G$35*loans_pred_opti_data!C1306)*loans_pred_opti_data!D1306</f>
        <v>76.874061331913836</v>
      </c>
    </row>
    <row r="1307" spans="1:3" x14ac:dyDescent="0.2">
      <c r="A1307" s="1">
        <v>0</v>
      </c>
      <c r="B1307">
        <f>loans_pred_opti_data!D1307*loans_pred_opti_data!B1307</f>
        <v>192.70584800650431</v>
      </c>
      <c r="C1307">
        <f>(loans_pred_opti_data!B1307-ret_PESS!$G$35*loans_pred_opti_data!C1307)*loans_pred_opti_data!D1307</f>
        <v>139.72488607182646</v>
      </c>
    </row>
    <row r="1308" spans="1:3" x14ac:dyDescent="0.2">
      <c r="A1308" s="1">
        <v>1</v>
      </c>
      <c r="B1308">
        <f>loans_pred_opti_data!D1308*loans_pred_opti_data!B1308</f>
        <v>319.93243832567424</v>
      </c>
      <c r="C1308">
        <f>(loans_pred_opti_data!B1308-ret_PESS!$G$35*loans_pred_opti_data!C1308)*loans_pred_opti_data!D1308</f>
        <v>247.95716891178</v>
      </c>
    </row>
    <row r="1309" spans="1:3" x14ac:dyDescent="0.2">
      <c r="A1309" s="1">
        <v>0</v>
      </c>
      <c r="B1309">
        <f>loans_pred_opti_data!D1309*loans_pred_opti_data!B1309</f>
        <v>83.601610514004634</v>
      </c>
      <c r="C1309">
        <f>(loans_pred_opti_data!B1309-ret_PESS!$G$35*loans_pred_opti_data!C1309)*loans_pred_opti_data!D1309</f>
        <v>-21.54522163327912</v>
      </c>
    </row>
    <row r="1310" spans="1:3" x14ac:dyDescent="0.2">
      <c r="A1310" s="1">
        <v>0</v>
      </c>
      <c r="B1310">
        <f>loans_pred_opti_data!D1310*loans_pred_opti_data!B1310</f>
        <v>472.39305553889642</v>
      </c>
      <c r="C1310">
        <f>(loans_pred_opti_data!B1310-ret_PESS!$G$35*loans_pred_opti_data!C1310)*loans_pred_opti_data!D1310</f>
        <v>375.29285419043589</v>
      </c>
    </row>
    <row r="1311" spans="1:3" x14ac:dyDescent="0.2">
      <c r="A1311" s="1">
        <v>0</v>
      </c>
      <c r="B1311">
        <f>loans_pred_opti_data!D1311*loans_pred_opti_data!B1311</f>
        <v>1075.2052102449074</v>
      </c>
      <c r="C1311">
        <f>(loans_pred_opti_data!B1311-ret_PESS!$G$35*loans_pred_opti_data!C1311)*loans_pred_opti_data!D1311</f>
        <v>940.34381948315672</v>
      </c>
    </row>
    <row r="1312" spans="1:3" x14ac:dyDescent="0.2">
      <c r="A1312" s="1">
        <v>0</v>
      </c>
      <c r="B1312">
        <f>loans_pred_opti_data!D1312*loans_pred_opti_data!B1312</f>
        <v>447.57148368459349</v>
      </c>
      <c r="C1312">
        <f>(loans_pred_opti_data!B1312-ret_PESS!$G$35*loans_pred_opti_data!C1312)*loans_pred_opti_data!D1312</f>
        <v>308.59834507132308</v>
      </c>
    </row>
    <row r="1313" spans="1:3" x14ac:dyDescent="0.2">
      <c r="A1313" s="1">
        <v>0</v>
      </c>
      <c r="B1313">
        <f>loans_pred_opti_data!D1313*loans_pred_opti_data!B1313</f>
        <v>323.93839885826304</v>
      </c>
      <c r="C1313">
        <f>(loans_pred_opti_data!B1313-ret_PESS!$G$35*loans_pred_opti_data!C1313)*loans_pred_opti_data!D1313</f>
        <v>248.96415988545652</v>
      </c>
    </row>
    <row r="1314" spans="1:3" x14ac:dyDescent="0.2">
      <c r="A1314" s="1">
        <v>1</v>
      </c>
      <c r="B1314">
        <f>loans_pred_opti_data!D1314*loans_pred_opti_data!B1314</f>
        <v>229.3121102085824</v>
      </c>
      <c r="C1314">
        <f>(loans_pred_opti_data!B1314-ret_PESS!$G$35*loans_pred_opti_data!C1314)*loans_pred_opti_data!D1314</f>
        <v>169.33271903033719</v>
      </c>
    </row>
    <row r="1315" spans="1:3" x14ac:dyDescent="0.2">
      <c r="A1315" s="1">
        <v>0</v>
      </c>
      <c r="B1315">
        <f>loans_pred_opti_data!D1315*loans_pred_opti_data!B1315</f>
        <v>121.54340131943904</v>
      </c>
      <c r="C1315">
        <f>(loans_pred_opti_data!B1315-ret_PESS!$G$35*loans_pred_opti_data!C1315)*loans_pred_opti_data!D1315</f>
        <v>82.418998659984609</v>
      </c>
    </row>
    <row r="1316" spans="1:3" x14ac:dyDescent="0.2">
      <c r="A1316" s="1">
        <v>0</v>
      </c>
      <c r="B1316">
        <f>loans_pred_opti_data!D1316*loans_pred_opti_data!B1316</f>
        <v>660.09929055900409</v>
      </c>
      <c r="C1316">
        <f>(loans_pred_opti_data!B1316-ret_PESS!$G$35*loans_pred_opti_data!C1316)*loans_pred_opti_data!D1316</f>
        <v>490.50192892859701</v>
      </c>
    </row>
    <row r="1317" spans="1:3" x14ac:dyDescent="0.2">
      <c r="A1317" s="1">
        <v>0</v>
      </c>
      <c r="B1317">
        <f>loans_pred_opti_data!D1317*loans_pred_opti_data!B1317</f>
        <v>502.43618810083524</v>
      </c>
      <c r="C1317">
        <f>(loans_pred_opti_data!B1317-ret_PESS!$G$35*loans_pred_opti_data!C1317)*loans_pred_opti_data!D1317</f>
        <v>382.47740574434488</v>
      </c>
    </row>
    <row r="1318" spans="1:3" x14ac:dyDescent="0.2">
      <c r="A1318" s="1">
        <v>0</v>
      </c>
      <c r="B1318">
        <f>loans_pred_opti_data!D1318*loans_pred_opti_data!B1318</f>
        <v>420.61048386326314</v>
      </c>
      <c r="C1318">
        <f>(loans_pred_opti_data!B1318-ret_PESS!$G$35*loans_pred_opti_data!C1318)*loans_pred_opti_data!D1318</f>
        <v>314.64855999390744</v>
      </c>
    </row>
    <row r="1319" spans="1:3" x14ac:dyDescent="0.2">
      <c r="A1319" s="1">
        <v>0</v>
      </c>
      <c r="B1319">
        <f>loans_pred_opti_data!D1319*loans_pred_opti_data!B1319</f>
        <v>63.212271257161383</v>
      </c>
      <c r="C1319">
        <f>(loans_pred_opti_data!B1319-ret_PESS!$G$35*loans_pred_opti_data!C1319)*loans_pred_opti_data!D1319</f>
        <v>-28.07800161489893</v>
      </c>
    </row>
    <row r="1320" spans="1:3" x14ac:dyDescent="0.2">
      <c r="A1320" s="1">
        <v>0</v>
      </c>
      <c r="B1320">
        <f>loans_pred_opti_data!D1320*loans_pred_opti_data!B1320</f>
        <v>346.35618569713949</v>
      </c>
      <c r="C1320">
        <f>(loans_pred_opti_data!B1320-ret_PESS!$G$35*loans_pred_opti_data!C1320)*loans_pred_opti_data!D1320</f>
        <v>224.09242738634444</v>
      </c>
    </row>
    <row r="1321" spans="1:3" x14ac:dyDescent="0.2">
      <c r="A1321" s="1">
        <v>0</v>
      </c>
      <c r="B1321">
        <f>loans_pred_opti_data!D1321*loans_pred_opti_data!B1321</f>
        <v>390.61988942746081</v>
      </c>
      <c r="C1321">
        <f>(loans_pred_opti_data!B1321-ret_PESS!$G$35*loans_pred_opti_data!C1321)*loans_pred_opti_data!D1321</f>
        <v>300.65080266009301</v>
      </c>
    </row>
    <row r="1322" spans="1:3" x14ac:dyDescent="0.2">
      <c r="A1322" s="1">
        <v>0</v>
      </c>
      <c r="B1322">
        <f>loans_pred_opti_data!D1322*loans_pred_opti_data!B1322</f>
        <v>289.44154832122001</v>
      </c>
      <c r="C1322">
        <f>(loans_pred_opti_data!B1322-ret_PESS!$G$35*loans_pred_opti_data!C1322)*loans_pred_opti_data!D1322</f>
        <v>207.9323761140233</v>
      </c>
    </row>
    <row r="1323" spans="1:3" x14ac:dyDescent="0.2">
      <c r="A1323" s="1">
        <v>0</v>
      </c>
      <c r="B1323">
        <f>loans_pred_opti_data!D1323*loans_pred_opti_data!B1323</f>
        <v>128.1810741582768</v>
      </c>
      <c r="C1323">
        <f>(loans_pred_opti_data!B1323-ret_PESS!$G$35*loans_pred_opti_data!C1323)*loans_pred_opti_data!D1323</f>
        <v>62.97373639251942</v>
      </c>
    </row>
    <row r="1324" spans="1:3" x14ac:dyDescent="0.2">
      <c r="A1324" s="1">
        <v>0</v>
      </c>
      <c r="B1324">
        <f>loans_pred_opti_data!D1324*loans_pred_opti_data!B1324</f>
        <v>148.25875418115265</v>
      </c>
      <c r="C1324">
        <f>(loans_pred_opti_data!B1324-ret_PESS!$G$35*loans_pred_opti_data!C1324)*loans_pred_opti_data!D1324</f>
        <v>112.27111947420553</v>
      </c>
    </row>
    <row r="1325" spans="1:3" x14ac:dyDescent="0.2">
      <c r="A1325" s="1">
        <v>0</v>
      </c>
      <c r="B1325">
        <f>loans_pred_opti_data!D1325*loans_pred_opti_data!B1325</f>
        <v>83.643601800042418</v>
      </c>
      <c r="C1325">
        <f>(loans_pred_opti_data!B1325-ret_PESS!$G$35*loans_pred_opti_data!C1325)*loans_pred_opti_data!D1325</f>
        <v>60.413487720991363</v>
      </c>
    </row>
    <row r="1326" spans="1:3" x14ac:dyDescent="0.2">
      <c r="A1326" s="1">
        <v>0</v>
      </c>
      <c r="B1326">
        <f>loans_pred_opti_data!D1326*loans_pred_opti_data!B1326</f>
        <v>384.96549102866277</v>
      </c>
      <c r="C1326">
        <f>(loans_pred_opti_data!B1326-ret_PESS!$G$35*loans_pred_opti_data!C1326)*loans_pred_opti_data!D1326</f>
        <v>311.60723604218572</v>
      </c>
    </row>
    <row r="1327" spans="1:3" x14ac:dyDescent="0.2">
      <c r="A1327" s="1">
        <v>0</v>
      </c>
      <c r="B1327">
        <f>loans_pred_opti_data!D1327*loans_pred_opti_data!B1327</f>
        <v>125.7253548916968</v>
      </c>
      <c r="C1327">
        <f>(loans_pred_opti_data!B1327-ret_PESS!$G$35*loans_pred_opti_data!C1327)*loans_pred_opti_data!D1327</f>
        <v>76.819851567378777</v>
      </c>
    </row>
    <row r="1328" spans="1:3" x14ac:dyDescent="0.2">
      <c r="A1328" s="1">
        <v>1</v>
      </c>
      <c r="B1328">
        <f>loans_pred_opti_data!D1328*loans_pred_opti_data!B1328</f>
        <v>252.03255739847319</v>
      </c>
      <c r="C1328">
        <f>(loans_pred_opti_data!B1328-ret_PESS!$G$35*loans_pred_opti_data!C1328)*loans_pred_opti_data!D1328</f>
        <v>182.68138634862717</v>
      </c>
    </row>
    <row r="1329" spans="1:3" x14ac:dyDescent="0.2">
      <c r="A1329" s="1">
        <v>0</v>
      </c>
      <c r="B1329">
        <f>loans_pred_opti_data!D1329*loans_pred_opti_data!B1329</f>
        <v>1515.7723783551371</v>
      </c>
      <c r="C1329">
        <f>(loans_pred_opti_data!B1329-ret_PESS!$G$35*loans_pred_opti_data!C1329)*loans_pred_opti_data!D1329</f>
        <v>1218.9769955019249</v>
      </c>
    </row>
    <row r="1330" spans="1:3" x14ac:dyDescent="0.2">
      <c r="A1330" s="1">
        <v>0</v>
      </c>
      <c r="B1330">
        <f>loans_pred_opti_data!D1330*loans_pred_opti_data!B1330</f>
        <v>-152.55451609535606</v>
      </c>
      <c r="C1330">
        <f>(loans_pred_opti_data!B1330-ret_PESS!$G$35*loans_pred_opti_data!C1330)*loans_pred_opti_data!D1330</f>
        <v>-386.38687844327973</v>
      </c>
    </row>
    <row r="1331" spans="1:3" x14ac:dyDescent="0.2">
      <c r="A1331" s="1">
        <v>0</v>
      </c>
      <c r="B1331">
        <f>loans_pred_opti_data!D1331*loans_pred_opti_data!B1331</f>
        <v>869.99239179209701</v>
      </c>
      <c r="C1331">
        <f>(loans_pred_opti_data!B1331-ret_PESS!$G$35*loans_pred_opti_data!C1331)*loans_pred_opti_data!D1331</f>
        <v>681.18644472564597</v>
      </c>
    </row>
    <row r="1332" spans="1:3" x14ac:dyDescent="0.2">
      <c r="A1332" s="1">
        <v>0</v>
      </c>
      <c r="B1332">
        <f>loans_pred_opti_data!D1332*loans_pred_opti_data!B1332</f>
        <v>636.92871694060796</v>
      </c>
      <c r="C1332">
        <f>(loans_pred_opti_data!B1332-ret_PESS!$G$35*loans_pred_opti_data!C1332)*loans_pred_opti_data!D1332</f>
        <v>467.33135531020093</v>
      </c>
    </row>
    <row r="1333" spans="1:3" x14ac:dyDescent="0.2">
      <c r="A1333" s="1">
        <v>0</v>
      </c>
      <c r="B1333">
        <f>loans_pred_opti_data!D1333*loans_pred_opti_data!B1333</f>
        <v>-70.774935043245492</v>
      </c>
      <c r="C1333">
        <f>(loans_pred_opti_data!B1333-ret_PESS!$G$35*loans_pred_opti_data!C1333)*loans_pred_opti_data!D1333</f>
        <v>-230.09519286045932</v>
      </c>
    </row>
    <row r="1334" spans="1:3" x14ac:dyDescent="0.2">
      <c r="A1334" s="1">
        <v>0</v>
      </c>
      <c r="B1334">
        <f>loans_pred_opti_data!D1334*loans_pred_opti_data!B1334</f>
        <v>247.68317588996317</v>
      </c>
      <c r="C1334">
        <f>(loans_pred_opti_data!B1334-ret_PESS!$G$35*loans_pred_opti_data!C1334)*loans_pred_opti_data!D1334</f>
        <v>177.58528779177399</v>
      </c>
    </row>
    <row r="1335" spans="1:3" x14ac:dyDescent="0.2">
      <c r="A1335" s="1">
        <v>1</v>
      </c>
      <c r="B1335">
        <f>loans_pred_opti_data!D1335*loans_pred_opti_data!B1335</f>
        <v>783.77930932415279</v>
      </c>
      <c r="C1335">
        <f>(loans_pred_opti_data!B1335-ret_PESS!$G$35*loans_pred_opti_data!C1335)*loans_pred_opti_data!D1335</f>
        <v>654.31237419287208</v>
      </c>
    </row>
    <row r="1336" spans="1:3" x14ac:dyDescent="0.2">
      <c r="A1336" s="1">
        <v>0</v>
      </c>
      <c r="B1336">
        <f>loans_pred_opti_data!D1336*loans_pred_opti_data!B1336</f>
        <v>241.43803073380843</v>
      </c>
      <c r="C1336">
        <f>(loans_pred_opti_data!B1336-ret_PESS!$G$35*loans_pred_opti_data!C1336)*loans_pred_opti_data!D1336</f>
        <v>161.55904197075569</v>
      </c>
    </row>
    <row r="1337" spans="1:3" x14ac:dyDescent="0.2">
      <c r="A1337" s="1">
        <v>0</v>
      </c>
      <c r="B1337">
        <f>loans_pred_opti_data!D1337*loans_pred_opti_data!B1337</f>
        <v>22.582742616316697</v>
      </c>
      <c r="C1337">
        <f>(loans_pred_opti_data!B1337-ret_PESS!$G$35*loans_pred_opti_data!C1337)*loans_pred_opti_data!D1337</f>
        <v>14.431825395597027</v>
      </c>
    </row>
    <row r="1338" spans="1:3" x14ac:dyDescent="0.2">
      <c r="A1338" s="1">
        <v>0</v>
      </c>
      <c r="B1338">
        <f>loans_pred_opti_data!D1338*loans_pred_opti_data!B1338</f>
        <v>124.8234185281308</v>
      </c>
      <c r="C1338">
        <f>(loans_pred_opti_data!B1338-ret_PESS!$G$35*loans_pred_opti_data!C1338)*loans_pred_opti_data!D1338</f>
        <v>94.001747080026547</v>
      </c>
    </row>
    <row r="1339" spans="1:3" x14ac:dyDescent="0.2">
      <c r="A1339" s="1">
        <v>0</v>
      </c>
      <c r="B1339">
        <f>loans_pred_opti_data!D1339*loans_pred_opti_data!B1339</f>
        <v>64.757607887696636</v>
      </c>
      <c r="C1339">
        <f>(loans_pred_opti_data!B1339-ret_PESS!$G$35*loans_pred_opti_data!C1339)*loans_pred_opti_data!D1339</f>
        <v>-33.053398760939409</v>
      </c>
    </row>
    <row r="1340" spans="1:3" x14ac:dyDescent="0.2">
      <c r="A1340" s="1">
        <v>0</v>
      </c>
      <c r="B1340">
        <f>loans_pred_opti_data!D1340*loans_pred_opti_data!B1340</f>
        <v>405.06274614061084</v>
      </c>
      <c r="C1340">
        <f>(loans_pred_opti_data!B1340-ret_PESS!$G$35*loans_pred_opti_data!C1340)*loans_pred_opti_data!D1340</f>
        <v>340.32927857497049</v>
      </c>
    </row>
    <row r="1341" spans="1:3" x14ac:dyDescent="0.2">
      <c r="A1341" s="1">
        <v>0</v>
      </c>
      <c r="B1341">
        <f>loans_pred_opti_data!D1341*loans_pred_opti_data!B1341</f>
        <v>131.6390529238918</v>
      </c>
      <c r="C1341">
        <f>(loans_pred_opti_data!B1341-ret_PESS!$G$35*loans_pred_opti_data!C1341)*loans_pred_opti_data!D1341</f>
        <v>23.749940314491212</v>
      </c>
    </row>
    <row r="1342" spans="1:3" x14ac:dyDescent="0.2">
      <c r="A1342" s="1">
        <v>0</v>
      </c>
      <c r="B1342">
        <f>loans_pred_opti_data!D1342*loans_pred_opti_data!B1342</f>
        <v>318.86071403391043</v>
      </c>
      <c r="C1342">
        <f>(loans_pred_opti_data!B1342-ret_PESS!$G$35*loans_pred_opti_data!C1342)*loans_pred_opti_data!D1342</f>
        <v>236.38905116382327</v>
      </c>
    </row>
    <row r="1343" spans="1:3" x14ac:dyDescent="0.2">
      <c r="A1343" s="1">
        <v>0</v>
      </c>
      <c r="B1343">
        <f>loans_pred_opti_data!D1343*loans_pred_opti_data!B1343</f>
        <v>74.684455535491921</v>
      </c>
      <c r="C1343">
        <f>(loans_pred_opti_data!B1343-ret_PESS!$G$35*loans_pred_opti_data!C1343)*loans_pred_opti_data!D1343</f>
        <v>56.191452666629374</v>
      </c>
    </row>
    <row r="1344" spans="1:3" x14ac:dyDescent="0.2">
      <c r="A1344" s="1">
        <v>0</v>
      </c>
      <c r="B1344">
        <f>loans_pred_opti_data!D1344*loans_pred_opti_data!B1344</f>
        <v>365.26678005078901</v>
      </c>
      <c r="C1344">
        <f>(loans_pred_opti_data!B1344-ret_PESS!$G$35*loans_pred_opti_data!C1344)*loans_pred_opti_data!D1344</f>
        <v>284.3499455937386</v>
      </c>
    </row>
    <row r="1345" spans="1:3" x14ac:dyDescent="0.2">
      <c r="A1345" s="1">
        <v>1</v>
      </c>
      <c r="B1345">
        <f>loans_pred_opti_data!D1345*loans_pred_opti_data!B1345</f>
        <v>77.996026512176954</v>
      </c>
      <c r="C1345">
        <f>(loans_pred_opti_data!B1345-ret_PESS!$G$35*loans_pred_opti_data!C1345)*loans_pred_opti_data!D1345</f>
        <v>-114.92097234241102</v>
      </c>
    </row>
    <row r="1346" spans="1:3" x14ac:dyDescent="0.2">
      <c r="A1346" s="1">
        <v>0</v>
      </c>
      <c r="B1346">
        <f>loans_pred_opti_data!D1346*loans_pred_opti_data!B1346</f>
        <v>241.642404967158</v>
      </c>
      <c r="C1346">
        <f>(loans_pred_opti_data!B1346-ret_PESS!$G$35*loans_pred_opti_data!C1346)*loans_pred_opti_data!D1346</f>
        <v>168.28414998068098</v>
      </c>
    </row>
    <row r="1347" spans="1:3" x14ac:dyDescent="0.2">
      <c r="A1347" s="1">
        <v>0</v>
      </c>
      <c r="B1347">
        <f>loans_pred_opti_data!D1347*loans_pred_opti_data!B1347</f>
        <v>554.82387262435441</v>
      </c>
      <c r="C1347">
        <f>(loans_pred_opti_data!B1347-ret_PESS!$G$35*loans_pred_opti_data!C1347)*loans_pred_opti_data!D1347</f>
        <v>408.10736265140036</v>
      </c>
    </row>
    <row r="1348" spans="1:3" x14ac:dyDescent="0.2">
      <c r="A1348" s="1">
        <v>0</v>
      </c>
      <c r="B1348">
        <f>loans_pred_opti_data!D1348*loans_pred_opti_data!B1348</f>
        <v>432.06827506262755</v>
      </c>
      <c r="C1348">
        <f>(loans_pred_opti_data!B1348-ret_PESS!$G$35*loans_pred_opti_data!C1348)*loans_pred_opti_data!D1348</f>
        <v>334.25726841399148</v>
      </c>
    </row>
    <row r="1349" spans="1:3" x14ac:dyDescent="0.2">
      <c r="A1349" s="1">
        <v>0</v>
      </c>
      <c r="B1349">
        <f>loans_pred_opti_data!D1349*loans_pred_opti_data!B1349</f>
        <v>122.40972549291912</v>
      </c>
      <c r="C1349">
        <f>(loans_pred_opti_data!B1349-ret_PESS!$G$35*loans_pred_opti_data!C1349)*loans_pred_opti_data!D1349</f>
        <v>97.480791034460964</v>
      </c>
    </row>
    <row r="1350" spans="1:3" x14ac:dyDescent="0.2">
      <c r="A1350" s="1">
        <v>0</v>
      </c>
      <c r="B1350">
        <f>loans_pred_opti_data!D1350*loans_pred_opti_data!B1350</f>
        <v>481.031281511136</v>
      </c>
      <c r="C1350">
        <f>(loans_pred_opti_data!B1350-ret_PESS!$G$35*loans_pred_opti_data!C1350)*loans_pred_opti_data!D1350</f>
        <v>361.07249915464558</v>
      </c>
    </row>
    <row r="1351" spans="1:3" x14ac:dyDescent="0.2">
      <c r="A1351" s="1">
        <v>0</v>
      </c>
      <c r="B1351">
        <f>loans_pred_opti_data!D1351*loans_pred_opti_data!B1351</f>
        <v>1643.7122284035145</v>
      </c>
      <c r="C1351">
        <f>(loans_pred_opti_data!B1351-ret_PESS!$G$35*loans_pred_opti_data!C1351)*loans_pred_opti_data!D1351</f>
        <v>1454.9062813370633</v>
      </c>
    </row>
    <row r="1352" spans="1:3" x14ac:dyDescent="0.2">
      <c r="A1352" s="1">
        <v>0</v>
      </c>
      <c r="B1352">
        <f>loans_pred_opti_data!D1352*loans_pred_opti_data!B1352</f>
        <v>325.51193933292603</v>
      </c>
      <c r="C1352">
        <f>(loans_pred_opti_data!B1352-ret_PESS!$G$35*loans_pred_opti_data!C1352)*loans_pred_opti_data!D1352</f>
        <v>244.59510487587556</v>
      </c>
    </row>
    <row r="1353" spans="1:3" x14ac:dyDescent="0.2">
      <c r="A1353" s="1">
        <v>0</v>
      </c>
      <c r="B1353">
        <f>loans_pred_opti_data!D1353*loans_pred_opti_data!B1353</f>
        <v>-26.599451683957799</v>
      </c>
      <c r="C1353">
        <f>(loans_pred_opti_data!B1353-ret_PESS!$G$35*loans_pred_opti_data!C1353)*loans_pred_opti_data!D1353</f>
        <v>-108.10862389115451</v>
      </c>
    </row>
    <row r="1354" spans="1:3" x14ac:dyDescent="0.2">
      <c r="A1354" s="1">
        <v>0</v>
      </c>
      <c r="B1354">
        <f>loans_pred_opti_data!D1354*loans_pred_opti_data!B1354</f>
        <v>202.43891774190871</v>
      </c>
      <c r="C1354">
        <f>(loans_pred_opti_data!B1354-ret_PESS!$G$35*loans_pred_opti_data!C1354)*loans_pred_opti_data!D1354</f>
        <v>129.08066275543166</v>
      </c>
    </row>
    <row r="1355" spans="1:3" x14ac:dyDescent="0.2">
      <c r="A1355" s="1">
        <v>0</v>
      </c>
      <c r="B1355">
        <f>loans_pred_opti_data!D1355*loans_pred_opti_data!B1355</f>
        <v>418.69226643393597</v>
      </c>
      <c r="C1355">
        <f>(loans_pred_opti_data!B1355-ret_PESS!$G$35*loans_pred_opti_data!C1355)*loans_pred_opti_data!D1355</f>
        <v>328.72317966656817</v>
      </c>
    </row>
    <row r="1356" spans="1:3" x14ac:dyDescent="0.2">
      <c r="A1356" s="1">
        <v>0</v>
      </c>
      <c r="B1356">
        <f>loans_pred_opti_data!D1356*loans_pred_opti_data!B1356</f>
        <v>386.6487714045374</v>
      </c>
      <c r="C1356">
        <f>(loans_pred_opti_data!B1356-ret_PESS!$G$35*loans_pred_opti_data!C1356)*loans_pred_opti_data!D1356</f>
        <v>304.17710853445027</v>
      </c>
    </row>
    <row r="1357" spans="1:3" x14ac:dyDescent="0.2">
      <c r="A1357" s="1">
        <v>0</v>
      </c>
      <c r="B1357">
        <f>loans_pred_opti_data!D1357*loans_pred_opti_data!B1357</f>
        <v>590.94311431782398</v>
      </c>
      <c r="C1357">
        <f>(loans_pred_opti_data!B1357-ret_PESS!$G$35*loans_pred_opti_data!C1357)*loans_pred_opti_data!D1357</f>
        <v>440.994636372211</v>
      </c>
    </row>
    <row r="1358" spans="1:3" x14ac:dyDescent="0.2">
      <c r="A1358" s="1">
        <v>0</v>
      </c>
      <c r="B1358">
        <f>loans_pred_opti_data!D1358*loans_pred_opti_data!B1358</f>
        <v>697.947139467076</v>
      </c>
      <c r="C1358">
        <f>(loans_pred_opti_data!B1358-ret_PESS!$G$35*loans_pred_opti_data!C1358)*loans_pred_opti_data!D1358</f>
        <v>572.79576884017126</v>
      </c>
    </row>
    <row r="1359" spans="1:3" x14ac:dyDescent="0.2">
      <c r="A1359" s="1">
        <v>0</v>
      </c>
      <c r="B1359">
        <f>loans_pred_opti_data!D1359*loans_pred_opti_data!B1359</f>
        <v>0.81604376954727897</v>
      </c>
      <c r="C1359">
        <f>(loans_pred_opti_data!B1359-ret_PESS!$G$35*loans_pred_opti_data!C1359)*loans_pred_opti_data!D1359</f>
        <v>-24.226564282037415</v>
      </c>
    </row>
    <row r="1360" spans="1:3" x14ac:dyDescent="0.2">
      <c r="A1360" s="1">
        <v>0</v>
      </c>
      <c r="B1360">
        <f>loans_pred_opti_data!D1360*loans_pred_opti_data!B1360</f>
        <v>-56.988012548879098</v>
      </c>
      <c r="C1360">
        <f>(loans_pred_opti_data!B1360-ret_PESS!$G$35*loans_pred_opti_data!C1360)*loans_pred_opti_data!D1360</f>
        <v>-131.9622515216856</v>
      </c>
    </row>
    <row r="1361" spans="1:3" x14ac:dyDescent="0.2">
      <c r="A1361" s="1">
        <v>1</v>
      </c>
      <c r="B1361">
        <f>loans_pred_opti_data!D1361*loans_pred_opti_data!B1361</f>
        <v>438.64252017335252</v>
      </c>
      <c r="C1361">
        <f>(loans_pred_opti_data!B1361-ret_PESS!$G$35*loans_pred_opti_data!C1361)*loans_pred_opti_data!D1361</f>
        <v>326.18116171414277</v>
      </c>
    </row>
    <row r="1362" spans="1:3" x14ac:dyDescent="0.2">
      <c r="A1362" s="1">
        <v>0</v>
      </c>
      <c r="B1362">
        <f>loans_pred_opti_data!D1362*loans_pred_opti_data!B1362</f>
        <v>438.44900832729724</v>
      </c>
      <c r="C1362">
        <f>(loans_pred_opti_data!B1362-ret_PESS!$G$35*loans_pred_opti_data!C1362)*loans_pred_opti_data!D1362</f>
        <v>348.47992155992944</v>
      </c>
    </row>
    <row r="1363" spans="1:3" x14ac:dyDescent="0.2">
      <c r="A1363" s="1">
        <v>0</v>
      </c>
      <c r="B1363">
        <f>loans_pred_opti_data!D1363*loans_pred_opti_data!B1363</f>
        <v>224.54130285542215</v>
      </c>
      <c r="C1363">
        <f>(loans_pred_opti_data!B1363-ret_PESS!$G$35*loans_pred_opti_data!C1363)*loans_pred_opti_data!D1363</f>
        <v>147.51513511962125</v>
      </c>
    </row>
    <row r="1364" spans="1:3" x14ac:dyDescent="0.2">
      <c r="A1364" s="1">
        <v>0</v>
      </c>
      <c r="B1364">
        <f>loans_pred_opti_data!D1364*loans_pred_opti_data!B1364</f>
        <v>480.10773310590452</v>
      </c>
      <c r="C1364">
        <f>(loans_pred_opti_data!B1364-ret_PESS!$G$35*loans_pred_opti_data!C1364)*loans_pred_opti_data!D1364</f>
        <v>367.64637464669477</v>
      </c>
    </row>
    <row r="1365" spans="1:3" x14ac:dyDescent="0.2">
      <c r="A1365" s="1">
        <v>0</v>
      </c>
      <c r="B1365">
        <f>loans_pred_opti_data!D1365*loans_pred_opti_data!B1365</f>
        <v>254.2025999751516</v>
      </c>
      <c r="C1365">
        <f>(loans_pred_opti_data!B1365-ret_PESS!$G$35*loans_pred_opti_data!C1365)*loans_pred_opti_data!D1365</f>
        <v>189.81035393146621</v>
      </c>
    </row>
    <row r="1366" spans="1:3" x14ac:dyDescent="0.2">
      <c r="A1366" s="1">
        <v>1</v>
      </c>
      <c r="B1366">
        <f>loans_pred_opti_data!D1366*loans_pred_opti_data!B1366</f>
        <v>245.06869118452801</v>
      </c>
      <c r="C1366">
        <f>(loans_pred_opti_data!B1366-ret_PESS!$G$35*loans_pred_opti_data!C1366)*loans_pred_opti_data!D1366</f>
        <v>163.55951897733132</v>
      </c>
    </row>
    <row r="1367" spans="1:3" x14ac:dyDescent="0.2">
      <c r="A1367" s="1">
        <v>0</v>
      </c>
      <c r="B1367">
        <f>loans_pred_opti_data!D1367*loans_pred_opti_data!B1367</f>
        <v>243.23272789871518</v>
      </c>
      <c r="C1367">
        <f>(loans_pred_opti_data!B1367-ret_PESS!$G$35*loans_pred_opti_data!C1367)*loans_pred_opti_data!D1367</f>
        <v>197.00022072655881</v>
      </c>
    </row>
    <row r="1368" spans="1:3" x14ac:dyDescent="0.2">
      <c r="A1368" s="1">
        <v>0</v>
      </c>
      <c r="B1368">
        <f>loans_pred_opti_data!D1368*loans_pred_opti_data!B1368</f>
        <v>185.14150228453801</v>
      </c>
      <c r="C1368">
        <f>(loans_pred_opti_data!B1368-ret_PESS!$G$35*loans_pred_opti_data!C1368)*loans_pred_opti_data!D1368</f>
        <v>152.77476850171783</v>
      </c>
    </row>
    <row r="1369" spans="1:3" x14ac:dyDescent="0.2">
      <c r="A1369" s="1">
        <v>0</v>
      </c>
      <c r="B1369">
        <f>loans_pred_opti_data!D1369*loans_pred_opti_data!B1369</f>
        <v>32.752658496530699</v>
      </c>
      <c r="C1369">
        <f>(loans_pred_opti_data!B1369-ret_PESS!$G$35*loans_pred_opti_data!C1369)*loans_pred_opti_data!D1369</f>
        <v>24.60174127581103</v>
      </c>
    </row>
    <row r="1370" spans="1:3" x14ac:dyDescent="0.2">
      <c r="A1370" s="1">
        <v>0</v>
      </c>
      <c r="B1370">
        <f>loans_pred_opti_data!D1370*loans_pred_opti_data!B1370</f>
        <v>169.95946802408255</v>
      </c>
      <c r="C1370">
        <f>(loans_pred_opti_data!B1370-ret_PESS!$G$35*loans_pred_opti_data!C1370)*loans_pred_opti_data!D1370</f>
        <v>125.12942331012435</v>
      </c>
    </row>
    <row r="1371" spans="1:3" x14ac:dyDescent="0.2">
      <c r="A1371" s="1">
        <v>0</v>
      </c>
      <c r="B1371">
        <f>loans_pred_opti_data!D1371*loans_pred_opti_data!B1371</f>
        <v>210.31816459850421</v>
      </c>
      <c r="C1371">
        <f>(loans_pred_opti_data!B1371-ret_PESS!$G$35*loans_pred_opti_data!C1371)*loans_pred_opti_data!D1371</f>
        <v>153.26174405346649</v>
      </c>
    </row>
    <row r="1372" spans="1:3" x14ac:dyDescent="0.2">
      <c r="A1372" s="1">
        <v>0</v>
      </c>
      <c r="B1372">
        <f>loans_pred_opti_data!D1372*loans_pred_opti_data!B1372</f>
        <v>355.06257117128462</v>
      </c>
      <c r="C1372">
        <f>(loans_pred_opti_data!B1372-ret_PESS!$G$35*loans_pred_opti_data!C1372)*loans_pred_opti_data!D1372</f>
        <v>227.90826252805775</v>
      </c>
    </row>
    <row r="1373" spans="1:3" x14ac:dyDescent="0.2">
      <c r="A1373" s="1">
        <v>0</v>
      </c>
      <c r="B1373">
        <f>loans_pred_opti_data!D1373*loans_pred_opti_data!B1373</f>
        <v>49.854573117985503</v>
      </c>
      <c r="C1373">
        <f>(loans_pred_opti_data!B1373-ret_PESS!$G$35*loans_pred_opti_data!C1373)*loans_pred_opti_data!D1373</f>
        <v>-88.842948398483585</v>
      </c>
    </row>
    <row r="1374" spans="1:3" x14ac:dyDescent="0.2">
      <c r="A1374" s="1">
        <v>0</v>
      </c>
      <c r="B1374">
        <f>loans_pred_opti_data!D1374*loans_pred_opti_data!B1374</f>
        <v>455.19850995248032</v>
      </c>
      <c r="C1374">
        <f>(loans_pred_opti_data!B1374-ret_PESS!$G$35*loans_pred_opti_data!C1374)*loans_pred_opti_data!D1374</f>
        <v>278.81725385685701</v>
      </c>
    </row>
    <row r="1375" spans="1:3" x14ac:dyDescent="0.2">
      <c r="A1375" s="1">
        <v>0</v>
      </c>
      <c r="B1375">
        <f>loans_pred_opti_data!D1375*loans_pred_opti_data!B1375</f>
        <v>313.1867822053236</v>
      </c>
      <c r="C1375">
        <f>(loans_pred_opti_data!B1375-ret_PESS!$G$35*loans_pred_opti_data!C1375)*loans_pred_opti_data!D1375</f>
        <v>199.90321396545301</v>
      </c>
    </row>
    <row r="1376" spans="1:3" x14ac:dyDescent="0.2">
      <c r="A1376" s="1">
        <v>1</v>
      </c>
      <c r="B1376">
        <f>loans_pred_opti_data!D1376*loans_pred_opti_data!B1376</f>
        <v>121.51663302864641</v>
      </c>
      <c r="C1376">
        <f>(loans_pred_opti_data!B1376-ret_PESS!$G$35*loans_pred_opti_data!C1376)*loans_pred_opti_data!D1376</f>
        <v>-8.898042502868325</v>
      </c>
    </row>
    <row r="1377" spans="1:3" x14ac:dyDescent="0.2">
      <c r="A1377" s="1">
        <v>0</v>
      </c>
      <c r="B1377">
        <f>loans_pred_opti_data!D1377*loans_pred_opti_data!B1377</f>
        <v>674.10390072994949</v>
      </c>
      <c r="C1377">
        <f>(loans_pred_opti_data!B1377-ret_PESS!$G$35*loans_pred_opti_data!C1377)*loans_pred_opti_data!D1377</f>
        <v>535.53830797771502</v>
      </c>
    </row>
    <row r="1378" spans="1:3" x14ac:dyDescent="0.2">
      <c r="A1378" s="1">
        <v>0</v>
      </c>
      <c r="B1378">
        <f>loans_pred_opti_data!D1378*loans_pred_opti_data!B1378</f>
        <v>-68.383480142983203</v>
      </c>
      <c r="C1378">
        <f>(loans_pred_opti_data!B1378-ret_PESS!$G$35*loans_pred_opti_data!C1378)*loans_pred_opti_data!D1378</f>
        <v>-198.79815567449793</v>
      </c>
    </row>
    <row r="1379" spans="1:3" x14ac:dyDescent="0.2">
      <c r="A1379" s="1">
        <v>0</v>
      </c>
      <c r="B1379">
        <f>loans_pred_opti_data!D1379*loans_pred_opti_data!B1379</f>
        <v>60.718467562162203</v>
      </c>
      <c r="C1379">
        <f>(loans_pred_opti_data!B1379-ret_PESS!$G$35*loans_pred_opti_data!C1379)*loans_pred_opti_data!D1379</f>
        <v>48.492091731082695</v>
      </c>
    </row>
    <row r="1380" spans="1:3" x14ac:dyDescent="0.2">
      <c r="A1380" s="1">
        <v>0</v>
      </c>
      <c r="B1380">
        <f>loans_pred_opti_data!D1380*loans_pred_opti_data!B1380</f>
        <v>391.66293311571121</v>
      </c>
      <c r="C1380">
        <f>(loans_pred_opti_data!B1380-ret_PESS!$G$35*loans_pred_opti_data!C1380)*loans_pred_opti_data!D1380</f>
        <v>301.69384634834341</v>
      </c>
    </row>
    <row r="1381" spans="1:3" x14ac:dyDescent="0.2">
      <c r="A1381" s="1">
        <v>0</v>
      </c>
      <c r="B1381">
        <f>loans_pred_opti_data!D1381*loans_pred_opti_data!B1381</f>
        <v>88.184775710387797</v>
      </c>
      <c r="C1381">
        <f>(loans_pred_opti_data!B1381-ret_PESS!$G$35*loans_pred_opti_data!C1381)*loans_pred_opti_data!D1381</f>
        <v>-63.997227064626884</v>
      </c>
    </row>
    <row r="1382" spans="1:3" x14ac:dyDescent="0.2">
      <c r="A1382" s="1">
        <v>0</v>
      </c>
      <c r="B1382">
        <f>loans_pred_opti_data!D1382*loans_pred_opti_data!B1382</f>
        <v>355.60985053134959</v>
      </c>
      <c r="C1382">
        <f>(loans_pred_opti_data!B1382-ret_PESS!$G$35*loans_pred_opti_data!C1382)*loans_pred_opti_data!D1382</f>
        <v>257.79884388271353</v>
      </c>
    </row>
    <row r="1383" spans="1:3" x14ac:dyDescent="0.2">
      <c r="A1383" s="1">
        <v>0</v>
      </c>
      <c r="B1383">
        <f>loans_pred_opti_data!D1383*loans_pred_opti_data!B1383</f>
        <v>500.37933585534938</v>
      </c>
      <c r="C1383">
        <f>(loans_pred_opti_data!B1383-ret_PESS!$G$35*loans_pred_opti_data!C1383)*loans_pred_opti_data!D1383</f>
        <v>386.53178694391431</v>
      </c>
    </row>
    <row r="1384" spans="1:3" x14ac:dyDescent="0.2">
      <c r="A1384" s="1">
        <v>0</v>
      </c>
      <c r="B1384">
        <f>loans_pred_opti_data!D1384*loans_pred_opti_data!B1384</f>
        <v>106.00974819310157</v>
      </c>
      <c r="C1384">
        <f>(loans_pred_opti_data!B1384-ret_PESS!$G$35*loans_pred_opti_data!C1384)*loans_pred_opti_data!D1384</f>
        <v>-56.803718972089172</v>
      </c>
    </row>
    <row r="1385" spans="1:3" x14ac:dyDescent="0.2">
      <c r="A1385" s="1">
        <v>0</v>
      </c>
      <c r="B1385">
        <f>loans_pred_opti_data!D1385*loans_pred_opti_data!B1385</f>
        <v>398.32093626373916</v>
      </c>
      <c r="C1385">
        <f>(loans_pred_opti_data!B1385-ret_PESS!$G$35*loans_pred_opti_data!C1385)*loans_pred_opti_data!D1385</f>
        <v>300.50992961510309</v>
      </c>
    </row>
    <row r="1386" spans="1:3" x14ac:dyDescent="0.2">
      <c r="A1386" s="1">
        <v>0</v>
      </c>
      <c r="B1386">
        <f>loans_pred_opti_data!D1386*loans_pred_opti_data!B1386</f>
        <v>158.23453665013562</v>
      </c>
      <c r="C1386">
        <f>(loans_pred_opti_data!B1386-ret_PESS!$G$35*loans_pred_opti_data!C1386)*loans_pred_opti_data!D1386</f>
        <v>110.07567501247273</v>
      </c>
    </row>
    <row r="1387" spans="1:3" x14ac:dyDescent="0.2">
      <c r="A1387" s="1">
        <v>0</v>
      </c>
      <c r="B1387">
        <f>loans_pred_opti_data!D1387*loans_pred_opti_data!B1387</f>
        <v>251.71157083773502</v>
      </c>
      <c r="C1387">
        <f>(loans_pred_opti_data!B1387-ret_PESS!$G$35*loans_pred_opti_data!C1387)*loans_pred_opti_data!D1387</f>
        <v>176.73733186492854</v>
      </c>
    </row>
    <row r="1388" spans="1:3" x14ac:dyDescent="0.2">
      <c r="A1388" s="1">
        <v>0</v>
      </c>
      <c r="B1388">
        <f>loans_pred_opti_data!D1388*loans_pred_opti_data!B1388</f>
        <v>-77.362959941573209</v>
      </c>
      <c r="C1388">
        <f>(loans_pred_opti_data!B1388-ret_PESS!$G$35*loans_pred_opti_data!C1388)*loans_pred_opti_data!D1388</f>
        <v>-211.24177529189379</v>
      </c>
    </row>
    <row r="1389" spans="1:3" x14ac:dyDescent="0.2">
      <c r="A1389" s="1">
        <v>0</v>
      </c>
      <c r="B1389">
        <f>loans_pred_opti_data!D1389*loans_pred_opti_data!B1389</f>
        <v>312.01358143804163</v>
      </c>
      <c r="C1389">
        <f>(loans_pred_opti_data!B1389-ret_PESS!$G$35*loans_pred_opti_data!C1389)*loans_pred_opti_data!D1389</f>
        <v>231.04140334741058</v>
      </c>
    </row>
    <row r="1390" spans="1:3" x14ac:dyDescent="0.2">
      <c r="A1390" s="1">
        <v>0</v>
      </c>
      <c r="B1390">
        <f>loans_pred_opti_data!D1390*loans_pred_opti_data!B1390</f>
        <v>315.24199472113139</v>
      </c>
      <c r="C1390">
        <f>(loans_pred_opti_data!B1390-ret_PESS!$G$35*loans_pred_opti_data!C1390)*loans_pred_opti_data!D1390</f>
        <v>270.25745133744755</v>
      </c>
    </row>
    <row r="1391" spans="1:3" x14ac:dyDescent="0.2">
      <c r="A1391" s="1">
        <v>0</v>
      </c>
      <c r="B1391">
        <f>loans_pred_opti_data!D1391*loans_pred_opti_data!B1391</f>
        <v>523.01113630159603</v>
      </c>
      <c r="C1391">
        <f>(loans_pred_opti_data!B1391-ret_PESS!$G$35*loans_pred_opti_data!C1391)*loans_pred_opti_data!D1391</f>
        <v>415.1220236921954</v>
      </c>
    </row>
    <row r="1392" spans="1:3" x14ac:dyDescent="0.2">
      <c r="A1392" s="1">
        <v>0</v>
      </c>
      <c r="B1392">
        <f>loans_pred_opti_data!D1392*loans_pred_opti_data!B1392</f>
        <v>335.69310273525525</v>
      </c>
      <c r="C1392">
        <f>(loans_pred_opti_data!B1392-ret_PESS!$G$35*loans_pred_opti_data!C1392)*loans_pred_opti_data!D1392</f>
        <v>259.21937898299268</v>
      </c>
    </row>
    <row r="1393" spans="1:3" x14ac:dyDescent="0.2">
      <c r="A1393" s="1">
        <v>1</v>
      </c>
      <c r="B1393">
        <f>loans_pred_opti_data!D1393*loans_pred_opti_data!B1393</f>
        <v>140.47342627806708</v>
      </c>
      <c r="C1393">
        <f>(loans_pred_opti_data!B1393-ret_PESS!$G$35*loans_pred_opti_data!C1393)*loans_pred_opti_data!D1393</f>
        <v>101.75656947964863</v>
      </c>
    </row>
    <row r="1394" spans="1:3" x14ac:dyDescent="0.2">
      <c r="A1394" s="1">
        <v>0</v>
      </c>
      <c r="B1394">
        <f>loans_pred_opti_data!D1394*loans_pred_opti_data!B1394</f>
        <v>115.1493573044052</v>
      </c>
      <c r="C1394">
        <f>(loans_pred_opti_data!B1394-ret_PESS!$G$35*loans_pred_opti_data!C1394)*loans_pred_opti_data!D1394</f>
        <v>82.545688421526521</v>
      </c>
    </row>
    <row r="1395" spans="1:3" x14ac:dyDescent="0.2">
      <c r="A1395" s="1">
        <v>0</v>
      </c>
      <c r="B1395">
        <f>loans_pred_opti_data!D1395*loans_pred_opti_data!B1395</f>
        <v>38.264125840604649</v>
      </c>
      <c r="C1395">
        <f>(loans_pred_opti_data!B1395-ret_PESS!$G$35*loans_pred_opti_data!C1395)*loans_pred_opti_data!D1395</f>
        <v>-258.53125701260763</v>
      </c>
    </row>
    <row r="1396" spans="1:3" x14ac:dyDescent="0.2">
      <c r="A1396" s="1">
        <v>0</v>
      </c>
      <c r="B1396">
        <f>loans_pred_opti_data!D1396*loans_pred_opti_data!B1396</f>
        <v>397.38756325369332</v>
      </c>
      <c r="C1396">
        <f>(loans_pred_opti_data!B1396-ret_PESS!$G$35*loans_pred_opti_data!C1396)*loans_pred_opti_data!D1396</f>
        <v>231.23832983521638</v>
      </c>
    </row>
    <row r="1397" spans="1:3" x14ac:dyDescent="0.2">
      <c r="A1397" s="1">
        <v>0</v>
      </c>
      <c r="B1397">
        <f>loans_pred_opti_data!D1397*loans_pred_opti_data!B1397</f>
        <v>19.923106956924759</v>
      </c>
      <c r="C1397">
        <f>(loans_pred_opti_data!B1397-ret_PESS!$G$35*loans_pred_opti_data!C1397)*loans_pred_opti_data!D1397</f>
        <v>-149.67425467348227</v>
      </c>
    </row>
    <row r="1398" spans="1:3" x14ac:dyDescent="0.2">
      <c r="A1398" s="1">
        <v>0</v>
      </c>
      <c r="B1398">
        <f>loans_pred_opti_data!D1398*loans_pred_opti_data!B1398</f>
        <v>414.81806960318897</v>
      </c>
      <c r="C1398">
        <f>(loans_pred_opti_data!B1398-ret_PESS!$G$35*loans_pred_opti_data!C1398)*loans_pred_opti_data!D1398</f>
        <v>339.84383063038246</v>
      </c>
    </row>
    <row r="1399" spans="1:3" x14ac:dyDescent="0.2">
      <c r="A1399" s="1">
        <v>0</v>
      </c>
      <c r="B1399">
        <f>loans_pred_opti_data!D1399*loans_pred_opti_data!B1399</f>
        <v>64.546019473346206</v>
      </c>
      <c r="C1399">
        <f>(loans_pred_opti_data!B1399-ret_PESS!$G$35*loans_pred_opti_data!C1399)*loans_pred_opti_data!D1399</f>
        <v>48.244185031906859</v>
      </c>
    </row>
    <row r="1400" spans="1:3" x14ac:dyDescent="0.2">
      <c r="A1400" s="1">
        <v>0</v>
      </c>
      <c r="B1400">
        <f>loans_pred_opti_data!D1400*loans_pred_opti_data!B1400</f>
        <v>173.65341116400299</v>
      </c>
      <c r="C1400">
        <f>(loans_pred_opti_data!B1400-ret_PESS!$G$35*loans_pred_opti_data!C1400)*loans_pred_opti_data!D1400</f>
        <v>128.66886778031912</v>
      </c>
    </row>
    <row r="1401" spans="1:3" x14ac:dyDescent="0.2">
      <c r="A1401" s="1">
        <v>0</v>
      </c>
      <c r="B1401">
        <f>loans_pred_opti_data!D1401*loans_pred_opti_data!B1401</f>
        <v>502.64106184248249</v>
      </c>
      <c r="C1401">
        <f>(loans_pred_opti_data!B1401-ret_PESS!$G$35*loans_pred_opti_data!C1401)*loans_pred_opti_data!D1401</f>
        <v>205.8456789892702</v>
      </c>
    </row>
    <row r="1402" spans="1:3" x14ac:dyDescent="0.2">
      <c r="A1402" s="1">
        <v>0</v>
      </c>
      <c r="B1402">
        <f>loans_pred_opti_data!D1402*loans_pred_opti_data!B1402</f>
        <v>482.90090120029561</v>
      </c>
      <c r="C1402">
        <f>(loans_pred_opti_data!B1402-ret_PESS!$G$35*loans_pred_opti_data!C1402)*loans_pred_opti_data!D1402</f>
        <v>364.22287732995494</v>
      </c>
    </row>
    <row r="1403" spans="1:3" x14ac:dyDescent="0.2">
      <c r="A1403" s="1">
        <v>0</v>
      </c>
      <c r="B1403">
        <f>loans_pred_opti_data!D1403*loans_pred_opti_data!B1403</f>
        <v>183.60654932343147</v>
      </c>
      <c r="C1403">
        <f>(loans_pred_opti_data!B1403-ret_PESS!$G$35*loans_pred_opti_data!C1403)*loans_pred_opti_data!D1403</f>
        <v>124.10485361217785</v>
      </c>
    </row>
    <row r="1404" spans="1:3" x14ac:dyDescent="0.2">
      <c r="A1404" s="1">
        <v>0</v>
      </c>
      <c r="B1404">
        <f>loans_pred_opti_data!D1404*loans_pred_opti_data!B1404</f>
        <v>378.30187703069828</v>
      </c>
      <c r="C1404">
        <f>(loans_pred_opti_data!B1404-ret_PESS!$G$35*loans_pred_opti_data!C1404)*loans_pred_opti_data!D1404</f>
        <v>235.66082566810402</v>
      </c>
    </row>
    <row r="1405" spans="1:3" x14ac:dyDescent="0.2">
      <c r="A1405" s="1">
        <v>0</v>
      </c>
      <c r="B1405">
        <f>loans_pred_opti_data!D1405*loans_pred_opti_data!B1405</f>
        <v>300.9006892793592</v>
      </c>
      <c r="C1405">
        <f>(loans_pred_opti_data!B1405-ret_PESS!$G$35*loans_pred_opti_data!C1405)*loans_pred_opti_data!D1405</f>
        <v>236.16722171371885</v>
      </c>
    </row>
    <row r="1406" spans="1:3" x14ac:dyDescent="0.2">
      <c r="A1406" s="1">
        <v>0</v>
      </c>
      <c r="B1406">
        <f>loans_pred_opti_data!D1406*loans_pred_opti_data!B1406</f>
        <v>252.56326865054041</v>
      </c>
      <c r="C1406">
        <f>(loans_pred_opti_data!B1406-ret_PESS!$G$35*loans_pred_opti_data!C1406)*loans_pred_opti_data!D1406</f>
        <v>195.50684810550271</v>
      </c>
    </row>
    <row r="1407" spans="1:3" x14ac:dyDescent="0.2">
      <c r="A1407" s="1">
        <v>0</v>
      </c>
      <c r="B1407">
        <f>loans_pred_opti_data!D1407*loans_pred_opti_data!B1407</f>
        <v>228.44604751702161</v>
      </c>
      <c r="C1407">
        <f>(loans_pred_opti_data!B1407-ret_PESS!$G$35*loans_pred_opti_data!C1407)*loans_pred_opti_data!D1407</f>
        <v>157.22052049285546</v>
      </c>
    </row>
    <row r="1408" spans="1:3" x14ac:dyDescent="0.2">
      <c r="A1408" s="1">
        <v>0</v>
      </c>
      <c r="B1408">
        <f>loans_pred_opti_data!D1408*loans_pred_opti_data!B1408</f>
        <v>471.81425790649206</v>
      </c>
      <c r="C1408">
        <f>(loans_pred_opti_data!B1408-ret_PESS!$G$35*loans_pred_opti_data!C1408)*loans_pred_opti_data!D1408</f>
        <v>407.08079034085171</v>
      </c>
    </row>
    <row r="1409" spans="1:3" x14ac:dyDescent="0.2">
      <c r="A1409" s="1">
        <v>0</v>
      </c>
      <c r="B1409">
        <f>loans_pred_opti_data!D1409*loans_pred_opti_data!B1409</f>
        <v>140.07941271668449</v>
      </c>
      <c r="C1409">
        <f>(loans_pred_opti_data!B1409-ret_PESS!$G$35*loans_pred_opti_data!C1409)*loans_pred_opti_data!D1409</f>
        <v>99.324826613086145</v>
      </c>
    </row>
    <row r="1410" spans="1:3" x14ac:dyDescent="0.2">
      <c r="A1410" s="1">
        <v>0</v>
      </c>
      <c r="B1410">
        <f>loans_pred_opti_data!D1410*loans_pred_opti_data!B1410</f>
        <v>218.50425519875162</v>
      </c>
      <c r="C1410">
        <f>(loans_pred_opti_data!B1410-ret_PESS!$G$35*loans_pred_opti_data!C1410)*loans_pred_opti_data!D1410</f>
        <v>143.37643104399751</v>
      </c>
    </row>
    <row r="1411" spans="1:3" x14ac:dyDescent="0.2">
      <c r="A1411" s="1">
        <v>0</v>
      </c>
      <c r="B1411">
        <f>loans_pred_opti_data!D1411*loans_pred_opti_data!B1411</f>
        <v>253.81016866787121</v>
      </c>
      <c r="C1411">
        <f>(loans_pred_opti_data!B1411-ret_PESS!$G$35*loans_pred_opti_data!C1411)*loans_pred_opti_data!D1411</f>
        <v>207.34994050976908</v>
      </c>
    </row>
    <row r="1412" spans="1:3" x14ac:dyDescent="0.2">
      <c r="A1412" s="1">
        <v>0</v>
      </c>
      <c r="B1412">
        <f>loans_pred_opti_data!D1412*loans_pred_opti_data!B1412</f>
        <v>175.93750069124687</v>
      </c>
      <c r="C1412">
        <f>(loans_pred_opti_data!B1412-ret_PESS!$G$35*loans_pred_opti_data!C1412)*loans_pred_opti_data!D1412</f>
        <v>124.17917633967694</v>
      </c>
    </row>
    <row r="1413" spans="1:3" x14ac:dyDescent="0.2">
      <c r="A1413" s="1">
        <v>0</v>
      </c>
      <c r="B1413">
        <f>loans_pred_opti_data!D1413*loans_pred_opti_data!B1413</f>
        <v>555.8922229231772</v>
      </c>
      <c r="C1413">
        <f>(loans_pred_opti_data!B1413-ret_PESS!$G$35*loans_pred_opti_data!C1413)*loans_pred_opti_data!D1413</f>
        <v>493.85598317277186</v>
      </c>
    </row>
    <row r="1414" spans="1:3" x14ac:dyDescent="0.2">
      <c r="A1414" s="1">
        <v>0</v>
      </c>
      <c r="B1414">
        <f>loans_pred_opti_data!D1414*loans_pred_opti_data!B1414</f>
        <v>471.04590565219837</v>
      </c>
      <c r="C1414">
        <f>(loans_pred_opti_data!B1414-ret_PESS!$G$35*loans_pred_opti_data!C1414)*loans_pred_opti_data!D1414</f>
        <v>335.36801634787275</v>
      </c>
    </row>
    <row r="1415" spans="1:3" x14ac:dyDescent="0.2">
      <c r="A1415" s="1">
        <v>0</v>
      </c>
      <c r="B1415">
        <f>loans_pred_opti_data!D1415*loans_pred_opti_data!B1415</f>
        <v>346.98432645469393</v>
      </c>
      <c r="C1415">
        <f>(loans_pred_opti_data!B1415-ret_PESS!$G$35*loans_pred_opti_data!C1415)*loans_pred_opti_data!D1415</f>
        <v>280.06981817146414</v>
      </c>
    </row>
    <row r="1416" spans="1:3" x14ac:dyDescent="0.2">
      <c r="A1416" s="1">
        <v>0</v>
      </c>
      <c r="B1416">
        <f>loans_pred_opti_data!D1416*loans_pred_opti_data!B1416</f>
        <v>350.56539056504386</v>
      </c>
      <c r="C1416">
        <f>(loans_pred_opti_data!B1416-ret_PESS!$G$35*loans_pred_opti_data!C1416)*loans_pred_opti_data!D1416</f>
        <v>271.842439643597</v>
      </c>
    </row>
    <row r="1417" spans="1:3" x14ac:dyDescent="0.2">
      <c r="A1417" s="1">
        <v>0</v>
      </c>
      <c r="B1417">
        <f>loans_pred_opti_data!D1417*loans_pred_opti_data!B1417</f>
        <v>-15.242187897802202</v>
      </c>
      <c r="C1417">
        <f>(loans_pred_opti_data!B1417-ret_PESS!$G$35*loans_pred_opti_data!C1417)*loans_pred_opti_data!D1417</f>
        <v>-96.751360104998895</v>
      </c>
    </row>
    <row r="1418" spans="1:3" x14ac:dyDescent="0.2">
      <c r="A1418" s="1">
        <v>0</v>
      </c>
      <c r="B1418">
        <f>loans_pred_opti_data!D1418*loans_pred_opti_data!B1418</f>
        <v>620.94844881566405</v>
      </c>
      <c r="C1418">
        <f>(loans_pred_opti_data!B1418-ret_PESS!$G$35*loans_pred_opti_data!C1418)*loans_pred_opti_data!D1418</f>
        <v>508.48709035645425</v>
      </c>
    </row>
    <row r="1419" spans="1:3" x14ac:dyDescent="0.2">
      <c r="A1419" s="1">
        <v>0</v>
      </c>
      <c r="B1419">
        <f>loans_pred_opti_data!D1419*loans_pred_opti_data!B1419</f>
        <v>-11.517832249015079</v>
      </c>
      <c r="C1419">
        <f>(loans_pred_opti_data!B1419-ret_PESS!$G$35*loans_pred_opti_data!C1419)*loans_pred_opti_data!D1419</f>
        <v>-41.507527838137676</v>
      </c>
    </row>
    <row r="1420" spans="1:3" x14ac:dyDescent="0.2">
      <c r="A1420" s="1">
        <v>0</v>
      </c>
      <c r="B1420">
        <f>loans_pred_opti_data!D1420*loans_pred_opti_data!B1420</f>
        <v>499.32350510812478</v>
      </c>
      <c r="C1420">
        <f>(loans_pred_opti_data!B1420-ret_PESS!$G$35*loans_pred_opti_data!C1420)*loans_pred_opti_data!D1420</f>
        <v>379.55215834906642</v>
      </c>
    </row>
    <row r="1421" spans="1:3" x14ac:dyDescent="0.2">
      <c r="A1421" s="1">
        <v>0</v>
      </c>
      <c r="B1421">
        <f>loans_pred_opti_data!D1421*loans_pred_opti_data!B1421</f>
        <v>299.96452643798398</v>
      </c>
      <c r="C1421">
        <f>(loans_pred_opti_data!B1421-ret_PESS!$G$35*loans_pred_opti_data!C1421)*loans_pred_opti_data!D1421</f>
        <v>218.45535423078732</v>
      </c>
    </row>
    <row r="1422" spans="1:3" x14ac:dyDescent="0.2">
      <c r="A1422" s="1">
        <v>0</v>
      </c>
      <c r="B1422">
        <f>loans_pred_opti_data!D1422*loans_pred_opti_data!B1422</f>
        <v>391.56841232760399</v>
      </c>
      <c r="C1422">
        <f>(loans_pred_opti_data!B1422-ret_PESS!$G$35*loans_pred_opti_data!C1422)*loans_pred_opti_data!D1422</f>
        <v>310.05924012040725</v>
      </c>
    </row>
    <row r="1423" spans="1:3" x14ac:dyDescent="0.2">
      <c r="A1423" s="1">
        <v>0</v>
      </c>
      <c r="B1423">
        <f>loans_pred_opti_data!D1423*loans_pred_opti_data!B1423</f>
        <v>161.4704358734964</v>
      </c>
      <c r="C1423">
        <f>(loans_pred_opti_data!B1423-ret_PESS!$G$35*loans_pred_opti_data!C1423)*loans_pred_opti_data!D1423</f>
        <v>63.659429224860354</v>
      </c>
    </row>
    <row r="1424" spans="1:3" x14ac:dyDescent="0.2">
      <c r="A1424" s="1">
        <v>0</v>
      </c>
      <c r="B1424">
        <f>loans_pred_opti_data!D1424*loans_pred_opti_data!B1424</f>
        <v>190.6223736169384</v>
      </c>
      <c r="C1424">
        <f>(loans_pred_opti_data!B1424-ret_PESS!$G$35*loans_pred_opti_data!C1424)*loans_pred_opti_data!D1424</f>
        <v>128.97903072072992</v>
      </c>
    </row>
    <row r="1425" spans="1:3" x14ac:dyDescent="0.2">
      <c r="A1425" s="1">
        <v>0</v>
      </c>
      <c r="B1425">
        <f>loans_pred_opti_data!D1425*loans_pred_opti_data!B1425</f>
        <v>301.97140592096451</v>
      </c>
      <c r="C1425">
        <f>(loans_pred_opti_data!B1425-ret_PESS!$G$35*loans_pred_opti_data!C1425)*loans_pred_opti_data!D1425</f>
        <v>229.99613650707028</v>
      </c>
    </row>
    <row r="1426" spans="1:3" x14ac:dyDescent="0.2">
      <c r="A1426" s="1">
        <v>0</v>
      </c>
      <c r="B1426">
        <f>loans_pred_opti_data!D1426*loans_pred_opti_data!B1426</f>
        <v>270.0702898148931</v>
      </c>
      <c r="C1426">
        <f>(loans_pred_opti_data!B1426-ret_PESS!$G$35*loans_pred_opti_data!C1426)*loans_pred_opti_data!D1426</f>
        <v>171.47916556565255</v>
      </c>
    </row>
    <row r="1427" spans="1:3" x14ac:dyDescent="0.2">
      <c r="A1427" s="1">
        <v>0</v>
      </c>
      <c r="B1427">
        <f>loans_pred_opti_data!D1427*loans_pred_opti_data!B1427</f>
        <v>248.44909154812274</v>
      </c>
      <c r="C1427">
        <f>(loans_pred_opti_data!B1427-ret_PESS!$G$35*loans_pred_opti_data!C1427)*loans_pred_opti_data!D1427</f>
        <v>131.07588356975947</v>
      </c>
    </row>
    <row r="1428" spans="1:3" x14ac:dyDescent="0.2">
      <c r="A1428" s="1">
        <v>0</v>
      </c>
      <c r="B1428">
        <f>loans_pred_opti_data!D1428*loans_pred_opti_data!B1428</f>
        <v>364.27298354922004</v>
      </c>
      <c r="C1428">
        <f>(loans_pred_opti_data!B1428-ret_PESS!$G$35*loans_pred_opti_data!C1428)*loans_pred_opti_data!D1428</f>
        <v>251.8116250900103</v>
      </c>
    </row>
    <row r="1429" spans="1:3" x14ac:dyDescent="0.2">
      <c r="A1429" s="1">
        <v>0</v>
      </c>
      <c r="B1429">
        <f>loans_pred_opti_data!D1429*loans_pred_opti_data!B1429</f>
        <v>-38.195065072470001</v>
      </c>
      <c r="C1429">
        <f>(loans_pred_opti_data!B1429-ret_PESS!$G$35*loans_pred_opti_data!C1429)*loans_pred_opti_data!D1429</f>
        <v>-128.16415183983781</v>
      </c>
    </row>
    <row r="1430" spans="1:3" x14ac:dyDescent="0.2">
      <c r="A1430" s="1">
        <v>0</v>
      </c>
      <c r="B1430">
        <f>loans_pred_opti_data!D1430*loans_pred_opti_data!B1430</f>
        <v>59.383945098023204</v>
      </c>
      <c r="C1430">
        <f>(loans_pred_opti_data!B1430-ret_PESS!$G$35*loans_pred_opti_data!C1430)*loans_pred_opti_data!D1430</f>
        <v>44.389097303461895</v>
      </c>
    </row>
    <row r="1431" spans="1:3" x14ac:dyDescent="0.2">
      <c r="A1431" s="1">
        <v>0</v>
      </c>
      <c r="B1431">
        <f>loans_pred_opti_data!D1431*loans_pred_opti_data!B1431</f>
        <v>209.74610934206854</v>
      </c>
      <c r="C1431">
        <f>(loans_pred_opti_data!B1431-ret_PESS!$G$35*loans_pred_opti_data!C1431)*loans_pred_opti_data!D1431</f>
        <v>23.637390090852502</v>
      </c>
    </row>
    <row r="1432" spans="1:3" x14ac:dyDescent="0.2">
      <c r="A1432" s="1">
        <v>0</v>
      </c>
      <c r="B1432">
        <f>loans_pred_opti_data!D1432*loans_pred_opti_data!B1432</f>
        <v>571.25883946727072</v>
      </c>
      <c r="C1432">
        <f>(loans_pred_opti_data!B1432-ret_PESS!$G$35*loans_pred_opti_data!C1432)*loans_pred_opti_data!D1432</f>
        <v>342.30240126622124</v>
      </c>
    </row>
    <row r="1433" spans="1:3" x14ac:dyDescent="0.2">
      <c r="A1433" s="1">
        <v>0</v>
      </c>
      <c r="B1433">
        <f>loans_pred_opti_data!D1433*loans_pred_opti_data!B1433</f>
        <v>27.502068662100122</v>
      </c>
      <c r="C1433">
        <f>(loans_pred_opti_data!B1433-ret_PESS!$G$35*loans_pred_opti_data!C1433)*loans_pred_opti_data!D1433</f>
        <v>-129.79948425010238</v>
      </c>
    </row>
    <row r="1434" spans="1:3" x14ac:dyDescent="0.2">
      <c r="A1434" s="1">
        <v>0</v>
      </c>
      <c r="B1434">
        <f>loans_pred_opti_data!D1434*loans_pred_opti_data!B1434</f>
        <v>212.26019074042091</v>
      </c>
      <c r="C1434">
        <f>(loans_pred_opti_data!B1434-ret_PESS!$G$35*loans_pred_opti_data!C1434)*loans_pred_opti_data!D1434</f>
        <v>158.26036415315309</v>
      </c>
    </row>
    <row r="1435" spans="1:3" x14ac:dyDescent="0.2">
      <c r="A1435" s="1">
        <v>0</v>
      </c>
      <c r="B1435">
        <f>loans_pred_opti_data!D1435*loans_pred_opti_data!B1435</f>
        <v>167.06695031452051</v>
      </c>
      <c r="C1435">
        <f>(loans_pred_opti_data!B1435-ret_PESS!$G$35*loans_pred_opti_data!C1435)*loans_pred_opti_data!D1435</f>
        <v>126.31236421092214</v>
      </c>
    </row>
    <row r="1436" spans="1:3" x14ac:dyDescent="0.2">
      <c r="A1436" s="1">
        <v>0</v>
      </c>
      <c r="B1436">
        <f>loans_pred_opti_data!D1436*loans_pred_opti_data!B1436</f>
        <v>923.12311264728964</v>
      </c>
      <c r="C1436">
        <f>(loans_pred_opti_data!B1436-ret_PESS!$G$35*loans_pred_opti_data!C1436)*loans_pred_opti_data!D1436</f>
        <v>719.60627869080122</v>
      </c>
    </row>
    <row r="1437" spans="1:3" x14ac:dyDescent="0.2">
      <c r="A1437" s="1">
        <v>0</v>
      </c>
      <c r="B1437">
        <f>loans_pred_opti_data!D1437*loans_pred_opti_data!B1437</f>
        <v>53.137906649462003</v>
      </c>
      <c r="C1437">
        <f>(loans_pred_opti_data!B1437-ret_PESS!$G$35*loans_pred_opti_data!C1437)*loans_pred_opti_data!D1437</f>
        <v>34.394346906260374</v>
      </c>
    </row>
    <row r="1438" spans="1:3" x14ac:dyDescent="0.2">
      <c r="A1438" s="1">
        <v>0</v>
      </c>
      <c r="B1438">
        <f>loans_pred_opti_data!D1438*loans_pred_opti_data!B1438</f>
        <v>546.42232757126521</v>
      </c>
      <c r="C1438">
        <f>(loans_pred_opti_data!B1438-ret_PESS!$G$35*loans_pred_opti_data!C1438)*loans_pred_opti_data!D1438</f>
        <v>427.74430370092455</v>
      </c>
    </row>
    <row r="1439" spans="1:3" x14ac:dyDescent="0.2">
      <c r="A1439" s="1">
        <v>0</v>
      </c>
      <c r="B1439">
        <f>loans_pred_opti_data!D1439*loans_pred_opti_data!B1439</f>
        <v>687.68540085894995</v>
      </c>
      <c r="C1439">
        <f>(loans_pred_opti_data!B1439-ret_PESS!$G$35*loans_pred_opti_data!C1439)*loans_pred_opti_data!D1439</f>
        <v>552.82401009719922</v>
      </c>
    </row>
    <row r="1440" spans="1:3" x14ac:dyDescent="0.2">
      <c r="A1440" s="1">
        <v>0</v>
      </c>
      <c r="B1440">
        <f>loans_pred_opti_data!D1440*loans_pred_opti_data!B1440</f>
        <v>453.34927400481155</v>
      </c>
      <c r="C1440">
        <f>(loans_pred_opti_data!B1440-ret_PESS!$G$35*loans_pred_opti_data!C1440)*loans_pred_opti_data!D1440</f>
        <v>355.88276334016314</v>
      </c>
    </row>
    <row r="1441" spans="1:3" x14ac:dyDescent="0.2">
      <c r="A1441" s="1">
        <v>0</v>
      </c>
      <c r="B1441">
        <f>loans_pred_opti_data!D1441*loans_pred_opti_data!B1441</f>
        <v>22.863341320285944</v>
      </c>
      <c r="C1441">
        <f>(loans_pred_opti_data!B1441-ret_PESS!$G$35*loans_pred_opti_data!C1441)*loans_pred_opti_data!D1441</f>
        <v>3.3011399905587337</v>
      </c>
    </row>
    <row r="1442" spans="1:3" x14ac:dyDescent="0.2">
      <c r="A1442" s="1">
        <v>1</v>
      </c>
      <c r="B1442">
        <f>loans_pred_opti_data!D1442*loans_pred_opti_data!B1442</f>
        <v>-144.21419152648068</v>
      </c>
      <c r="C1442">
        <f>(loans_pred_opti_data!B1442-ret_PESS!$G$35*loans_pred_opti_data!C1442)*loans_pred_opti_data!D1442</f>
        <v>-330.77128931992837</v>
      </c>
    </row>
    <row r="1443" spans="1:3" x14ac:dyDescent="0.2">
      <c r="A1443" s="1">
        <v>0</v>
      </c>
      <c r="B1443">
        <f>loans_pred_opti_data!D1443*loans_pred_opti_data!B1443</f>
        <v>300.09758885873589</v>
      </c>
      <c r="C1443">
        <f>(loans_pred_opti_data!B1443-ret_PESS!$G$35*loans_pred_opti_data!C1443)*loans_pred_opti_data!D1443</f>
        <v>231.62988420469065</v>
      </c>
    </row>
    <row r="1444" spans="1:3" x14ac:dyDescent="0.2">
      <c r="A1444" s="1">
        <v>0</v>
      </c>
      <c r="B1444">
        <f>loans_pred_opti_data!D1444*loans_pred_opti_data!B1444</f>
        <v>250.61584709042566</v>
      </c>
      <c r="C1444">
        <f>(loans_pred_opti_data!B1444-ret_PESS!$G$35*loans_pred_opti_data!C1444)*loans_pred_opti_data!D1444</f>
        <v>177.41437740117806</v>
      </c>
    </row>
    <row r="1445" spans="1:3" x14ac:dyDescent="0.2">
      <c r="A1445" s="1">
        <v>0</v>
      </c>
      <c r="B1445">
        <f>loans_pred_opti_data!D1445*loans_pred_opti_data!B1445</f>
        <v>657.90801995719687</v>
      </c>
      <c r="C1445">
        <f>(loans_pred_opti_data!B1445-ret_PESS!$G$35*loans_pred_opti_data!C1445)*loans_pred_opti_data!D1445</f>
        <v>593.17455239155652</v>
      </c>
    </row>
    <row r="1446" spans="1:3" x14ac:dyDescent="0.2">
      <c r="A1446" s="1">
        <v>0</v>
      </c>
      <c r="B1446">
        <f>loans_pred_opti_data!D1446*loans_pred_opti_data!B1446</f>
        <v>248.93381289779097</v>
      </c>
      <c r="C1446">
        <f>(loans_pred_opti_data!B1446-ret_PESS!$G$35*loans_pred_opti_data!C1446)*loans_pred_opti_data!D1446</f>
        <v>196.45184561682643</v>
      </c>
    </row>
    <row r="1447" spans="1:3" x14ac:dyDescent="0.2">
      <c r="A1447" s="1">
        <v>0</v>
      </c>
      <c r="B1447">
        <f>loans_pred_opti_data!D1447*loans_pred_opti_data!B1447</f>
        <v>82.172404905865207</v>
      </c>
      <c r="C1447">
        <f>(loans_pred_opti_data!B1447-ret_PESS!$G$35*loans_pred_opti_data!C1447)*loans_pred_opti_data!D1447</f>
        <v>33.266901581547181</v>
      </c>
    </row>
    <row r="1448" spans="1:3" x14ac:dyDescent="0.2">
      <c r="A1448" s="1">
        <v>1</v>
      </c>
      <c r="B1448">
        <f>loans_pred_opti_data!D1448*loans_pred_opti_data!B1448</f>
        <v>300.67774840199479</v>
      </c>
      <c r="C1448">
        <f>(loans_pred_opti_data!B1448-ret_PESS!$G$35*loans_pred_opti_data!C1448)*loans_pred_opti_data!D1448</f>
        <v>230.76427055985275</v>
      </c>
    </row>
    <row r="1449" spans="1:3" x14ac:dyDescent="0.2">
      <c r="A1449" s="1">
        <v>0</v>
      </c>
      <c r="B1449">
        <f>loans_pred_opti_data!D1449*loans_pred_opti_data!B1449</f>
        <v>559.34657105984252</v>
      </c>
      <c r="C1449">
        <f>(loans_pred_opti_data!B1449-ret_PESS!$G$35*loans_pred_opti_data!C1449)*loans_pred_opti_data!D1449</f>
        <v>424.48518029809179</v>
      </c>
    </row>
    <row r="1450" spans="1:3" x14ac:dyDescent="0.2">
      <c r="A1450" s="1">
        <v>0</v>
      </c>
      <c r="B1450">
        <f>loans_pred_opti_data!D1450*loans_pred_opti_data!B1450</f>
        <v>218.98790339569081</v>
      </c>
      <c r="C1450">
        <f>(loans_pred_opti_data!B1450-ret_PESS!$G$35*loans_pred_opti_data!C1450)*loans_pred_opti_data!D1450</f>
        <v>170.08240007137277</v>
      </c>
    </row>
    <row r="1451" spans="1:3" x14ac:dyDescent="0.2">
      <c r="A1451" s="1">
        <v>0</v>
      </c>
      <c r="B1451">
        <f>loans_pred_opti_data!D1451*loans_pred_opti_data!B1451</f>
        <v>462.42309408302521</v>
      </c>
      <c r="C1451">
        <f>(loans_pred_opti_data!B1451-ret_PESS!$G$35*loans_pred_opti_data!C1451)*loans_pred_opti_data!D1451</f>
        <v>364.61208743438914</v>
      </c>
    </row>
    <row r="1452" spans="1:3" x14ac:dyDescent="0.2">
      <c r="A1452" s="1">
        <v>0</v>
      </c>
      <c r="B1452">
        <f>loans_pred_opti_data!D1452*loans_pred_opti_data!B1452</f>
        <v>52.353923890381367</v>
      </c>
      <c r="C1452">
        <f>(loans_pred_opti_data!B1452-ret_PESS!$G$35*loans_pred_opti_data!C1452)*loans_pred_opti_data!D1452</f>
        <v>-194.41023728186084</v>
      </c>
    </row>
    <row r="1453" spans="1:3" x14ac:dyDescent="0.2">
      <c r="A1453" s="1">
        <v>0</v>
      </c>
      <c r="B1453">
        <f>loans_pred_opti_data!D1453*loans_pred_opti_data!B1453</f>
        <v>43.478259096954403</v>
      </c>
      <c r="C1453">
        <f>(loans_pred_opti_data!B1453-ret_PESS!$G$35*loans_pred_opti_data!C1453)*loans_pred_opti_data!D1453</f>
        <v>30.436791543802933</v>
      </c>
    </row>
    <row r="1454" spans="1:3" x14ac:dyDescent="0.2">
      <c r="A1454" s="1">
        <v>0</v>
      </c>
      <c r="B1454">
        <f>loans_pred_opti_data!D1454*loans_pred_opti_data!B1454</f>
        <v>310.73556511517432</v>
      </c>
      <c r="C1454">
        <f>(loans_pred_opti_data!B1454-ret_PESS!$G$35*loans_pred_opti_data!C1454)*loans_pred_opti_data!D1454</f>
        <v>190.02704036895588</v>
      </c>
    </row>
    <row r="1455" spans="1:3" x14ac:dyDescent="0.2">
      <c r="A1455" s="1">
        <v>0</v>
      </c>
      <c r="B1455">
        <f>loans_pred_opti_data!D1455*loans_pred_opti_data!B1455</f>
        <v>362.74243278398103</v>
      </c>
      <c r="C1455">
        <f>(loans_pred_opti_data!B1455-ret_PESS!$G$35*loans_pred_opti_data!C1455)*loans_pred_opti_data!D1455</f>
        <v>285.68825416372039</v>
      </c>
    </row>
    <row r="1456" spans="1:3" x14ac:dyDescent="0.2">
      <c r="A1456" s="1">
        <v>0</v>
      </c>
      <c r="B1456">
        <f>loans_pred_opti_data!D1456*loans_pred_opti_data!B1456</f>
        <v>138.25654570722401</v>
      </c>
      <c r="C1456">
        <f>(loans_pred_opti_data!B1456-ret_PESS!$G$35*loans_pred_opti_data!C1456)*loans_pred_opti_data!D1456</f>
        <v>105.65287682434533</v>
      </c>
    </row>
    <row r="1457" spans="1:3" x14ac:dyDescent="0.2">
      <c r="A1457" s="1">
        <v>0</v>
      </c>
      <c r="B1457">
        <f>loans_pred_opti_data!D1457*loans_pred_opti_data!B1457</f>
        <v>281.06503696984231</v>
      </c>
      <c r="C1457">
        <f>(loans_pred_opti_data!B1457-ret_PESS!$G$35*loans_pred_opti_data!C1457)*loans_pred_opti_data!D1457</f>
        <v>207.70678198336523</v>
      </c>
    </row>
    <row r="1458" spans="1:3" x14ac:dyDescent="0.2">
      <c r="A1458" s="1">
        <v>0</v>
      </c>
      <c r="B1458">
        <f>loans_pred_opti_data!D1458*loans_pred_opti_data!B1458</f>
        <v>622.96823297221704</v>
      </c>
      <c r="C1458">
        <f>(loans_pred_opti_data!B1458-ret_PESS!$G$35*loans_pred_opti_data!C1458)*loans_pred_opti_data!D1458</f>
        <v>531.26248725422658</v>
      </c>
    </row>
    <row r="1459" spans="1:3" x14ac:dyDescent="0.2">
      <c r="A1459" s="1">
        <v>0</v>
      </c>
      <c r="B1459">
        <f>loans_pred_opti_data!D1459*loans_pred_opti_data!B1459</f>
        <v>120.54160262466392</v>
      </c>
      <c r="C1459">
        <f>(loans_pred_opti_data!B1459-ret_PESS!$G$35*loans_pred_opti_data!C1459)*loans_pred_opti_data!D1459</f>
        <v>74.896466188633781</v>
      </c>
    </row>
    <row r="1460" spans="1:3" x14ac:dyDescent="0.2">
      <c r="A1460" s="1">
        <v>0</v>
      </c>
      <c r="B1460">
        <f>loans_pred_opti_data!D1460*loans_pred_opti_data!B1460</f>
        <v>213.16226069712479</v>
      </c>
      <c r="C1460">
        <f>(loans_pred_opti_data!B1460-ret_PESS!$G$35*loans_pred_opti_data!C1460)*loans_pred_opti_data!D1460</f>
        <v>147.95492293136741</v>
      </c>
    </row>
    <row r="1461" spans="1:3" x14ac:dyDescent="0.2">
      <c r="A1461" s="1">
        <v>0</v>
      </c>
      <c r="B1461">
        <f>loans_pred_opti_data!D1461*loans_pred_opti_data!B1461</f>
        <v>74.303691876981361</v>
      </c>
      <c r="C1461">
        <f>(loans_pred_opti_data!B1461-ret_PESS!$G$35*loans_pred_opti_data!C1461)*loans_pred_opti_data!D1461</f>
        <v>-15.665394890386441</v>
      </c>
    </row>
    <row r="1462" spans="1:3" x14ac:dyDescent="0.2">
      <c r="A1462" s="1">
        <v>0</v>
      </c>
      <c r="B1462">
        <f>loans_pred_opti_data!D1462*loans_pred_opti_data!B1462</f>
        <v>343.56836854338479</v>
      </c>
      <c r="C1462">
        <f>(loans_pred_opti_data!B1462-ret_PESS!$G$35*loans_pred_opti_data!C1462)*loans_pred_opti_data!D1462</f>
        <v>253.59928177601702</v>
      </c>
    </row>
    <row r="1463" spans="1:3" x14ac:dyDescent="0.2">
      <c r="A1463" s="1">
        <v>0</v>
      </c>
      <c r="B1463">
        <f>loans_pred_opti_data!D1463*loans_pred_opti_data!B1463</f>
        <v>539.03437677475631</v>
      </c>
      <c r="C1463">
        <f>(loans_pred_opti_data!B1463-ret_PESS!$G$35*loans_pred_opti_data!C1463)*loans_pred_opti_data!D1463</f>
        <v>382.58081067070583</v>
      </c>
    </row>
    <row r="1464" spans="1:3" x14ac:dyDescent="0.2">
      <c r="A1464" s="1">
        <v>0</v>
      </c>
      <c r="B1464">
        <f>loans_pred_opti_data!D1464*loans_pred_opti_data!B1464</f>
        <v>171.95989295197549</v>
      </c>
      <c r="C1464">
        <f>(loans_pred_opti_data!B1464-ret_PESS!$G$35*loans_pred_opti_data!C1464)*loans_pred_opti_data!D1464</f>
        <v>78.224344913699284</v>
      </c>
    </row>
    <row r="1465" spans="1:3" x14ac:dyDescent="0.2">
      <c r="A1465" s="1">
        <v>0</v>
      </c>
      <c r="B1465">
        <f>loans_pred_opti_data!D1465*loans_pred_opti_data!B1465</f>
        <v>133.89067304479192</v>
      </c>
      <c r="C1465">
        <f>(loans_pred_opti_data!B1465-ret_PESS!$G$35*loans_pred_opti_data!C1465)*loans_pred_opti_data!D1465</f>
        <v>91.15535683029222</v>
      </c>
    </row>
    <row r="1466" spans="1:3" x14ac:dyDescent="0.2">
      <c r="A1466" s="1">
        <v>0</v>
      </c>
      <c r="B1466">
        <f>loans_pred_opti_data!D1466*loans_pred_opti_data!B1466</f>
        <v>1295.0247953582912</v>
      </c>
      <c r="C1466">
        <f>(loans_pred_opti_data!B1466-ret_PESS!$G$35*loans_pred_opti_data!C1466)*loans_pred_opti_data!D1466</f>
        <v>1143.9800377051304</v>
      </c>
    </row>
    <row r="1467" spans="1:3" x14ac:dyDescent="0.2">
      <c r="A1467" s="1">
        <v>0</v>
      </c>
      <c r="B1467">
        <f>loans_pred_opti_data!D1467*loans_pred_opti_data!B1467</f>
        <v>416.49143252875439</v>
      </c>
      <c r="C1467">
        <f>(loans_pred_opti_data!B1467-ret_PESS!$G$35*loans_pred_opti_data!C1467)*loans_pred_opti_data!D1467</f>
        <v>318.68042588011832</v>
      </c>
    </row>
    <row r="1468" spans="1:3" x14ac:dyDescent="0.2">
      <c r="A1468" s="1">
        <v>0</v>
      </c>
      <c r="B1468">
        <f>loans_pred_opti_data!D1468*loans_pred_opti_data!B1468</f>
        <v>170.09280574017413</v>
      </c>
      <c r="C1468">
        <f>(loans_pred_opti_data!B1468-ret_PESS!$G$35*loans_pred_opti_data!C1468)*loans_pred_opti_data!D1468</f>
        <v>116.67366047204949</v>
      </c>
    </row>
    <row r="1469" spans="1:3" x14ac:dyDescent="0.2">
      <c r="A1469" s="1">
        <v>0</v>
      </c>
      <c r="B1469">
        <f>loans_pred_opti_data!D1469*loans_pred_opti_data!B1469</f>
        <v>248.91314791252651</v>
      </c>
      <c r="C1469">
        <f>(loans_pred_opti_data!B1469-ret_PESS!$G$35*loans_pred_opti_data!C1469)*loans_pred_opti_data!D1469</f>
        <v>187.99657874712125</v>
      </c>
    </row>
    <row r="1470" spans="1:3" x14ac:dyDescent="0.2">
      <c r="A1470" s="1">
        <v>0</v>
      </c>
      <c r="B1470">
        <f>loans_pred_opti_data!D1470*loans_pred_opti_data!B1470</f>
        <v>412.54580590770723</v>
      </c>
      <c r="C1470">
        <f>(loans_pred_opti_data!B1470-ret_PESS!$G$35*loans_pred_opti_data!C1470)*loans_pred_opti_data!D1470</f>
        <v>322.57671914033943</v>
      </c>
    </row>
    <row r="1471" spans="1:3" x14ac:dyDescent="0.2">
      <c r="A1471" s="1">
        <v>0</v>
      </c>
      <c r="B1471">
        <f>loans_pred_opti_data!D1471*loans_pred_opti_data!B1471</f>
        <v>334.265722328908</v>
      </c>
      <c r="C1471">
        <f>(loans_pred_opti_data!B1471-ret_PESS!$G$35*loans_pred_opti_data!C1471)*loans_pred_opti_data!D1471</f>
        <v>252.75655012171126</v>
      </c>
    </row>
    <row r="1472" spans="1:3" x14ac:dyDescent="0.2">
      <c r="A1472" s="1">
        <v>0</v>
      </c>
      <c r="B1472">
        <f>loans_pred_opti_data!D1472*loans_pred_opti_data!B1472</f>
        <v>63.931252866000094</v>
      </c>
      <c r="C1472">
        <f>(loans_pred_opti_data!B1472-ret_PESS!$G$35*loans_pred_opti_data!C1472)*loans_pred_opti_data!D1472</f>
        <v>-103.46895018651604</v>
      </c>
    </row>
    <row r="1473" spans="1:3" x14ac:dyDescent="0.2">
      <c r="A1473" s="1">
        <v>1</v>
      </c>
      <c r="B1473">
        <f>loans_pred_opti_data!D1473*loans_pred_opti_data!B1473</f>
        <v>70.17176094220828</v>
      </c>
      <c r="C1473">
        <f>(loans_pred_opti_data!B1473-ret_PESS!$G$35*loans_pred_opti_data!C1473)*loans_pred_opti_data!D1473</f>
        <v>38.994502572955533</v>
      </c>
    </row>
    <row r="1474" spans="1:3" x14ac:dyDescent="0.2">
      <c r="A1474" s="1">
        <v>0</v>
      </c>
      <c r="B1474">
        <f>loans_pred_opti_data!D1474*loans_pred_opti_data!B1474</f>
        <v>162.30672253481839</v>
      </c>
      <c r="C1474">
        <f>(loans_pred_opti_data!B1474-ret_PESS!$G$35*loans_pred_opti_data!C1474)*loans_pred_opti_data!D1474</f>
        <v>100.66337963860991</v>
      </c>
    </row>
    <row r="1475" spans="1:3" x14ac:dyDescent="0.2">
      <c r="A1475" s="1">
        <v>0</v>
      </c>
      <c r="B1475">
        <f>loans_pred_opti_data!D1475*loans_pred_opti_data!B1475</f>
        <v>91.86668313557729</v>
      </c>
      <c r="C1475">
        <f>(loans_pred_opti_data!B1475-ret_PESS!$G$35*loans_pred_opti_data!C1475)*loans_pred_opti_data!D1475</f>
        <v>-98.08236189047858</v>
      </c>
    </row>
    <row r="1476" spans="1:3" x14ac:dyDescent="0.2">
      <c r="A1476" s="1">
        <v>0</v>
      </c>
      <c r="B1476">
        <f>loans_pred_opti_data!D1476*loans_pred_opti_data!B1476</f>
        <v>345.41317446911853</v>
      </c>
      <c r="C1476">
        <f>(loans_pred_opti_data!B1476-ret_PESS!$G$35*loans_pred_opti_data!C1476)*loans_pred_opti_data!D1476</f>
        <v>246.25974342758195</v>
      </c>
    </row>
    <row r="1477" spans="1:3" x14ac:dyDescent="0.2">
      <c r="A1477" s="1">
        <v>0</v>
      </c>
      <c r="B1477">
        <f>loans_pred_opti_data!D1477*loans_pred_opti_data!B1477</f>
        <v>360.7658892810141</v>
      </c>
      <c r="C1477">
        <f>(loans_pred_opti_data!B1477-ret_PESS!$G$35*loans_pred_opti_data!C1477)*loans_pred_opti_data!D1477</f>
        <v>254.80396541165837</v>
      </c>
    </row>
    <row r="1478" spans="1:3" x14ac:dyDescent="0.2">
      <c r="A1478" s="1">
        <v>0</v>
      </c>
      <c r="B1478">
        <f>loans_pred_opti_data!D1478*loans_pred_opti_data!B1478</f>
        <v>101.4992867373107</v>
      </c>
      <c r="C1478">
        <f>(loans_pred_opti_data!B1478-ret_PESS!$G$35*loans_pred_opti_data!C1478)*loans_pred_opti_data!D1478</f>
        <v>75.258303096828428</v>
      </c>
    </row>
    <row r="1479" spans="1:3" x14ac:dyDescent="0.2">
      <c r="A1479" s="1">
        <v>0</v>
      </c>
      <c r="B1479">
        <f>loans_pred_opti_data!D1479*loans_pred_opti_data!B1479</f>
        <v>130.0520705442926</v>
      </c>
      <c r="C1479">
        <f>(loans_pred_opti_data!B1479-ret_PESS!$G$35*loans_pred_opti_data!C1479)*loans_pred_opti_data!D1479</f>
        <v>85.222025830334417</v>
      </c>
    </row>
    <row r="1480" spans="1:3" x14ac:dyDescent="0.2">
      <c r="A1480" s="1">
        <v>0</v>
      </c>
      <c r="B1480">
        <f>loans_pred_opti_data!D1480*loans_pred_opti_data!B1480</f>
        <v>778.761098753032</v>
      </c>
      <c r="C1480">
        <f>(loans_pred_opti_data!B1480-ret_PESS!$G$35*loans_pred_opti_data!C1480)*loans_pred_opti_data!D1480</f>
        <v>670.87198614363149</v>
      </c>
    </row>
    <row r="1481" spans="1:3" x14ac:dyDescent="0.2">
      <c r="A1481" s="1">
        <v>0</v>
      </c>
      <c r="B1481">
        <f>loans_pred_opti_data!D1481*loans_pred_opti_data!B1481</f>
        <v>229.26893990693941</v>
      </c>
      <c r="C1481">
        <f>(loans_pred_opti_data!B1481-ret_PESS!$G$35*loans_pred_opti_data!C1481)*loans_pred_opti_data!D1481</f>
        <v>156.9295495730523</v>
      </c>
    </row>
    <row r="1482" spans="1:3" x14ac:dyDescent="0.2">
      <c r="A1482" s="1">
        <v>0</v>
      </c>
      <c r="B1482">
        <f>loans_pred_opti_data!D1482*loans_pred_opti_data!B1482</f>
        <v>391.7260865284224</v>
      </c>
      <c r="C1482">
        <f>(loans_pred_opti_data!B1482-ret_PESS!$G$35*loans_pred_opti_data!C1482)*loans_pred_opti_data!D1482</f>
        <v>317.75407505297221</v>
      </c>
    </row>
    <row r="1483" spans="1:3" x14ac:dyDescent="0.2">
      <c r="A1483" s="1">
        <v>0</v>
      </c>
      <c r="B1483">
        <f>loans_pred_opti_data!D1483*loans_pred_opti_data!B1483</f>
        <v>103.4785257877609</v>
      </c>
      <c r="C1483">
        <f>(loans_pred_opti_data!B1483-ret_PESS!$G$35*loans_pred_opti_data!C1483)*loans_pred_opti_data!D1483</f>
        <v>50.99655850679634</v>
      </c>
    </row>
    <row r="1484" spans="1:3" x14ac:dyDescent="0.2">
      <c r="A1484" s="1">
        <v>0</v>
      </c>
      <c r="B1484">
        <f>loans_pred_opti_data!D1484*loans_pred_opti_data!B1484</f>
        <v>182.12709652857541</v>
      </c>
      <c r="C1484">
        <f>(loans_pred_opti_data!B1484-ret_PESS!$G$35*loans_pred_opti_data!C1484)*loans_pred_opti_data!D1484</f>
        <v>133.22159320425737</v>
      </c>
    </row>
    <row r="1485" spans="1:3" x14ac:dyDescent="0.2">
      <c r="A1485" s="1">
        <v>0</v>
      </c>
      <c r="B1485">
        <f>loans_pred_opti_data!D1485*loans_pred_opti_data!B1485</f>
        <v>601.84394365718197</v>
      </c>
      <c r="C1485">
        <f>(loans_pred_opti_data!B1485-ret_PESS!$G$35*loans_pred_opti_data!C1485)*loans_pred_opti_data!D1485</f>
        <v>451.89546571156899</v>
      </c>
    </row>
    <row r="1486" spans="1:3" x14ac:dyDescent="0.2">
      <c r="A1486" s="1">
        <v>0</v>
      </c>
      <c r="B1486">
        <f>loans_pred_opti_data!D1486*loans_pred_opti_data!B1486</f>
        <v>402.22245988757101</v>
      </c>
      <c r="C1486">
        <f>(loans_pred_opti_data!B1486-ret_PESS!$G$35*loans_pred_opti_data!C1486)*loans_pred_opti_data!D1486</f>
        <v>327.24822091476454</v>
      </c>
    </row>
    <row r="1487" spans="1:3" x14ac:dyDescent="0.2">
      <c r="A1487" s="1">
        <v>0</v>
      </c>
      <c r="B1487">
        <f>loans_pred_opti_data!D1487*loans_pred_opti_data!B1487</f>
        <v>333.64878531847444</v>
      </c>
      <c r="C1487">
        <f>(loans_pred_opti_data!B1487-ret_PESS!$G$35*loans_pred_opti_data!C1487)*loans_pred_opti_data!D1487</f>
        <v>254.5848882774936</v>
      </c>
    </row>
    <row r="1488" spans="1:3" x14ac:dyDescent="0.2">
      <c r="A1488" s="1">
        <v>0</v>
      </c>
      <c r="B1488">
        <f>loans_pred_opti_data!D1488*loans_pred_opti_data!B1488</f>
        <v>122.4830269625659</v>
      </c>
      <c r="C1488">
        <f>(loans_pred_opti_data!B1488-ret_PESS!$G$35*loans_pred_opti_data!C1488)*loans_pred_opti_data!D1488</f>
        <v>91.713314454349131</v>
      </c>
    </row>
    <row r="1489" spans="1:3" x14ac:dyDescent="0.2">
      <c r="A1489" s="1">
        <v>0</v>
      </c>
      <c r="B1489">
        <f>loans_pred_opti_data!D1489*loans_pred_opti_data!B1489</f>
        <v>328.08672389930854</v>
      </c>
      <c r="C1489">
        <f>(loans_pred_opti_data!B1489-ret_PESS!$G$35*loans_pred_opti_data!C1489)*loans_pred_opti_data!D1489</f>
        <v>249.4914617066427</v>
      </c>
    </row>
    <row r="1490" spans="1:3" x14ac:dyDescent="0.2">
      <c r="A1490" s="1">
        <v>0</v>
      </c>
      <c r="B1490">
        <f>loans_pred_opti_data!D1490*loans_pred_opti_data!B1490</f>
        <v>386.54222573115152</v>
      </c>
      <c r="C1490">
        <f>(loans_pred_opti_data!B1490-ret_PESS!$G$35*loans_pred_opti_data!C1490)*loans_pred_opti_data!D1490</f>
        <v>274.08086727194171</v>
      </c>
    </row>
    <row r="1491" spans="1:3" x14ac:dyDescent="0.2">
      <c r="A1491" s="1">
        <v>0</v>
      </c>
      <c r="B1491">
        <f>loans_pred_opti_data!D1491*loans_pred_opti_data!B1491</f>
        <v>-225.38307769946272</v>
      </c>
      <c r="C1491">
        <f>(loans_pred_opti_data!B1491-ret_PESS!$G$35*loans_pred_opti_data!C1491)*loans_pred_opti_data!D1491</f>
        <v>-433.77583580282533</v>
      </c>
    </row>
    <row r="1492" spans="1:3" x14ac:dyDescent="0.2">
      <c r="A1492" s="1">
        <v>0</v>
      </c>
      <c r="B1492">
        <f>loans_pred_opti_data!D1492*loans_pred_opti_data!B1492</f>
        <v>376.611635357583</v>
      </c>
      <c r="C1492">
        <f>(loans_pred_opti_data!B1492-ret_PESS!$G$35*loans_pred_opti_data!C1492)*loans_pred_opti_data!D1492</f>
        <v>264.15027689837319</v>
      </c>
    </row>
    <row r="1493" spans="1:3" x14ac:dyDescent="0.2">
      <c r="A1493" s="1">
        <v>0</v>
      </c>
      <c r="B1493">
        <f>loans_pred_opti_data!D1493*loans_pred_opti_data!B1493</f>
        <v>216.48568755770879</v>
      </c>
      <c r="C1493">
        <f>(loans_pred_opti_data!B1493-ret_PESS!$G$35*loans_pred_opti_data!C1493)*loans_pred_opti_data!D1493</f>
        <v>159.42926701267112</v>
      </c>
    </row>
    <row r="1494" spans="1:3" x14ac:dyDescent="0.2">
      <c r="A1494" s="1">
        <v>0</v>
      </c>
      <c r="B1494">
        <f>loans_pred_opti_data!D1494*loans_pred_opti_data!B1494</f>
        <v>606.42667859156245</v>
      </c>
      <c r="C1494">
        <f>(loans_pred_opti_data!B1494-ret_PESS!$G$35*loans_pred_opti_data!C1494)*loans_pred_opti_data!D1494</f>
        <v>394.42997655355367</v>
      </c>
    </row>
    <row r="1495" spans="1:3" x14ac:dyDescent="0.2">
      <c r="A1495" s="1">
        <v>0</v>
      </c>
      <c r="B1495">
        <f>loans_pred_opti_data!D1495*loans_pred_opti_data!B1495</f>
        <v>307.592106980935</v>
      </c>
      <c r="C1495">
        <f>(loans_pred_opti_data!B1495-ret_PESS!$G$35*loans_pred_opti_data!C1495)*loans_pred_opti_data!D1495</f>
        <v>230.53792836067439</v>
      </c>
    </row>
    <row r="1496" spans="1:3" x14ac:dyDescent="0.2">
      <c r="A1496" s="1">
        <v>0</v>
      </c>
      <c r="B1496">
        <f>loans_pred_opti_data!D1496*loans_pred_opti_data!B1496</f>
        <v>144.01913533359703</v>
      </c>
      <c r="C1496">
        <f>(loans_pred_opti_data!B1496-ret_PESS!$G$35*loans_pred_opti_data!C1496)*loans_pred_opti_data!D1496</f>
        <v>-18.794331831593691</v>
      </c>
    </row>
    <row r="1497" spans="1:3" x14ac:dyDescent="0.2">
      <c r="A1497" s="1">
        <v>0</v>
      </c>
      <c r="B1497">
        <f>loans_pred_opti_data!D1497*loans_pred_opti_data!B1497</f>
        <v>1531.7196018541815</v>
      </c>
      <c r="C1497">
        <f>(loans_pred_opti_data!B1497-ret_PESS!$G$35*loans_pred_opti_data!C1497)*loans_pred_opti_data!D1497</f>
        <v>1380.6748442010207</v>
      </c>
    </row>
    <row r="1498" spans="1:3" x14ac:dyDescent="0.2">
      <c r="A1498" s="1">
        <v>0</v>
      </c>
      <c r="B1498">
        <f>loans_pred_opti_data!D1498*loans_pred_opti_data!B1498</f>
        <v>318.472774775478</v>
      </c>
      <c r="C1498">
        <f>(loans_pred_opti_data!B1498-ret_PESS!$G$35*loans_pred_opti_data!C1498)*loans_pred_opti_data!D1498</f>
        <v>243.49853580267151</v>
      </c>
    </row>
    <row r="1499" spans="1:3" x14ac:dyDescent="0.2">
      <c r="A1499" s="1">
        <v>0</v>
      </c>
      <c r="B1499">
        <f>loans_pred_opti_data!D1499*loans_pred_opti_data!B1499</f>
        <v>137.35489158617199</v>
      </c>
      <c r="C1499">
        <f>(loans_pred_opti_data!B1499-ret_PESS!$G$35*loans_pred_opti_data!C1499)*loans_pred_opti_data!D1499</f>
        <v>-30.122503023854946</v>
      </c>
    </row>
    <row r="1500" spans="1:3" x14ac:dyDescent="0.2">
      <c r="A1500" s="1">
        <v>0</v>
      </c>
      <c r="B1500">
        <f>loans_pred_opti_data!D1500*loans_pred_opti_data!B1500</f>
        <v>421.23479053828351</v>
      </c>
      <c r="C1500">
        <f>(loans_pred_opti_data!B1500-ret_PESS!$G$35*loans_pred_opti_data!C1500)*loans_pred_opti_data!D1500</f>
        <v>308.77343207907376</v>
      </c>
    </row>
    <row r="1501" spans="1:3" x14ac:dyDescent="0.2">
      <c r="A1501" s="1">
        <v>0</v>
      </c>
      <c r="B1501">
        <f>loans_pred_opti_data!D1501*loans_pred_opti_data!B1501</f>
        <v>106.1627051332098</v>
      </c>
      <c r="C1501">
        <f>(loans_pred_opti_data!B1501-ret_PESS!$G$35*loans_pred_opti_data!C1501)*loans_pred_opti_data!D1501</f>
        <v>57.257201808891779</v>
      </c>
    </row>
    <row r="1502" spans="1:3" x14ac:dyDescent="0.2">
      <c r="A1502" s="1">
        <v>0</v>
      </c>
      <c r="B1502">
        <f>loans_pred_opti_data!D1502*loans_pred_opti_data!B1502</f>
        <v>114.49662435394768</v>
      </c>
      <c r="C1502">
        <f>(loans_pred_opti_data!B1502-ret_PESS!$G$35*loans_pred_opti_data!C1502)*loans_pred_opti_data!D1502</f>
        <v>29.727085258463102</v>
      </c>
    </row>
    <row r="1503" spans="1:3" x14ac:dyDescent="0.2">
      <c r="A1503" s="1">
        <v>1</v>
      </c>
      <c r="B1503">
        <f>loans_pred_opti_data!D1503*loans_pred_opti_data!B1503</f>
        <v>194.01620064093751</v>
      </c>
      <c r="C1503">
        <f>(loans_pred_opti_data!B1503-ret_PESS!$G$35*loans_pred_opti_data!C1503)*loans_pred_opti_data!D1503</f>
        <v>141.53423335997297</v>
      </c>
    </row>
    <row r="1504" spans="1:3" x14ac:dyDescent="0.2">
      <c r="A1504" s="1">
        <v>0</v>
      </c>
      <c r="B1504">
        <f>loans_pred_opti_data!D1504*loans_pred_opti_data!B1504</f>
        <v>327.39755141384495</v>
      </c>
      <c r="C1504">
        <f>(loans_pred_opti_data!B1504-ret_PESS!$G$35*loans_pred_opti_data!C1504)*loans_pred_opti_data!D1504</f>
        <v>252.42331244103849</v>
      </c>
    </row>
    <row r="1505" spans="1:3" x14ac:dyDescent="0.2">
      <c r="A1505" s="1">
        <v>0</v>
      </c>
      <c r="B1505">
        <f>loans_pred_opti_data!D1505*loans_pred_opti_data!B1505</f>
        <v>419.72634713142799</v>
      </c>
      <c r="C1505">
        <f>(loans_pred_opti_data!B1505-ret_PESS!$G$35*loans_pred_opti_data!C1505)*loans_pred_opti_data!D1505</f>
        <v>311.83723452202736</v>
      </c>
    </row>
    <row r="1506" spans="1:3" x14ac:dyDescent="0.2">
      <c r="A1506" s="1">
        <v>0</v>
      </c>
      <c r="B1506">
        <f>loans_pred_opti_data!D1506*loans_pred_opti_data!B1506</f>
        <v>255.10007674266782</v>
      </c>
      <c r="C1506">
        <f>(loans_pred_opti_data!B1506-ret_PESS!$G$35*loans_pred_opti_data!C1506)*loans_pred_opti_data!D1506</f>
        <v>208.86756957051145</v>
      </c>
    </row>
    <row r="1507" spans="1:3" x14ac:dyDescent="0.2">
      <c r="A1507" s="1">
        <v>0</v>
      </c>
      <c r="B1507">
        <f>loans_pred_opti_data!D1507*loans_pred_opti_data!B1507</f>
        <v>182.84554950471104</v>
      </c>
      <c r="C1507">
        <f>(loans_pred_opti_data!B1507-ret_PESS!$G$35*loans_pred_opti_data!C1507)*loans_pred_opti_data!D1507</f>
        <v>130.67967929210513</v>
      </c>
    </row>
    <row r="1508" spans="1:3" x14ac:dyDescent="0.2">
      <c r="A1508" s="1">
        <v>0</v>
      </c>
      <c r="B1508">
        <f>loans_pred_opti_data!D1508*loans_pred_opti_data!B1508</f>
        <v>207.74298286070371</v>
      </c>
      <c r="C1508">
        <f>(loans_pred_opti_data!B1508-ret_PESS!$G$35*loans_pred_opti_data!C1508)*loans_pred_opti_data!D1508</f>
        <v>151.90919989877398</v>
      </c>
    </row>
    <row r="1509" spans="1:3" x14ac:dyDescent="0.2">
      <c r="A1509" s="1">
        <v>0</v>
      </c>
      <c r="B1509">
        <f>loans_pred_opti_data!D1509*loans_pred_opti_data!B1509</f>
        <v>96.560247899685848</v>
      </c>
      <c r="C1509">
        <f>(loans_pred_opti_data!B1509-ret_PESS!$G$35*loans_pred_opti_data!C1509)*loans_pred_opti_data!D1509</f>
        <v>68.032037627167014</v>
      </c>
    </row>
    <row r="1510" spans="1:3" x14ac:dyDescent="0.2">
      <c r="A1510" s="1">
        <v>0</v>
      </c>
      <c r="B1510">
        <f>loans_pred_opti_data!D1510*loans_pred_opti_data!B1510</f>
        <v>211.36614754301399</v>
      </c>
      <c r="C1510">
        <f>(loans_pred_opti_data!B1510-ret_PESS!$G$35*loans_pred_opti_data!C1510)*loans_pred_opti_data!D1510</f>
        <v>-8.8984258744771232</v>
      </c>
    </row>
    <row r="1511" spans="1:3" x14ac:dyDescent="0.2">
      <c r="A1511" s="1">
        <v>0</v>
      </c>
      <c r="B1511">
        <f>loans_pred_opti_data!D1511*loans_pred_opti_data!B1511</f>
        <v>151.95368713781198</v>
      </c>
      <c r="C1511">
        <f>(loans_pred_opti_data!B1511-ret_PESS!$G$35*loans_pred_opti_data!C1511)*loans_pred_opti_data!D1511</f>
        <v>119.3500182549333</v>
      </c>
    </row>
    <row r="1512" spans="1:3" x14ac:dyDescent="0.2">
      <c r="A1512" s="1">
        <v>1</v>
      </c>
      <c r="B1512">
        <f>loans_pred_opti_data!D1512*loans_pred_opti_data!B1512</f>
        <v>329.30737299024332</v>
      </c>
      <c r="C1512">
        <f>(loans_pred_opti_data!B1512-ret_PESS!$G$35*loans_pred_opti_data!C1512)*loans_pred_opti_data!D1512</f>
        <v>212.72243138752921</v>
      </c>
    </row>
    <row r="1513" spans="1:3" x14ac:dyDescent="0.2">
      <c r="A1513" s="1">
        <v>0</v>
      </c>
      <c r="B1513">
        <f>loans_pred_opti_data!D1513*loans_pred_opti_data!B1513</f>
        <v>382.26593028087598</v>
      </c>
      <c r="C1513">
        <f>(loans_pred_opti_data!B1513-ret_PESS!$G$35*loans_pred_opti_data!C1513)*loans_pred_opti_data!D1513</f>
        <v>307.29169130806952</v>
      </c>
    </row>
    <row r="1514" spans="1:3" x14ac:dyDescent="0.2">
      <c r="A1514" s="1">
        <v>0</v>
      </c>
      <c r="B1514">
        <f>loans_pred_opti_data!D1514*loans_pred_opti_data!B1514</f>
        <v>39.355875791678095</v>
      </c>
      <c r="C1514">
        <f>(loans_pred_opti_data!B1514-ret_PESS!$G$35*loans_pred_opti_data!C1514)*loans_pred_opti_data!D1514</f>
        <v>31.858451894397447</v>
      </c>
    </row>
    <row r="1515" spans="1:3" x14ac:dyDescent="0.2">
      <c r="A1515" s="1">
        <v>1</v>
      </c>
      <c r="B1515">
        <f>loans_pred_opti_data!D1515*loans_pred_opti_data!B1515</f>
        <v>403.18169737073282</v>
      </c>
      <c r="C1515">
        <f>(loans_pred_opti_data!B1515-ret_PESS!$G$35*loans_pred_opti_data!C1515)*loans_pred_opti_data!D1515</f>
        <v>313.21261060336502</v>
      </c>
    </row>
    <row r="1516" spans="1:3" x14ac:dyDescent="0.2">
      <c r="A1516" s="1">
        <v>0</v>
      </c>
      <c r="B1516">
        <f>loans_pred_opti_data!D1516*loans_pred_opti_data!B1516</f>
        <v>871.73815695472251</v>
      </c>
      <c r="C1516">
        <f>(loans_pred_opti_data!B1516-ret_PESS!$G$35*loans_pred_opti_data!C1516)*loans_pred_opti_data!D1516</f>
        <v>679.10271040407099</v>
      </c>
    </row>
    <row r="1517" spans="1:3" x14ac:dyDescent="0.2">
      <c r="A1517" s="1">
        <v>0</v>
      </c>
      <c r="B1517">
        <f>loans_pred_opti_data!D1517*loans_pred_opti_data!B1517</f>
        <v>450.357106293306</v>
      </c>
      <c r="C1517">
        <f>(loans_pred_opti_data!B1517-ret_PESS!$G$35*loans_pred_opti_data!C1517)*loans_pred_opti_data!D1517</f>
        <v>396.41254998860569</v>
      </c>
    </row>
    <row r="1518" spans="1:3" x14ac:dyDescent="0.2">
      <c r="A1518" s="1">
        <v>0</v>
      </c>
      <c r="B1518">
        <f>loans_pred_opti_data!D1518*loans_pred_opti_data!B1518</f>
        <v>555.25618483360802</v>
      </c>
      <c r="C1518">
        <f>(loans_pred_opti_data!B1518-ret_PESS!$G$35*loans_pred_opti_data!C1518)*loans_pred_opti_data!D1518</f>
        <v>447.36707222420745</v>
      </c>
    </row>
    <row r="1519" spans="1:3" x14ac:dyDescent="0.2">
      <c r="A1519" s="1">
        <v>0</v>
      </c>
      <c r="B1519">
        <f>loans_pred_opti_data!D1519*loans_pred_opti_data!B1519</f>
        <v>278.84771631444181</v>
      </c>
      <c r="C1519">
        <f>(loans_pred_opti_data!B1519-ret_PESS!$G$35*loans_pred_opti_data!C1519)*loans_pred_opti_data!D1519</f>
        <v>179.61029915217981</v>
      </c>
    </row>
    <row r="1520" spans="1:3" x14ac:dyDescent="0.2">
      <c r="A1520" s="1">
        <v>0</v>
      </c>
      <c r="B1520">
        <f>loans_pred_opti_data!D1520*loans_pred_opti_data!B1520</f>
        <v>306.46215934341603</v>
      </c>
      <c r="C1520">
        <f>(loans_pred_opti_data!B1520-ret_PESS!$G$35*loans_pred_opti_data!C1520)*loans_pred_opti_data!D1520</f>
        <v>231.48792037060952</v>
      </c>
    </row>
    <row r="1521" spans="1:3" x14ac:dyDescent="0.2">
      <c r="A1521" s="1">
        <v>1</v>
      </c>
      <c r="B1521">
        <f>loans_pred_opti_data!D1521*loans_pred_opti_data!B1521</f>
        <v>411.57722382330297</v>
      </c>
      <c r="C1521">
        <f>(loans_pred_opti_data!B1521-ret_PESS!$G$35*loans_pred_opti_data!C1521)*loans_pred_opti_data!D1521</f>
        <v>299.11586536409322</v>
      </c>
    </row>
    <row r="1522" spans="1:3" x14ac:dyDescent="0.2">
      <c r="A1522" s="1">
        <v>0</v>
      </c>
      <c r="B1522">
        <f>loans_pred_opti_data!D1522*loans_pred_opti_data!B1522</f>
        <v>37.849193969034353</v>
      </c>
      <c r="C1522">
        <f>(loans_pred_opti_data!B1522-ret_PESS!$G$35*loans_pred_opti_data!C1522)*loans_pred_opti_data!D1522</f>
        <v>-258.9461888841779</v>
      </c>
    </row>
    <row r="1523" spans="1:3" x14ac:dyDescent="0.2">
      <c r="A1523" s="1">
        <v>0</v>
      </c>
      <c r="B1523">
        <f>loans_pred_opti_data!D1523*loans_pred_opti_data!B1523</f>
        <v>323.93135356510368</v>
      </c>
      <c r="C1523">
        <f>(loans_pred_opti_data!B1523-ret_PESS!$G$35*loans_pred_opti_data!C1523)*loans_pred_opti_data!D1523</f>
        <v>245.68254824619484</v>
      </c>
    </row>
    <row r="1524" spans="1:3" x14ac:dyDescent="0.2">
      <c r="A1524" s="1">
        <v>0</v>
      </c>
      <c r="B1524">
        <f>loans_pred_opti_data!D1524*loans_pred_opti_data!B1524</f>
        <v>278.62566971459779</v>
      </c>
      <c r="C1524">
        <f>(loans_pred_opti_data!B1524-ret_PESS!$G$35*loans_pred_opti_data!C1524)*loans_pred_opti_data!D1524</f>
        <v>192.40529489587036</v>
      </c>
    </row>
    <row r="1525" spans="1:3" x14ac:dyDescent="0.2">
      <c r="A1525" s="1">
        <v>0</v>
      </c>
      <c r="B1525">
        <f>loans_pred_opti_data!D1525*loans_pred_opti_data!B1525</f>
        <v>294.3604232790816</v>
      </c>
      <c r="C1525">
        <f>(loans_pred_opti_data!B1525-ret_PESS!$G$35*loans_pred_opti_data!C1525)*loans_pred_opti_data!D1525</f>
        <v>229.15308551332419</v>
      </c>
    </row>
    <row r="1526" spans="1:3" x14ac:dyDescent="0.2">
      <c r="A1526" s="1">
        <v>0</v>
      </c>
      <c r="B1526">
        <f>loans_pred_opti_data!D1526*loans_pred_opti_data!B1526</f>
        <v>68.954512140051193</v>
      </c>
      <c r="C1526">
        <f>(loans_pred_opti_data!B1526-ret_PESS!$G$35*loans_pred_opti_data!C1526)*loans_pred_opti_data!D1526</f>
        <v>-114.21063842078838</v>
      </c>
    </row>
    <row r="1527" spans="1:3" x14ac:dyDescent="0.2">
      <c r="A1527" s="1">
        <v>0</v>
      </c>
      <c r="B1527">
        <f>loans_pred_opti_data!D1527*loans_pred_opti_data!B1527</f>
        <v>172.2969889384056</v>
      </c>
      <c r="C1527">
        <f>(loans_pred_opti_data!B1527-ret_PESS!$G$35*loans_pred_opti_data!C1527)*loans_pred_opti_data!D1527</f>
        <v>108.56888581152008</v>
      </c>
    </row>
    <row r="1528" spans="1:3" x14ac:dyDescent="0.2">
      <c r="A1528" s="1">
        <v>1</v>
      </c>
      <c r="B1528">
        <f>loans_pred_opti_data!D1528*loans_pred_opti_data!B1528</f>
        <v>156.42146765494718</v>
      </c>
      <c r="C1528">
        <f>(loans_pred_opti_data!B1528-ret_PESS!$G$35*loans_pred_opti_data!C1528)*loans_pred_opti_data!D1528</f>
        <v>48.532355045546595</v>
      </c>
    </row>
    <row r="1529" spans="1:3" x14ac:dyDescent="0.2">
      <c r="A1529" s="1">
        <v>1</v>
      </c>
      <c r="B1529">
        <f>loans_pred_opti_data!D1529*loans_pred_opti_data!B1529</f>
        <v>190.91199812379477</v>
      </c>
      <c r="C1529">
        <f>(loans_pred_opti_data!B1529-ret_PESS!$G$35*loans_pred_opti_data!C1529)*loans_pred_opti_data!D1529</f>
        <v>142.00649479947674</v>
      </c>
    </row>
    <row r="1530" spans="1:3" x14ac:dyDescent="0.2">
      <c r="A1530" s="1">
        <v>0</v>
      </c>
      <c r="B1530">
        <f>loans_pred_opti_data!D1530*loans_pred_opti_data!B1530</f>
        <v>92.167971251183602</v>
      </c>
      <c r="C1530">
        <f>(loans_pred_opti_data!B1530-ret_PESS!$G$35*loans_pred_opti_data!C1530)*loans_pred_opti_data!D1530</f>
        <v>-77.42939037922342</v>
      </c>
    </row>
    <row r="1531" spans="1:3" x14ac:dyDescent="0.2">
      <c r="A1531" s="1">
        <v>0</v>
      </c>
      <c r="B1531">
        <f>loans_pred_opti_data!D1531*loans_pred_opti_data!B1531</f>
        <v>529.03476331393199</v>
      </c>
      <c r="C1531">
        <f>(loans_pred_opti_data!B1531-ret_PESS!$G$35*loans_pred_opti_data!C1531)*loans_pred_opti_data!D1531</f>
        <v>464.30129574829164</v>
      </c>
    </row>
    <row r="1532" spans="1:3" x14ac:dyDescent="0.2">
      <c r="A1532" s="1">
        <v>0</v>
      </c>
      <c r="B1532">
        <f>loans_pred_opti_data!D1532*loans_pred_opti_data!B1532</f>
        <v>87.537619614788426</v>
      </c>
      <c r="C1532">
        <f>(loans_pred_opti_data!B1532-ret_PESS!$G$35*loans_pred_opti_data!C1532)*loans_pred_opti_data!D1532</f>
        <v>56.156588315017693</v>
      </c>
    </row>
    <row r="1533" spans="1:3" x14ac:dyDescent="0.2">
      <c r="A1533" s="1">
        <v>0</v>
      </c>
      <c r="B1533">
        <f>loans_pred_opti_data!D1533*loans_pred_opti_data!B1533</f>
        <v>304.03196998303923</v>
      </c>
      <c r="C1533">
        <f>(loans_pred_opti_data!B1533-ret_PESS!$G$35*loans_pred_opti_data!C1533)*loans_pred_opti_data!D1533</f>
        <v>214.06288321567143</v>
      </c>
    </row>
    <row r="1534" spans="1:3" x14ac:dyDescent="0.2">
      <c r="A1534" s="1">
        <v>0</v>
      </c>
      <c r="B1534">
        <f>loans_pred_opti_data!D1534*loans_pred_opti_data!B1534</f>
        <v>362.97535593004397</v>
      </c>
      <c r="C1534">
        <f>(loans_pred_opti_data!B1534-ret_PESS!$G$35*loans_pred_opti_data!C1534)*loans_pred_opti_data!D1534</f>
        <v>265.50884526539551</v>
      </c>
    </row>
    <row r="1535" spans="1:3" x14ac:dyDescent="0.2">
      <c r="A1535" s="1">
        <v>0</v>
      </c>
      <c r="B1535">
        <f>loans_pred_opti_data!D1535*loans_pred_opti_data!B1535</f>
        <v>210.6031725170991</v>
      </c>
      <c r="C1535">
        <f>(loans_pred_opti_data!B1535-ret_PESS!$G$35*loans_pred_opti_data!C1535)*loans_pred_opti_data!D1535</f>
        <v>-43.792869928511422</v>
      </c>
    </row>
    <row r="1536" spans="1:3" x14ac:dyDescent="0.2">
      <c r="A1536" s="1">
        <v>0</v>
      </c>
      <c r="B1536">
        <f>loans_pred_opti_data!D1536*loans_pred_opti_data!B1536</f>
        <v>694.63318074198196</v>
      </c>
      <c r="C1536">
        <f>(loans_pred_opti_data!B1536-ret_PESS!$G$35*loans_pred_opti_data!C1536)*loans_pred_opti_data!D1536</f>
        <v>586.74406813258145</v>
      </c>
    </row>
    <row r="1537" spans="1:3" x14ac:dyDescent="0.2">
      <c r="A1537" s="1">
        <v>0</v>
      </c>
      <c r="B1537">
        <f>loans_pred_opti_data!D1537*loans_pred_opti_data!B1537</f>
        <v>302.37599493879998</v>
      </c>
      <c r="C1537">
        <f>(loans_pred_opti_data!B1537-ret_PESS!$G$35*loans_pred_opti_data!C1537)*loans_pred_opti_data!D1537</f>
        <v>225.32181631853939</v>
      </c>
    </row>
    <row r="1538" spans="1:3" x14ac:dyDescent="0.2">
      <c r="A1538" s="1">
        <v>0</v>
      </c>
      <c r="B1538">
        <f>loans_pred_opti_data!D1538*loans_pred_opti_data!B1538</f>
        <v>18.130451721001933</v>
      </c>
      <c r="C1538">
        <f>(loans_pred_opti_data!B1538-ret_PESS!$G$35*loans_pred_opti_data!C1538)*loans_pred_opti_data!D1538</f>
        <v>10.445592226289268</v>
      </c>
    </row>
    <row r="1539" spans="1:3" x14ac:dyDescent="0.2">
      <c r="A1539" s="1">
        <v>0</v>
      </c>
      <c r="B1539">
        <f>loans_pred_opti_data!D1539*loans_pred_opti_data!B1539</f>
        <v>-80.390352219839002</v>
      </c>
      <c r="C1539">
        <f>(loans_pred_opti_data!B1539-ret_PESS!$G$35*loans_pred_opti_data!C1539)*loans_pred_opti_data!D1539</f>
        <v>-292.38705425784775</v>
      </c>
    </row>
    <row r="1540" spans="1:3" x14ac:dyDescent="0.2">
      <c r="A1540" s="1">
        <v>0</v>
      </c>
      <c r="B1540">
        <f>loans_pred_opti_data!D1540*loans_pred_opti_data!B1540</f>
        <v>141.46482916413919</v>
      </c>
      <c r="C1540">
        <f>(loans_pred_opti_data!B1540-ret_PESS!$G$35*loans_pred_opti_data!C1540)*loans_pred_opti_data!D1540</f>
        <v>18.178143371722228</v>
      </c>
    </row>
    <row r="1541" spans="1:3" x14ac:dyDescent="0.2">
      <c r="A1541" s="1">
        <v>0</v>
      </c>
      <c r="B1541">
        <f>loans_pred_opti_data!D1541*loans_pred_opti_data!B1541</f>
        <v>333.53117702163553</v>
      </c>
      <c r="C1541">
        <f>(loans_pred_opti_data!B1541-ret_PESS!$G$35*loans_pred_opti_data!C1541)*loans_pred_opti_data!D1541</f>
        <v>255.28237170272666</v>
      </c>
    </row>
    <row r="1542" spans="1:3" x14ac:dyDescent="0.2">
      <c r="A1542" s="1">
        <v>0</v>
      </c>
      <c r="B1542">
        <f>loans_pred_opti_data!D1542*loans_pred_opti_data!B1542</f>
        <v>136.51196945588327</v>
      </c>
      <c r="C1542">
        <f>(loans_pred_opti_data!B1542-ret_PESS!$G$35*loans_pred_opti_data!C1542)*loans_pred_opti_data!D1542</f>
        <v>90.866833019853104</v>
      </c>
    </row>
    <row r="1543" spans="1:3" x14ac:dyDescent="0.2">
      <c r="A1543" s="1">
        <v>0</v>
      </c>
      <c r="B1543">
        <f>loans_pred_opti_data!D1543*loans_pred_opti_data!B1543</f>
        <v>933.63725016760804</v>
      </c>
      <c r="C1543">
        <f>(loans_pred_opti_data!B1543-ret_PESS!$G$35*loans_pred_opti_data!C1543)*loans_pred_opti_data!D1543</f>
        <v>679.24120772199751</v>
      </c>
    </row>
    <row r="1544" spans="1:3" x14ac:dyDescent="0.2">
      <c r="A1544" s="1">
        <v>0</v>
      </c>
      <c r="B1544">
        <f>loans_pred_opti_data!D1544*loans_pred_opti_data!B1544</f>
        <v>86.793958937973002</v>
      </c>
      <c r="C1544">
        <f>(loans_pred_opti_data!B1544-ret_PESS!$G$35*loans_pred_opti_data!C1544)*loans_pred_opti_data!D1544</f>
        <v>46.039372834374646</v>
      </c>
    </row>
    <row r="1545" spans="1:3" x14ac:dyDescent="0.2">
      <c r="A1545" s="1">
        <v>0</v>
      </c>
      <c r="B1545">
        <f>loans_pred_opti_data!D1545*loans_pred_opti_data!B1545</f>
        <v>-83.430655211035912</v>
      </c>
      <c r="C1545">
        <f>(loans_pred_opti_data!B1545-ret_PESS!$G$35*loans_pred_opti_data!C1545)*loans_pred_opti_data!D1545</f>
        <v>-207.7321428270109</v>
      </c>
    </row>
    <row r="1546" spans="1:3" x14ac:dyDescent="0.2">
      <c r="A1546" s="1">
        <v>0</v>
      </c>
      <c r="B1546">
        <f>loans_pred_opti_data!D1546*loans_pred_opti_data!B1546</f>
        <v>638.22038668565006</v>
      </c>
      <c r="C1546">
        <f>(loans_pred_opti_data!B1546-ret_PESS!$G$35*loans_pred_opti_data!C1546)*loans_pred_opti_data!D1546</f>
        <v>426.22368464764122</v>
      </c>
    </row>
    <row r="1547" spans="1:3" x14ac:dyDescent="0.2">
      <c r="A1547" s="1">
        <v>0</v>
      </c>
      <c r="B1547">
        <f>loans_pred_opti_data!D1547*loans_pred_opti_data!B1547</f>
        <v>182.78875248146642</v>
      </c>
      <c r="C1547">
        <f>(loans_pred_opti_data!B1547-ret_PESS!$G$35*loans_pred_opti_data!C1547)*loans_pred_opti_data!D1547</f>
        <v>113.43999172323187</v>
      </c>
    </row>
    <row r="1548" spans="1:3" x14ac:dyDescent="0.2">
      <c r="A1548" s="1">
        <v>0</v>
      </c>
      <c r="B1548">
        <f>loans_pred_opti_data!D1548*loans_pred_opti_data!B1548</f>
        <v>-82.109016755176626</v>
      </c>
      <c r="C1548">
        <f>(loans_pred_opti_data!B1548-ret_PESS!$G$35*loans_pred_opti_data!C1548)*loans_pred_opti_data!D1548</f>
        <v>-247.05234249535096</v>
      </c>
    </row>
    <row r="1549" spans="1:3" x14ac:dyDescent="0.2">
      <c r="A1549" s="1">
        <v>0</v>
      </c>
      <c r="B1549">
        <f>loans_pred_opti_data!D1549*loans_pred_opti_data!B1549</f>
        <v>139.57888814364119</v>
      </c>
      <c r="C1549">
        <f>(loans_pred_opti_data!B1549-ret_PESS!$G$35*loans_pred_opti_data!C1549)*loans_pred_opti_data!D1549</f>
        <v>90.673384819323189</v>
      </c>
    </row>
    <row r="1550" spans="1:3" x14ac:dyDescent="0.2">
      <c r="A1550" s="1">
        <v>1</v>
      </c>
      <c r="B1550">
        <f>loans_pred_opti_data!D1550*loans_pred_opti_data!B1550</f>
        <v>302.84934225758855</v>
      </c>
      <c r="C1550">
        <f>(loans_pred_opti_data!B1550-ret_PESS!$G$35*loans_pred_opti_data!C1550)*loans_pred_opti_data!D1550</f>
        <v>180.58558394679346</v>
      </c>
    </row>
    <row r="1551" spans="1:3" x14ac:dyDescent="0.2">
      <c r="A1551" s="1">
        <v>0</v>
      </c>
      <c r="B1551">
        <f>loans_pred_opti_data!D1551*loans_pred_opti_data!B1551</f>
        <v>702.50374890432431</v>
      </c>
      <c r="C1551">
        <f>(loans_pred_opti_data!B1551-ret_PESS!$G$35*loans_pred_opti_data!C1551)*loans_pred_opti_data!D1551</f>
        <v>515.94665111087659</v>
      </c>
    </row>
    <row r="1552" spans="1:3" x14ac:dyDescent="0.2">
      <c r="A1552" s="1">
        <v>0</v>
      </c>
      <c r="B1552">
        <f>loans_pred_opti_data!D1552*loans_pred_opti_data!B1552</f>
        <v>217.892872831316</v>
      </c>
      <c r="C1552">
        <f>(loans_pred_opti_data!B1552-ret_PESS!$G$35*loans_pred_opti_data!C1552)*loans_pred_opti_data!D1552</f>
        <v>136.38370062411929</v>
      </c>
    </row>
    <row r="1553" spans="1:3" x14ac:dyDescent="0.2">
      <c r="A1553" s="1">
        <v>0</v>
      </c>
      <c r="B1553">
        <f>loans_pred_opti_data!D1553*loans_pred_opti_data!B1553</f>
        <v>310.07140776019077</v>
      </c>
      <c r="C1553">
        <f>(loans_pred_opti_data!B1553-ret_PESS!$G$35*loans_pred_opti_data!C1553)*loans_pred_opti_data!D1553</f>
        <v>212.26040111155473</v>
      </c>
    </row>
    <row r="1554" spans="1:3" x14ac:dyDescent="0.2">
      <c r="A1554" s="1">
        <v>0</v>
      </c>
      <c r="B1554">
        <f>loans_pred_opti_data!D1554*loans_pred_opti_data!B1554</f>
        <v>290.50845982826803</v>
      </c>
      <c r="C1554">
        <f>(loans_pred_opti_data!B1554-ret_PESS!$G$35*loans_pred_opti_data!C1554)*loans_pred_opti_data!D1554</f>
        <v>215.53422085546148</v>
      </c>
    </row>
    <row r="1555" spans="1:3" x14ac:dyDescent="0.2">
      <c r="A1555" s="1">
        <v>0</v>
      </c>
      <c r="B1555">
        <f>loans_pred_opti_data!D1555*loans_pred_opti_data!B1555</f>
        <v>280.29968916500144</v>
      </c>
      <c r="C1555">
        <f>(loans_pred_opti_data!B1555-ret_PESS!$G$35*loans_pred_opti_data!C1555)*loans_pred_opti_data!D1555</f>
        <v>185.35727006872892</v>
      </c>
    </row>
    <row r="1556" spans="1:3" x14ac:dyDescent="0.2">
      <c r="A1556" s="1">
        <v>0</v>
      </c>
      <c r="B1556">
        <f>loans_pred_opti_data!D1556*loans_pred_opti_data!B1556</f>
        <v>-41.190680529940146</v>
      </c>
      <c r="C1556">
        <f>(loans_pred_opti_data!B1556-ret_PESS!$G$35*loans_pred_opti_data!C1556)*loans_pred_opti_data!D1556</f>
        <v>-125.16182817948342</v>
      </c>
    </row>
    <row r="1557" spans="1:3" x14ac:dyDescent="0.2">
      <c r="A1557" s="1">
        <v>0</v>
      </c>
      <c r="B1557">
        <f>loans_pred_opti_data!D1557*loans_pred_opti_data!B1557</f>
        <v>281.36920960911959</v>
      </c>
      <c r="C1557">
        <f>(loans_pred_opti_data!B1557-ret_PESS!$G$35*loans_pred_opti_data!C1557)*loans_pred_opti_data!D1557</f>
        <v>200.39703151848857</v>
      </c>
    </row>
    <row r="1558" spans="1:3" x14ac:dyDescent="0.2">
      <c r="A1558" s="1">
        <v>0</v>
      </c>
      <c r="B1558">
        <f>loans_pred_opti_data!D1558*loans_pred_opti_data!B1558</f>
        <v>180.37925042582469</v>
      </c>
      <c r="C1558">
        <f>(loans_pred_opti_data!B1558-ret_PESS!$G$35*loans_pred_opti_data!C1558)*loans_pred_opti_data!D1558</f>
        <v>137.83136980875702</v>
      </c>
    </row>
    <row r="1559" spans="1:3" x14ac:dyDescent="0.2">
      <c r="A1559" s="1">
        <v>0</v>
      </c>
      <c r="B1559">
        <f>loans_pred_opti_data!D1559*loans_pred_opti_data!B1559</f>
        <v>-109.82318776177945</v>
      </c>
      <c r="C1559">
        <f>(loans_pred_opti_data!B1559-ret_PESS!$G$35*loans_pred_opti_data!C1559)*loans_pred_opti_data!D1559</f>
        <v>-313.34002171826785</v>
      </c>
    </row>
    <row r="1560" spans="1:3" x14ac:dyDescent="0.2">
      <c r="A1560" s="1">
        <v>0</v>
      </c>
      <c r="B1560">
        <f>loans_pred_opti_data!D1560*loans_pred_opti_data!B1560</f>
        <v>331.24666665573397</v>
      </c>
      <c r="C1560">
        <f>(loans_pred_opti_data!B1560-ret_PESS!$G$35*loans_pred_opti_data!C1560)*loans_pred_opti_data!D1560</f>
        <v>254.19248803547339</v>
      </c>
    </row>
    <row r="1561" spans="1:3" x14ac:dyDescent="0.2">
      <c r="A1561" s="1">
        <v>0</v>
      </c>
      <c r="B1561">
        <f>loans_pred_opti_data!D1561*loans_pred_opti_data!B1561</f>
        <v>379.98878215674483</v>
      </c>
      <c r="C1561">
        <f>(loans_pred_opti_data!B1561-ret_PESS!$G$35*loans_pred_opti_data!C1561)*loans_pred_opti_data!D1561</f>
        <v>300.70352444300198</v>
      </c>
    </row>
    <row r="1562" spans="1:3" x14ac:dyDescent="0.2">
      <c r="A1562" s="1">
        <v>0</v>
      </c>
      <c r="B1562">
        <f>loans_pred_opti_data!D1562*loans_pred_opti_data!B1562</f>
        <v>73.5338679665565</v>
      </c>
      <c r="C1562">
        <f>(loans_pred_opti_data!B1562-ret_PESS!$G$35*loans_pred_opti_data!C1562)*loans_pred_opti_data!D1562</f>
        <v>49.081116304397483</v>
      </c>
    </row>
    <row r="1563" spans="1:3" x14ac:dyDescent="0.2">
      <c r="A1563" s="1">
        <v>0</v>
      </c>
      <c r="B1563">
        <f>loans_pred_opti_data!D1563*loans_pred_opti_data!B1563</f>
        <v>118.69118810706848</v>
      </c>
      <c r="C1563">
        <f>(loans_pred_opti_data!B1563-ret_PESS!$G$35*loans_pred_opti_data!C1563)*loans_pred_opti_data!D1563</f>
        <v>61.634767562030795</v>
      </c>
    </row>
    <row r="1564" spans="1:3" x14ac:dyDescent="0.2">
      <c r="A1564" s="1">
        <v>0</v>
      </c>
      <c r="B1564">
        <f>loans_pred_opti_data!D1564*loans_pred_opti_data!B1564</f>
        <v>321.44612939264914</v>
      </c>
      <c r="C1564">
        <f>(loans_pred_opti_data!B1564-ret_PESS!$G$35*loans_pred_opti_data!C1564)*loans_pred_opti_data!D1564</f>
        <v>247.97137519929876</v>
      </c>
    </row>
    <row r="1565" spans="1:3" x14ac:dyDescent="0.2">
      <c r="A1565" s="1">
        <v>0</v>
      </c>
      <c r="B1565">
        <f>loans_pred_opti_data!D1565*loans_pred_opti_data!B1565</f>
        <v>89.220131319926594</v>
      </c>
      <c r="C1565">
        <f>(loans_pred_opti_data!B1565-ret_PESS!$G$35*loans_pred_opti_data!C1565)*loans_pred_opti_data!D1565</f>
        <v>66.397563101911516</v>
      </c>
    </row>
    <row r="1566" spans="1:3" x14ac:dyDescent="0.2">
      <c r="A1566" s="1">
        <v>0</v>
      </c>
      <c r="B1566">
        <f>loans_pred_opti_data!D1566*loans_pred_opti_data!B1566</f>
        <v>336.60849014974917</v>
      </c>
      <c r="C1566">
        <f>(loans_pred_opti_data!B1566-ret_PESS!$G$35*loans_pred_opti_data!C1566)*loans_pred_opti_data!D1566</f>
        <v>238.79748350111316</v>
      </c>
    </row>
    <row r="1567" spans="1:3" x14ac:dyDescent="0.2">
      <c r="A1567" s="1">
        <v>0</v>
      </c>
      <c r="B1567">
        <f>loans_pred_opti_data!D1567*loans_pred_opti_data!B1567</f>
        <v>620.96954568729927</v>
      </c>
      <c r="C1567">
        <f>(loans_pred_opti_data!B1567-ret_PESS!$G$35*loans_pred_opti_data!C1567)*loans_pred_opti_data!D1567</f>
        <v>487.32796471827174</v>
      </c>
    </row>
    <row r="1568" spans="1:3" x14ac:dyDescent="0.2">
      <c r="A1568" s="1">
        <v>0</v>
      </c>
      <c r="B1568">
        <f>loans_pred_opti_data!D1568*loans_pred_opti_data!B1568</f>
        <v>467.63088406655402</v>
      </c>
      <c r="C1568">
        <f>(loans_pred_opti_data!B1568-ret_PESS!$G$35*loans_pred_opti_data!C1568)*loans_pred_opti_data!D1568</f>
        <v>386.71404960950355</v>
      </c>
    </row>
    <row r="1569" spans="1:3" x14ac:dyDescent="0.2">
      <c r="A1569" s="1">
        <v>0</v>
      </c>
      <c r="B1569">
        <f>loans_pred_opti_data!D1569*loans_pred_opti_data!B1569</f>
        <v>600.17642767291227</v>
      </c>
      <c r="C1569">
        <f>(loans_pred_opti_data!B1569-ret_PESS!$G$35*loans_pred_opti_data!C1569)*loans_pred_opti_data!D1569</f>
        <v>486.89285943304162</v>
      </c>
    </row>
    <row r="1570" spans="1:3" x14ac:dyDescent="0.2">
      <c r="A1570" s="1">
        <v>0</v>
      </c>
      <c r="B1570">
        <f>loans_pred_opti_data!D1570*loans_pred_opti_data!B1570</f>
        <v>217.11789302976575</v>
      </c>
      <c r="C1570">
        <f>(loans_pred_opti_data!B1570-ret_PESS!$G$35*loans_pred_opti_data!C1570)*loans_pred_opti_data!D1570</f>
        <v>169.13438008716957</v>
      </c>
    </row>
    <row r="1571" spans="1:3" x14ac:dyDescent="0.2">
      <c r="A1571" s="1">
        <v>0</v>
      </c>
      <c r="B1571">
        <f>loans_pred_opti_data!D1571*loans_pred_opti_data!B1571</f>
        <v>450.44246207580022</v>
      </c>
      <c r="C1571">
        <f>(loans_pred_opti_data!B1571-ret_PESS!$G$35*loans_pred_opti_data!C1571)*loans_pred_opti_data!D1571</f>
        <v>320.54959305541297</v>
      </c>
    </row>
    <row r="1572" spans="1:3" x14ac:dyDescent="0.2">
      <c r="A1572" s="1">
        <v>0</v>
      </c>
      <c r="B1572">
        <f>loans_pred_opti_data!D1572*loans_pred_opti_data!B1572</f>
        <v>815.33341753900675</v>
      </c>
      <c r="C1572">
        <f>(loans_pred_opti_data!B1572-ret_PESS!$G$35*loans_pred_opti_data!C1572)*loans_pred_opti_data!D1572</f>
        <v>698.13886896704537</v>
      </c>
    </row>
    <row r="1573" spans="1:3" x14ac:dyDescent="0.2">
      <c r="A1573" s="1">
        <v>0</v>
      </c>
      <c r="B1573">
        <f>loans_pred_opti_data!D1573*loans_pred_opti_data!B1573</f>
        <v>180.19330891567125</v>
      </c>
      <c r="C1573">
        <f>(loans_pred_opti_data!B1573-ret_PESS!$G$35*loans_pred_opti_data!C1573)*loans_pred_opti_data!D1573</f>
        <v>78.306843656675369</v>
      </c>
    </row>
    <row r="1574" spans="1:3" x14ac:dyDescent="0.2">
      <c r="A1574" s="1">
        <v>0</v>
      </c>
      <c r="B1574">
        <f>loans_pred_opti_data!D1574*loans_pred_opti_data!B1574</f>
        <v>1398.869392974432</v>
      </c>
      <c r="C1574">
        <f>(loans_pred_opti_data!B1574-ret_PESS!$G$35*loans_pred_opti_data!C1574)*loans_pred_opti_data!D1574</f>
        <v>1103.7699837375239</v>
      </c>
    </row>
    <row r="1575" spans="1:3" x14ac:dyDescent="0.2">
      <c r="A1575" s="1">
        <v>0</v>
      </c>
      <c r="B1575">
        <f>loans_pred_opti_data!D1575*loans_pred_opti_data!B1575</f>
        <v>362.90250041617253</v>
      </c>
      <c r="C1575">
        <f>(loans_pred_opti_data!B1575-ret_PESS!$G$35*loans_pred_opti_data!C1575)*loans_pred_opti_data!D1575</f>
        <v>66.107117562960227</v>
      </c>
    </row>
    <row r="1576" spans="1:3" x14ac:dyDescent="0.2">
      <c r="A1576" s="1">
        <v>0</v>
      </c>
      <c r="B1576">
        <f>loans_pred_opti_data!D1576*loans_pred_opti_data!B1576</f>
        <v>65.628777493279571</v>
      </c>
      <c r="C1576">
        <f>(loans_pred_opti_data!B1576-ret_PESS!$G$35*loans_pred_opti_data!C1576)*loans_pred_opti_data!D1576</f>
        <v>46.881667885624339</v>
      </c>
    </row>
    <row r="1577" spans="1:3" x14ac:dyDescent="0.2">
      <c r="A1577" s="1">
        <v>0</v>
      </c>
      <c r="B1577">
        <f>loans_pred_opti_data!D1577*loans_pred_opti_data!B1577</f>
        <v>158.94617692315319</v>
      </c>
      <c r="C1577">
        <f>(loans_pred_opti_data!B1577-ret_PESS!$G$35*loans_pred_opti_data!C1577)*loans_pred_opti_data!D1577</f>
        <v>128.9564813340306</v>
      </c>
    </row>
    <row r="1578" spans="1:3" x14ac:dyDescent="0.2">
      <c r="A1578" s="1">
        <v>0</v>
      </c>
      <c r="B1578">
        <f>loans_pred_opti_data!D1578*loans_pred_opti_data!B1578</f>
        <v>189.78164560358428</v>
      </c>
      <c r="C1578">
        <f>(loans_pred_opti_data!B1578-ret_PESS!$G$35*loans_pred_opti_data!C1578)*loans_pred_opti_data!D1578</f>
        <v>150.42017014286088</v>
      </c>
    </row>
    <row r="1579" spans="1:3" x14ac:dyDescent="0.2">
      <c r="A1579" s="1">
        <v>1</v>
      </c>
      <c r="B1579">
        <f>loans_pred_opti_data!D1579*loans_pred_opti_data!B1579</f>
        <v>-37.290247191637953</v>
      </c>
      <c r="C1579">
        <f>(loans_pred_opti_data!B1579-ret_PESS!$G$35*loans_pred_opti_data!C1579)*loans_pred_opti_data!D1579</f>
        <v>-97.199488763927519</v>
      </c>
    </row>
    <row r="1580" spans="1:3" x14ac:dyDescent="0.2">
      <c r="A1580" s="1">
        <v>0</v>
      </c>
      <c r="B1580">
        <f>loans_pred_opti_data!D1580*loans_pred_opti_data!B1580</f>
        <v>284.13365891151301</v>
      </c>
      <c r="C1580">
        <f>(loans_pred_opti_data!B1580-ret_PESS!$G$35*loans_pred_opti_data!C1580)*loans_pred_opti_data!D1580</f>
        <v>202.6244867043163</v>
      </c>
    </row>
    <row r="1581" spans="1:3" x14ac:dyDescent="0.2">
      <c r="A1581" s="1">
        <v>1</v>
      </c>
      <c r="B1581">
        <f>loans_pred_opti_data!D1581*loans_pred_opti_data!B1581</f>
        <v>790.57027083424805</v>
      </c>
      <c r="C1581">
        <f>(loans_pred_opti_data!B1581-ret_PESS!$G$35*loans_pred_opti_data!C1581)*loans_pred_opti_data!D1581</f>
        <v>587.05343687775962</v>
      </c>
    </row>
    <row r="1582" spans="1:3" x14ac:dyDescent="0.2">
      <c r="A1582" s="1">
        <v>0</v>
      </c>
      <c r="B1582">
        <f>loans_pred_opti_data!D1582*loans_pred_opti_data!B1582</f>
        <v>687.00162956376835</v>
      </c>
      <c r="C1582">
        <f>(loans_pred_opti_data!B1582-ret_PESS!$G$35*loans_pred_opti_data!C1582)*loans_pred_opti_data!D1582</f>
        <v>611.47925073718795</v>
      </c>
    </row>
    <row r="1583" spans="1:3" x14ac:dyDescent="0.2">
      <c r="A1583" s="1">
        <v>0</v>
      </c>
      <c r="B1583">
        <f>loans_pred_opti_data!D1583*loans_pred_opti_data!B1583</f>
        <v>348.23864039630786</v>
      </c>
      <c r="C1583">
        <f>(loans_pred_opti_data!B1583-ret_PESS!$G$35*loans_pred_opti_data!C1583)*loans_pred_opti_data!D1583</f>
        <v>276.26337098241362</v>
      </c>
    </row>
    <row r="1584" spans="1:3" x14ac:dyDescent="0.2">
      <c r="A1584" s="1">
        <v>0</v>
      </c>
      <c r="B1584">
        <f>loans_pred_opti_data!D1584*loans_pred_opti_data!B1584</f>
        <v>294.37879199300602</v>
      </c>
      <c r="C1584">
        <f>(loans_pred_opti_data!B1584-ret_PESS!$G$35*loans_pred_opti_data!C1584)*loans_pred_opti_data!D1584</f>
        <v>212.86961978580931</v>
      </c>
    </row>
    <row r="1585" spans="1:3" x14ac:dyDescent="0.2">
      <c r="A1585" s="1">
        <v>0</v>
      </c>
      <c r="B1585">
        <f>loans_pred_opti_data!D1585*loans_pred_opti_data!B1585</f>
        <v>160.791918902611</v>
      </c>
      <c r="C1585">
        <f>(loans_pred_opti_data!B1585-ret_PESS!$G$35*loans_pred_opti_data!C1585)*loans_pred_opti_data!D1585</f>
        <v>85.817679929804498</v>
      </c>
    </row>
    <row r="1586" spans="1:3" x14ac:dyDescent="0.2">
      <c r="A1586" s="1">
        <v>0</v>
      </c>
      <c r="B1586">
        <f>loans_pred_opti_data!D1586*loans_pred_opti_data!B1586</f>
        <v>247.77190894091945</v>
      </c>
      <c r="C1586">
        <f>(loans_pred_opti_data!B1586-ret_PESS!$G$35*loans_pred_opti_data!C1586)*loans_pred_opti_data!D1586</f>
        <v>176.04383739858631</v>
      </c>
    </row>
    <row r="1587" spans="1:3" x14ac:dyDescent="0.2">
      <c r="A1587" s="1">
        <v>0</v>
      </c>
      <c r="B1587">
        <f>loans_pred_opti_data!D1587*loans_pred_opti_data!B1587</f>
        <v>584.51605683739672</v>
      </c>
      <c r="C1587">
        <f>(loans_pred_opti_data!B1587-ret_PESS!$G$35*loans_pred_opti_data!C1587)*loans_pred_opti_data!D1587</f>
        <v>455.04912170611607</v>
      </c>
    </row>
    <row r="1588" spans="1:3" x14ac:dyDescent="0.2">
      <c r="A1588" s="1">
        <v>0</v>
      </c>
      <c r="B1588">
        <f>loans_pred_opti_data!D1588*loans_pred_opti_data!B1588</f>
        <v>464.542471515584</v>
      </c>
      <c r="C1588">
        <f>(loans_pred_opti_data!B1588-ret_PESS!$G$35*loans_pred_opti_data!C1588)*loans_pred_opti_data!D1588</f>
        <v>344.58368915909352</v>
      </c>
    </row>
    <row r="1589" spans="1:3" x14ac:dyDescent="0.2">
      <c r="A1589" s="1">
        <v>0</v>
      </c>
      <c r="B1589">
        <f>loans_pred_opti_data!D1589*loans_pred_opti_data!B1589</f>
        <v>823.29510687842162</v>
      </c>
      <c r="C1589">
        <f>(loans_pred_opti_data!B1589-ret_PESS!$G$35*loans_pred_opti_data!C1589)*loans_pred_opti_data!D1589</f>
        <v>726.19490552996115</v>
      </c>
    </row>
    <row r="1590" spans="1:3" x14ac:dyDescent="0.2">
      <c r="A1590" s="1">
        <v>1</v>
      </c>
      <c r="B1590">
        <f>loans_pred_opti_data!D1590*loans_pred_opti_data!B1590</f>
        <v>142.1779636274064</v>
      </c>
      <c r="C1590">
        <f>(loans_pred_opti_data!B1590-ret_PESS!$G$35*loans_pred_opti_data!C1590)*loans_pred_opti_data!D1590</f>
        <v>109.57429474452771</v>
      </c>
    </row>
    <row r="1591" spans="1:3" x14ac:dyDescent="0.2">
      <c r="A1591" s="1">
        <v>0</v>
      </c>
      <c r="B1591">
        <f>loans_pred_opti_data!D1591*loans_pred_opti_data!B1591</f>
        <v>1052.38511159271</v>
      </c>
      <c r="C1591">
        <f>(loans_pred_opti_data!B1591-ret_PESS!$G$35*loans_pred_opti_data!C1591)*loans_pred_opti_data!D1591</f>
        <v>917.52372083095929</v>
      </c>
    </row>
    <row r="1592" spans="1:3" x14ac:dyDescent="0.2">
      <c r="A1592" s="1">
        <v>0</v>
      </c>
      <c r="B1592">
        <f>loans_pred_opti_data!D1592*loans_pred_opti_data!B1592</f>
        <v>233.90009017852086</v>
      </c>
      <c r="C1592">
        <f>(loans_pred_opti_data!B1592-ret_PESS!$G$35*loans_pred_opti_data!C1592)*loans_pred_opti_data!D1592</f>
        <v>175.79505497459584</v>
      </c>
    </row>
    <row r="1593" spans="1:3" x14ac:dyDescent="0.2">
      <c r="A1593" s="1">
        <v>0</v>
      </c>
      <c r="B1593">
        <f>loans_pred_opti_data!D1593*loans_pred_opti_data!B1593</f>
        <v>198.00926076109633</v>
      </c>
      <c r="C1593">
        <f>(loans_pred_opti_data!B1593-ret_PESS!$G$35*loans_pred_opti_data!C1593)*loans_pred_opti_data!D1593</f>
        <v>129.62367723561505</v>
      </c>
    </row>
    <row r="1594" spans="1:3" x14ac:dyDescent="0.2">
      <c r="A1594" s="1">
        <v>0</v>
      </c>
      <c r="B1594">
        <f>loans_pred_opti_data!D1594*loans_pred_opti_data!B1594</f>
        <v>330.21607781461501</v>
      </c>
      <c r="C1594">
        <f>(loans_pred_opti_data!B1594-ret_PESS!$G$35*loans_pred_opti_data!C1594)*loans_pred_opti_data!D1594</f>
        <v>255.24183884180852</v>
      </c>
    </row>
    <row r="1595" spans="1:3" x14ac:dyDescent="0.2">
      <c r="A1595" s="1">
        <v>0</v>
      </c>
      <c r="B1595">
        <f>loans_pred_opti_data!D1595*loans_pred_opti_data!B1595</f>
        <v>413.67519980238899</v>
      </c>
      <c r="C1595">
        <f>(loans_pred_opti_data!B1595-ret_PESS!$G$35*loans_pred_opti_data!C1595)*loans_pred_opti_data!D1595</f>
        <v>301.21384134317924</v>
      </c>
    </row>
    <row r="1596" spans="1:3" x14ac:dyDescent="0.2">
      <c r="A1596" s="1">
        <v>0</v>
      </c>
      <c r="B1596">
        <f>loans_pred_opti_data!D1596*loans_pred_opti_data!B1596</f>
        <v>462.85293243622499</v>
      </c>
      <c r="C1596">
        <f>(loans_pred_opti_data!B1596-ret_PESS!$G$35*loans_pred_opti_data!C1596)*loans_pred_opti_data!D1596</f>
        <v>350.39157397701524</v>
      </c>
    </row>
    <row r="1597" spans="1:3" x14ac:dyDescent="0.2">
      <c r="A1597" s="1">
        <v>0</v>
      </c>
      <c r="B1597">
        <f>loans_pred_opti_data!D1597*loans_pred_opti_data!B1597</f>
        <v>1128.9182316710367</v>
      </c>
      <c r="C1597">
        <f>(loans_pred_opti_data!B1597-ret_PESS!$G$35*loans_pred_opti_data!C1597)*loans_pred_opti_data!D1597</f>
        <v>866.04232114390584</v>
      </c>
    </row>
    <row r="1598" spans="1:3" x14ac:dyDescent="0.2">
      <c r="A1598" s="1">
        <v>0</v>
      </c>
      <c r="B1598">
        <f>loans_pred_opti_data!D1598*loans_pred_opti_data!B1598</f>
        <v>256.78863469717226</v>
      </c>
      <c r="C1598">
        <f>(loans_pred_opti_data!B1598-ret_PESS!$G$35*loans_pred_opti_data!C1598)*loans_pred_opti_data!D1598</f>
        <v>176.09455421204751</v>
      </c>
    </row>
    <row r="1599" spans="1:3" x14ac:dyDescent="0.2">
      <c r="A1599" s="1">
        <v>1</v>
      </c>
      <c r="B1599">
        <f>loans_pred_opti_data!D1599*loans_pred_opti_data!B1599</f>
        <v>-106.15616024437952</v>
      </c>
      <c r="C1599">
        <f>(loans_pred_opti_data!B1599-ret_PESS!$G$35*loans_pred_opti_data!C1599)*loans_pred_opti_data!D1599</f>
        <v>-241.83404954870514</v>
      </c>
    </row>
    <row r="1600" spans="1:3" x14ac:dyDescent="0.2">
      <c r="A1600" s="1">
        <v>0</v>
      </c>
      <c r="B1600">
        <f>loans_pred_opti_data!D1600*loans_pred_opti_data!B1600</f>
        <v>521.63475285121797</v>
      </c>
      <c r="C1600">
        <f>(loans_pred_opti_data!B1600-ret_PESS!$G$35*loans_pred_opti_data!C1600)*loans_pred_opti_data!D1600</f>
        <v>352.037391220811</v>
      </c>
    </row>
    <row r="1601" spans="1:3" x14ac:dyDescent="0.2">
      <c r="A1601" s="1">
        <v>0</v>
      </c>
      <c r="B1601">
        <f>loans_pred_opti_data!D1601*loans_pred_opti_data!B1601</f>
        <v>502.86548993029567</v>
      </c>
      <c r="C1601">
        <f>(loans_pred_opti_data!B1601-ret_PESS!$G$35*loans_pred_opti_data!C1601)*loans_pred_opti_data!D1601</f>
        <v>317.58037234907601</v>
      </c>
    </row>
    <row r="1602" spans="1:3" x14ac:dyDescent="0.2">
      <c r="A1602" s="1">
        <v>0</v>
      </c>
      <c r="B1602">
        <f>loans_pred_opti_data!D1602*loans_pred_opti_data!B1602</f>
        <v>341.67553144924574</v>
      </c>
      <c r="C1602">
        <f>(loans_pred_opti_data!B1602-ret_PESS!$G$35*loans_pred_opti_data!C1602)*loans_pred_opti_data!D1602</f>
        <v>272.51940613756187</v>
      </c>
    </row>
    <row r="1603" spans="1:3" x14ac:dyDescent="0.2">
      <c r="A1603" s="1">
        <v>0</v>
      </c>
      <c r="B1603">
        <f>loans_pred_opti_data!D1603*loans_pred_opti_data!B1603</f>
        <v>204.47694723634478</v>
      </c>
      <c r="C1603">
        <f>(loans_pred_opti_data!B1603-ret_PESS!$G$35*loans_pred_opti_data!C1603)*loans_pred_opti_data!D1603</f>
        <v>139.26960947058743</v>
      </c>
    </row>
    <row r="1604" spans="1:3" x14ac:dyDescent="0.2">
      <c r="A1604" s="1">
        <v>0</v>
      </c>
      <c r="B1604">
        <f>loans_pred_opti_data!D1604*loans_pred_opti_data!B1604</f>
        <v>331.22846986021352</v>
      </c>
      <c r="C1604">
        <f>(loans_pred_opti_data!B1604-ret_PESS!$G$35*loans_pred_opti_data!C1604)*loans_pred_opti_data!D1604</f>
        <v>263.75165478468767</v>
      </c>
    </row>
    <row r="1605" spans="1:3" x14ac:dyDescent="0.2">
      <c r="A1605" s="1">
        <v>0</v>
      </c>
      <c r="B1605">
        <f>loans_pred_opti_data!D1605*loans_pred_opti_data!B1605</f>
        <v>80.621894412594472</v>
      </c>
      <c r="C1605">
        <f>(loans_pred_opti_data!B1605-ret_PESS!$G$35*loans_pred_opti_data!C1605)*loans_pred_opti_data!D1605</f>
        <v>61.059693082867263</v>
      </c>
    </row>
    <row r="1606" spans="1:3" x14ac:dyDescent="0.2">
      <c r="A1606" s="1">
        <v>0</v>
      </c>
      <c r="B1606">
        <f>loans_pred_opti_data!D1606*loans_pred_opti_data!B1606</f>
        <v>324.46343248823297</v>
      </c>
      <c r="C1606">
        <f>(loans_pred_opti_data!B1606-ret_PESS!$G$35*loans_pred_opti_data!C1606)*loans_pred_opti_data!D1606</f>
        <v>242.95426028103626</v>
      </c>
    </row>
    <row r="1607" spans="1:3" x14ac:dyDescent="0.2">
      <c r="A1607" s="1">
        <v>0</v>
      </c>
      <c r="B1607">
        <f>loans_pred_opti_data!D1607*loans_pred_opti_data!B1607</f>
        <v>213.85611865405272</v>
      </c>
      <c r="C1607">
        <f>(loans_pred_opti_data!B1607-ret_PESS!$G$35*loans_pred_opti_data!C1607)*loans_pred_opti_data!D1607</f>
        <v>156.79969810901503</v>
      </c>
    </row>
    <row r="1608" spans="1:3" x14ac:dyDescent="0.2">
      <c r="A1608" s="1">
        <v>0</v>
      </c>
      <c r="B1608">
        <f>loans_pred_opti_data!D1608*loans_pred_opti_data!B1608</f>
        <v>37.963739702470122</v>
      </c>
      <c r="C1608">
        <f>(loans_pred_opti_data!B1608-ret_PESS!$G$35*loans_pred_opti_data!C1608)*loans_pred_opti_data!D1608</f>
        <v>26.552455593462579</v>
      </c>
    </row>
    <row r="1609" spans="1:3" x14ac:dyDescent="0.2">
      <c r="A1609" s="1">
        <v>0</v>
      </c>
      <c r="B1609">
        <f>loans_pred_opti_data!D1609*loans_pred_opti_data!B1609</f>
        <v>447.577691215323</v>
      </c>
      <c r="C1609">
        <f>(loans_pred_opti_data!B1609-ret_PESS!$G$35*loans_pred_opti_data!C1609)*loans_pred_opti_data!D1609</f>
        <v>325.31393290452792</v>
      </c>
    </row>
    <row r="1610" spans="1:3" x14ac:dyDescent="0.2">
      <c r="A1610" s="1">
        <v>0</v>
      </c>
      <c r="B1610">
        <f>loans_pred_opti_data!D1610*loans_pred_opti_data!B1610</f>
        <v>168.17945358753201</v>
      </c>
      <c r="C1610">
        <f>(loans_pred_opti_data!B1610-ret_PESS!$G$35*loans_pred_opti_data!C1610)*loans_pred_opti_data!D1610</f>
        <v>102.97211582177464</v>
      </c>
    </row>
    <row r="1611" spans="1:3" x14ac:dyDescent="0.2">
      <c r="A1611" s="1">
        <v>0</v>
      </c>
      <c r="B1611">
        <f>loans_pred_opti_data!D1611*loans_pred_opti_data!B1611</f>
        <v>707.42383790978204</v>
      </c>
      <c r="C1611">
        <f>(loans_pred_opti_data!B1611-ret_PESS!$G$35*loans_pred_opti_data!C1611)*loans_pred_opti_data!D1611</f>
        <v>631.90145908320153</v>
      </c>
    </row>
    <row r="1612" spans="1:3" x14ac:dyDescent="0.2">
      <c r="A1612" s="1">
        <v>0</v>
      </c>
      <c r="B1612">
        <f>loans_pred_opti_data!D1612*loans_pred_opti_data!B1612</f>
        <v>97.36133978973541</v>
      </c>
      <c r="C1612">
        <f>(loans_pred_opti_data!B1612-ret_PESS!$G$35*loans_pred_opti_data!C1612)*loans_pred_opti_data!D1612</f>
        <v>48.455836465417384</v>
      </c>
    </row>
    <row r="1613" spans="1:3" x14ac:dyDescent="0.2">
      <c r="A1613" s="1">
        <v>0</v>
      </c>
      <c r="B1613">
        <f>loans_pred_opti_data!D1613*loans_pred_opti_data!B1613</f>
        <v>81.159428700711658</v>
      </c>
      <c r="C1613">
        <f>(loans_pred_opti_data!B1613-ret_PESS!$G$35*loans_pred_opti_data!C1613)*loans_pred_opti_data!D1613</f>
        <v>17.58227437909823</v>
      </c>
    </row>
    <row r="1614" spans="1:3" x14ac:dyDescent="0.2">
      <c r="A1614" s="1">
        <v>0</v>
      </c>
      <c r="B1614">
        <f>loans_pred_opti_data!D1614*loans_pred_opti_data!B1614</f>
        <v>609.29953307569497</v>
      </c>
      <c r="C1614">
        <f>(loans_pred_opti_data!B1614-ret_PESS!$G$35*loans_pred_opti_data!C1614)*loans_pred_opti_data!D1614</f>
        <v>474.43814231394424</v>
      </c>
    </row>
    <row r="1615" spans="1:3" x14ac:dyDescent="0.2">
      <c r="A1615" s="1">
        <v>0</v>
      </c>
      <c r="B1615">
        <f>loans_pred_opti_data!D1615*loans_pred_opti_data!B1615</f>
        <v>515.26322550712348</v>
      </c>
      <c r="C1615">
        <f>(loans_pred_opti_data!B1615-ret_PESS!$G$35*loans_pred_opti_data!C1615)*loans_pred_opti_data!D1615</f>
        <v>392.9994671963284</v>
      </c>
    </row>
    <row r="1616" spans="1:3" x14ac:dyDescent="0.2">
      <c r="A1616" s="1">
        <v>0</v>
      </c>
      <c r="B1616">
        <f>loans_pred_opti_data!D1616*loans_pred_opti_data!B1616</f>
        <v>336.98519084334202</v>
      </c>
      <c r="C1616">
        <f>(loans_pred_opti_data!B1616-ret_PESS!$G$35*loans_pred_opti_data!C1616)*loans_pred_opti_data!D1616</f>
        <v>255.47601863614531</v>
      </c>
    </row>
    <row r="1617" spans="1:3" x14ac:dyDescent="0.2">
      <c r="A1617" s="1">
        <v>0</v>
      </c>
      <c r="B1617">
        <f>loans_pred_opti_data!D1617*loans_pred_opti_data!B1617</f>
        <v>597.79016899325768</v>
      </c>
      <c r="C1617">
        <f>(loans_pred_opti_data!B1617-ret_PESS!$G$35*loans_pred_opti_data!C1617)*loans_pred_opti_data!D1617</f>
        <v>425.1675888182167</v>
      </c>
    </row>
    <row r="1618" spans="1:3" x14ac:dyDescent="0.2">
      <c r="A1618" s="1">
        <v>0</v>
      </c>
      <c r="B1618">
        <f>loans_pred_opti_data!D1618*loans_pred_opti_data!B1618</f>
        <v>222.95634508411342</v>
      </c>
      <c r="C1618">
        <f>(loans_pred_opti_data!B1618-ret_PESS!$G$35*loans_pred_opti_data!C1618)*loans_pred_opti_data!D1618</f>
        <v>168.97489302369277</v>
      </c>
    </row>
    <row r="1619" spans="1:3" x14ac:dyDescent="0.2">
      <c r="A1619" s="1">
        <v>0</v>
      </c>
      <c r="B1619">
        <f>loans_pred_opti_data!D1619*loans_pred_opti_data!B1619</f>
        <v>529.55241778546565</v>
      </c>
      <c r="C1619">
        <f>(loans_pred_opti_data!B1619-ret_PESS!$G$35*loans_pred_opti_data!C1619)*loans_pred_opti_data!D1619</f>
        <v>345.32728371443608</v>
      </c>
    </row>
    <row r="1620" spans="1:3" x14ac:dyDescent="0.2">
      <c r="A1620" s="1">
        <v>0</v>
      </c>
      <c r="B1620">
        <f>loans_pred_opti_data!D1620*loans_pred_opti_data!B1620</f>
        <v>467.04327655950885</v>
      </c>
      <c r="C1620">
        <f>(loans_pred_opti_data!B1620-ret_PESS!$G$35*loans_pred_opti_data!C1620)*loans_pred_opti_data!D1620</f>
        <v>373.03717864279093</v>
      </c>
    </row>
    <row r="1621" spans="1:3" x14ac:dyDescent="0.2">
      <c r="A1621" s="1">
        <v>0</v>
      </c>
      <c r="B1621">
        <f>loans_pred_opti_data!D1621*loans_pred_opti_data!B1621</f>
        <v>510.39958477724321</v>
      </c>
      <c r="C1621">
        <f>(loans_pred_opti_data!B1621-ret_PESS!$G$35*loans_pred_opti_data!C1621)*loans_pred_opti_data!D1621</f>
        <v>390.44080242075285</v>
      </c>
    </row>
    <row r="1622" spans="1:3" x14ac:dyDescent="0.2">
      <c r="A1622" s="1">
        <v>0</v>
      </c>
      <c r="B1622">
        <f>loans_pred_opti_data!D1622*loans_pred_opti_data!B1622</f>
        <v>580.14695970642833</v>
      </c>
      <c r="C1622">
        <f>(loans_pred_opti_data!B1622-ret_PESS!$G$35*loans_pred_opti_data!C1622)*loans_pred_opti_data!D1622</f>
        <v>456.81433659616164</v>
      </c>
    </row>
    <row r="1623" spans="1:3" x14ac:dyDescent="0.2">
      <c r="A1623" s="1">
        <v>0</v>
      </c>
      <c r="B1623">
        <f>loans_pred_opti_data!D1623*loans_pred_opti_data!B1623</f>
        <v>284.261257005875</v>
      </c>
      <c r="C1623">
        <f>(loans_pred_opti_data!B1623-ret_PESS!$G$35*loans_pred_opti_data!C1623)*loans_pred_opti_data!D1623</f>
        <v>209.28701803306853</v>
      </c>
    </row>
    <row r="1624" spans="1:3" x14ac:dyDescent="0.2">
      <c r="A1624" s="1">
        <v>0</v>
      </c>
      <c r="B1624">
        <f>loans_pred_opti_data!D1624*loans_pred_opti_data!B1624</f>
        <v>69.118028945068502</v>
      </c>
      <c r="C1624">
        <f>(loans_pred_opti_data!B1624-ret_PESS!$G$35*loans_pred_opti_data!C1624)*loans_pred_opti_data!D1624</f>
        <v>44.665277282909493</v>
      </c>
    </row>
    <row r="1625" spans="1:3" x14ac:dyDescent="0.2">
      <c r="A1625" s="1">
        <v>0</v>
      </c>
      <c r="B1625">
        <f>loans_pred_opti_data!D1625*loans_pred_opti_data!B1625</f>
        <v>74.690738728360202</v>
      </c>
      <c r="C1625">
        <f>(loans_pred_opti_data!B1625-ret_PESS!$G$35*loans_pred_opti_data!C1625)*loans_pred_opti_data!D1625</f>
        <v>40.016358349242928</v>
      </c>
    </row>
    <row r="1626" spans="1:3" x14ac:dyDescent="0.2">
      <c r="A1626" s="1">
        <v>0</v>
      </c>
      <c r="B1626">
        <f>loans_pred_opti_data!D1626*loans_pred_opti_data!B1626</f>
        <v>347.95711808615482</v>
      </c>
      <c r="C1626">
        <f>(loans_pred_opti_data!B1626-ret_PESS!$G$35*loans_pred_opti_data!C1626)*loans_pred_opti_data!D1626</f>
        <v>181.13943637166037</v>
      </c>
    </row>
    <row r="1627" spans="1:3" x14ac:dyDescent="0.2">
      <c r="A1627" s="1">
        <v>0</v>
      </c>
      <c r="B1627">
        <f>loans_pred_opti_data!D1627*loans_pred_opti_data!B1627</f>
        <v>382.26821509506499</v>
      </c>
      <c r="C1627">
        <f>(loans_pred_opti_data!B1627-ret_PESS!$G$35*loans_pred_opti_data!C1627)*loans_pred_opti_data!D1627</f>
        <v>284.80170443041652</v>
      </c>
    </row>
    <row r="1628" spans="1:3" x14ac:dyDescent="0.2">
      <c r="A1628" s="1">
        <v>0</v>
      </c>
      <c r="B1628">
        <f>loans_pred_opti_data!D1628*loans_pred_opti_data!B1628</f>
        <v>299.90422438670299</v>
      </c>
      <c r="C1628">
        <f>(loans_pred_opti_data!B1628-ret_PESS!$G$35*loans_pred_opti_data!C1628)*loans_pred_opti_data!D1628</f>
        <v>222.85004576644241</v>
      </c>
    </row>
    <row r="1629" spans="1:3" x14ac:dyDescent="0.2">
      <c r="A1629" s="1">
        <v>0</v>
      </c>
      <c r="B1629">
        <f>loans_pred_opti_data!D1629*loans_pred_opti_data!B1629</f>
        <v>141.7633909170269</v>
      </c>
      <c r="C1629">
        <f>(loans_pred_opti_data!B1629-ret_PESS!$G$35*loans_pred_opti_data!C1629)*loans_pred_opti_data!D1629</f>
        <v>50.057645199036401</v>
      </c>
    </row>
    <row r="1630" spans="1:3" x14ac:dyDescent="0.2">
      <c r="A1630" s="1">
        <v>0</v>
      </c>
      <c r="B1630">
        <f>loans_pred_opti_data!D1630*loans_pred_opti_data!B1630</f>
        <v>56.987681213799995</v>
      </c>
      <c r="C1630">
        <f>(loans_pred_opti_data!B1630-ret_PESS!$G$35*loans_pred_opti_data!C1630)*loans_pred_opti_data!D1630</f>
        <v>-112.60968041660702</v>
      </c>
    </row>
    <row r="1631" spans="1:3" x14ac:dyDescent="0.2">
      <c r="A1631" s="1">
        <v>0</v>
      </c>
      <c r="B1631">
        <f>loans_pred_opti_data!D1631*loans_pred_opti_data!B1631</f>
        <v>546.31341845945633</v>
      </c>
      <c r="C1631">
        <f>(loans_pred_opti_data!B1631-ret_PESS!$G$35*loans_pred_opti_data!C1631)*loans_pred_opti_data!D1631</f>
        <v>388.58787214317778</v>
      </c>
    </row>
    <row r="1632" spans="1:3" x14ac:dyDescent="0.2">
      <c r="A1632" s="1">
        <v>0</v>
      </c>
      <c r="B1632">
        <f>loans_pred_opti_data!D1632*loans_pred_opti_data!B1632</f>
        <v>155.84873331534268</v>
      </c>
      <c r="C1632">
        <f>(loans_pred_opti_data!B1632-ret_PESS!$G$35*loans_pred_opti_data!C1632)*loans_pred_opti_data!D1632</f>
        <v>106.33191119947067</v>
      </c>
    </row>
    <row r="1633" spans="1:3" x14ac:dyDescent="0.2">
      <c r="A1633" s="1">
        <v>0</v>
      </c>
      <c r="B1633">
        <f>loans_pred_opti_data!D1633*loans_pred_opti_data!B1633</f>
        <v>415.50570732398086</v>
      </c>
      <c r="C1633">
        <f>(loans_pred_opti_data!B1633-ret_PESS!$G$35*loans_pred_opti_data!C1633)*loans_pred_opti_data!D1633</f>
        <v>333.03404445389373</v>
      </c>
    </row>
    <row r="1634" spans="1:3" x14ac:dyDescent="0.2">
      <c r="A1634" s="1">
        <v>0</v>
      </c>
      <c r="B1634">
        <f>loans_pred_opti_data!D1634*loans_pred_opti_data!B1634</f>
        <v>277.44671296570999</v>
      </c>
      <c r="C1634">
        <f>(loans_pred_opti_data!B1634-ret_PESS!$G$35*loans_pred_opti_data!C1634)*loans_pred_opti_data!D1634</f>
        <v>202.47247399290347</v>
      </c>
    </row>
    <row r="1635" spans="1:3" x14ac:dyDescent="0.2">
      <c r="A1635" s="1">
        <v>1</v>
      </c>
      <c r="B1635">
        <f>loans_pred_opti_data!D1635*loans_pred_opti_data!B1635</f>
        <v>367.18679091930244</v>
      </c>
      <c r="C1635">
        <f>(loans_pred_opti_data!B1635-ret_PESS!$G$35*loans_pred_opti_data!C1635)*loans_pred_opti_data!D1635</f>
        <v>163.66995696281398</v>
      </c>
    </row>
    <row r="1636" spans="1:3" x14ac:dyDescent="0.2">
      <c r="A1636" s="1">
        <v>0</v>
      </c>
      <c r="B1636">
        <f>loans_pred_opti_data!D1636*loans_pred_opti_data!B1636</f>
        <v>124.26771049467079</v>
      </c>
      <c r="C1636">
        <f>(loans_pred_opti_data!B1636-ret_PESS!$G$35*loans_pred_opti_data!C1636)*loans_pred_opti_data!D1636</f>
        <v>94.27801490554819</v>
      </c>
    </row>
    <row r="1637" spans="1:3" x14ac:dyDescent="0.2">
      <c r="A1637" s="1">
        <v>0</v>
      </c>
      <c r="B1637">
        <f>loans_pred_opti_data!D1637*loans_pred_opti_data!B1637</f>
        <v>-201.51338852006668</v>
      </c>
      <c r="C1637">
        <f>(loans_pred_opti_data!B1637-ret_PESS!$G$35*loans_pred_opti_data!C1637)*loans_pred_opti_data!D1637</f>
        <v>-443.18962884339669</v>
      </c>
    </row>
    <row r="1638" spans="1:3" x14ac:dyDescent="0.2">
      <c r="A1638" s="1">
        <v>0</v>
      </c>
      <c r="B1638">
        <f>loans_pred_opti_data!D1638*loans_pred_opti_data!B1638</f>
        <v>339.66286022814859</v>
      </c>
      <c r="C1638">
        <f>(loans_pred_opti_data!B1638-ret_PESS!$G$35*loans_pred_opti_data!C1638)*loans_pred_opti_data!D1638</f>
        <v>257.19119735806146</v>
      </c>
    </row>
    <row r="1639" spans="1:3" x14ac:dyDescent="0.2">
      <c r="A1639" s="1">
        <v>1</v>
      </c>
      <c r="B1639">
        <f>loans_pred_opti_data!D1639*loans_pred_opti_data!B1639</f>
        <v>558.84375574314561</v>
      </c>
      <c r="C1639">
        <f>(loans_pred_opti_data!B1639-ret_PESS!$G$35*loans_pred_opti_data!C1639)*loans_pred_opti_data!D1639</f>
        <v>438.88497338665525</v>
      </c>
    </row>
    <row r="1640" spans="1:3" x14ac:dyDescent="0.2">
      <c r="A1640" s="1">
        <v>1</v>
      </c>
      <c r="B1640">
        <f>loans_pred_opti_data!D1640*loans_pred_opti_data!B1640</f>
        <v>-66.359961900807662</v>
      </c>
      <c r="C1640">
        <f>(loans_pred_opti_data!B1640-ret_PESS!$G$35*loans_pred_opti_data!C1640)*loans_pred_opti_data!D1640</f>
        <v>-204.51800879200607</v>
      </c>
    </row>
    <row r="1641" spans="1:3" x14ac:dyDescent="0.2">
      <c r="A1641" s="1">
        <v>0</v>
      </c>
      <c r="B1641">
        <f>loans_pred_opti_data!D1641*loans_pred_opti_data!B1641</f>
        <v>109.2028601133585</v>
      </c>
      <c r="C1641">
        <f>(loans_pred_opti_data!B1641-ret_PESS!$G$35*loans_pred_opti_data!C1641)*loans_pred_opti_data!D1641</f>
        <v>-43.434765354007816</v>
      </c>
    </row>
    <row r="1642" spans="1:3" x14ac:dyDescent="0.2">
      <c r="A1642" s="1">
        <v>0</v>
      </c>
      <c r="B1642">
        <f>loans_pred_opti_data!D1642*loans_pred_opti_data!B1642</f>
        <v>342.50013474467966</v>
      </c>
      <c r="C1642">
        <f>(loans_pred_opti_data!B1642-ret_PESS!$G$35*loans_pred_opti_data!C1642)*loans_pred_opti_data!D1642</f>
        <v>262.36378897960861</v>
      </c>
    </row>
    <row r="1643" spans="1:3" x14ac:dyDescent="0.2">
      <c r="A1643" s="1">
        <v>1</v>
      </c>
      <c r="B1643">
        <f>loans_pred_opti_data!D1643*loans_pred_opti_data!B1643</f>
        <v>84.802352284142373</v>
      </c>
      <c r="C1643">
        <f>(loans_pred_opti_data!B1643-ret_PESS!$G$35*loans_pred_opti_data!C1643)*loans_pred_opti_data!D1643</f>
        <v>63.622129774324542</v>
      </c>
    </row>
    <row r="1644" spans="1:3" x14ac:dyDescent="0.2">
      <c r="A1644" s="1">
        <v>0</v>
      </c>
      <c r="B1644">
        <f>loans_pred_opti_data!D1644*loans_pred_opti_data!B1644</f>
        <v>179.74573215437781</v>
      </c>
      <c r="C1644">
        <f>(loans_pred_opti_data!B1644-ret_PESS!$G$35*loans_pred_opti_data!C1644)*loans_pred_opti_data!D1644</f>
        <v>123.88992411963693</v>
      </c>
    </row>
    <row r="1645" spans="1:3" x14ac:dyDescent="0.2">
      <c r="A1645" s="1">
        <v>0</v>
      </c>
      <c r="B1645">
        <f>loans_pred_opti_data!D1645*loans_pred_opti_data!B1645</f>
        <v>193.44172060476768</v>
      </c>
      <c r="C1645">
        <f>(loans_pred_opti_data!B1645-ret_PESS!$G$35*loans_pred_opti_data!C1645)*loans_pred_opti_data!D1645</f>
        <v>136.18152712921199</v>
      </c>
    </row>
    <row r="1646" spans="1:3" x14ac:dyDescent="0.2">
      <c r="A1646" s="1">
        <v>0</v>
      </c>
      <c r="B1646">
        <f>loans_pred_opti_data!D1646*loans_pred_opti_data!B1646</f>
        <v>410.86626690672449</v>
      </c>
      <c r="C1646">
        <f>(loans_pred_opti_data!B1646-ret_PESS!$G$35*loans_pred_opti_data!C1646)*loans_pred_opti_data!D1646</f>
        <v>298.4049084475148</v>
      </c>
    </row>
    <row r="1647" spans="1:3" x14ac:dyDescent="0.2">
      <c r="A1647" s="1">
        <v>0</v>
      </c>
      <c r="B1647">
        <f>loans_pred_opti_data!D1647*loans_pred_opti_data!B1647</f>
        <v>525.6067301602551</v>
      </c>
      <c r="C1647">
        <f>(loans_pred_opti_data!B1647-ret_PESS!$G$35*loans_pred_opti_data!C1647)*loans_pred_opti_data!D1647</f>
        <v>412.32316192038445</v>
      </c>
    </row>
    <row r="1648" spans="1:3" x14ac:dyDescent="0.2">
      <c r="A1648" s="1">
        <v>0</v>
      </c>
      <c r="B1648">
        <f>loans_pred_opti_data!D1648*loans_pred_opti_data!B1648</f>
        <v>277.66633232077498</v>
      </c>
      <c r="C1648">
        <f>(loans_pred_opti_data!B1648-ret_PESS!$G$35*loans_pred_opti_data!C1648)*loans_pred_opti_data!D1648</f>
        <v>196.1571601135783</v>
      </c>
    </row>
    <row r="1649" spans="1:3" x14ac:dyDescent="0.2">
      <c r="A1649" s="1">
        <v>1</v>
      </c>
      <c r="B1649">
        <f>loans_pred_opti_data!D1649*loans_pred_opti_data!B1649</f>
        <v>428.06183415401762</v>
      </c>
      <c r="C1649">
        <f>(loans_pred_opti_data!B1649-ret_PESS!$G$35*loans_pred_opti_data!C1649)*loans_pred_opti_data!D1649</f>
        <v>297.6471586225029</v>
      </c>
    </row>
    <row r="1650" spans="1:3" x14ac:dyDescent="0.2">
      <c r="A1650" s="1">
        <v>0</v>
      </c>
      <c r="B1650">
        <f>loans_pred_opti_data!D1650*loans_pred_opti_data!B1650</f>
        <v>192.0425311121009</v>
      </c>
      <c r="C1650">
        <f>(loans_pred_opti_data!B1650-ret_PESS!$G$35*loans_pred_opti_data!C1650)*loans_pred_opti_data!D1650</f>
        <v>147.21248639814272</v>
      </c>
    </row>
    <row r="1651" spans="1:3" x14ac:dyDescent="0.2">
      <c r="A1651" s="1">
        <v>0</v>
      </c>
      <c r="B1651">
        <f>loans_pred_opti_data!D1651*loans_pred_opti_data!B1651</f>
        <v>191.11752737675624</v>
      </c>
      <c r="C1651">
        <f>(loans_pred_opti_data!B1651-ret_PESS!$G$35*loans_pred_opti_data!C1651)*loans_pred_opti_data!D1651</f>
        <v>129.9856482213587</v>
      </c>
    </row>
    <row r="1652" spans="1:3" x14ac:dyDescent="0.2">
      <c r="A1652" s="1">
        <v>0</v>
      </c>
      <c r="B1652">
        <f>loans_pred_opti_data!D1652*loans_pred_opti_data!B1652</f>
        <v>38.929333799813698</v>
      </c>
      <c r="C1652">
        <f>(loans_pred_opti_data!B1652-ret_PESS!$G$35*loans_pred_opti_data!C1652)*loans_pred_opti_data!D1652</f>
        <v>31.43190990253305</v>
      </c>
    </row>
    <row r="1653" spans="1:3" x14ac:dyDescent="0.2">
      <c r="A1653" s="1">
        <v>0</v>
      </c>
      <c r="B1653">
        <f>loans_pred_opti_data!D1653*loans_pred_opti_data!B1653</f>
        <v>377.82229322026166</v>
      </c>
      <c r="C1653">
        <f>(loans_pred_opti_data!B1653-ret_PESS!$G$35*loans_pred_opti_data!C1653)*loans_pred_opti_data!D1653</f>
        <v>276.60707060697291</v>
      </c>
    </row>
    <row r="1654" spans="1:3" x14ac:dyDescent="0.2">
      <c r="A1654" s="1">
        <v>0</v>
      </c>
      <c r="B1654">
        <f>loans_pred_opti_data!D1654*loans_pred_opti_data!B1654</f>
        <v>366.25201801336908</v>
      </c>
      <c r="C1654">
        <f>(loans_pred_opti_data!B1654-ret_PESS!$G$35*loans_pred_opti_data!C1654)*loans_pred_opti_data!D1654</f>
        <v>256.835084372599</v>
      </c>
    </row>
    <row r="1655" spans="1:3" x14ac:dyDescent="0.2">
      <c r="A1655" s="1">
        <v>0</v>
      </c>
      <c r="B1655">
        <f>loans_pred_opti_data!D1655*loans_pred_opti_data!B1655</f>
        <v>1021.7833832967719</v>
      </c>
      <c r="C1655">
        <f>(loans_pred_opti_data!B1655-ret_PESS!$G$35*loans_pred_opti_data!C1655)*loans_pred_opti_data!D1655</f>
        <v>818.26654934028363</v>
      </c>
    </row>
    <row r="1656" spans="1:3" x14ac:dyDescent="0.2">
      <c r="A1656" s="1">
        <v>1</v>
      </c>
      <c r="B1656">
        <f>loans_pred_opti_data!D1656*loans_pred_opti_data!B1656</f>
        <v>516.44534479841252</v>
      </c>
      <c r="C1656">
        <f>(loans_pred_opti_data!B1656-ret_PESS!$G$35*loans_pred_opti_data!C1656)*loans_pred_opti_data!D1656</f>
        <v>433.10100530765055</v>
      </c>
    </row>
    <row r="1657" spans="1:3" x14ac:dyDescent="0.2">
      <c r="A1657" s="1">
        <v>0</v>
      </c>
      <c r="B1657">
        <f>loans_pred_opti_data!D1657*loans_pred_opti_data!B1657</f>
        <v>651.62313743770596</v>
      </c>
      <c r="C1657">
        <f>(loans_pred_opti_data!B1657-ret_PESS!$G$35*loans_pred_opti_data!C1657)*loans_pred_opti_data!D1657</f>
        <v>543.73402482830545</v>
      </c>
    </row>
    <row r="1658" spans="1:3" x14ac:dyDescent="0.2">
      <c r="A1658" s="1">
        <v>0</v>
      </c>
      <c r="B1658">
        <f>loans_pred_opti_data!D1658*loans_pred_opti_data!B1658</f>
        <v>-120.87782601125831</v>
      </c>
      <c r="C1658">
        <f>(loans_pred_opti_data!B1658-ret_PESS!$G$35*loans_pred_opti_data!C1658)*loans_pred_opti_data!D1658</f>
        <v>-273.51545147862464</v>
      </c>
    </row>
    <row r="1659" spans="1:3" x14ac:dyDescent="0.2">
      <c r="A1659" s="1">
        <v>0</v>
      </c>
      <c r="B1659">
        <f>loans_pred_opti_data!D1659*loans_pred_opti_data!B1659</f>
        <v>1076.6868600709149</v>
      </c>
      <c r="C1659">
        <f>(loans_pred_opti_data!B1659-ret_PESS!$G$35*loans_pred_opti_data!C1659)*loans_pred_opti_data!D1659</f>
        <v>864.69015803290608</v>
      </c>
    </row>
    <row r="1660" spans="1:3" x14ac:dyDescent="0.2">
      <c r="A1660" s="1">
        <v>1</v>
      </c>
      <c r="B1660">
        <f>loans_pred_opti_data!D1660*loans_pred_opti_data!B1660</f>
        <v>139.31210837535198</v>
      </c>
      <c r="C1660">
        <f>(loans_pred_opti_data!B1660-ret_PESS!$G$35*loans_pred_opti_data!C1660)*loans_pred_opti_data!D1660</f>
        <v>106.32344322731714</v>
      </c>
    </row>
    <row r="1661" spans="1:3" x14ac:dyDescent="0.2">
      <c r="A1661" s="1">
        <v>0</v>
      </c>
      <c r="B1661">
        <f>loans_pred_opti_data!D1661*loans_pred_opti_data!B1661</f>
        <v>87.58137173006844</v>
      </c>
      <c r="C1661">
        <f>(loans_pred_opti_data!B1661-ret_PESS!$G$35*loans_pred_opti_data!C1661)*loans_pred_opti_data!D1661</f>
        <v>19.113667076023209</v>
      </c>
    </row>
    <row r="1662" spans="1:3" x14ac:dyDescent="0.2">
      <c r="A1662" s="1">
        <v>1</v>
      </c>
      <c r="B1662">
        <f>loans_pred_opti_data!D1662*loans_pred_opti_data!B1662</f>
        <v>71.164745944156152</v>
      </c>
      <c r="C1662">
        <f>(loans_pred_opti_data!B1662-ret_PESS!$G$35*loans_pred_opti_data!C1662)*loans_pred_opti_data!D1662</f>
        <v>30.002613979521811</v>
      </c>
    </row>
    <row r="1663" spans="1:3" x14ac:dyDescent="0.2">
      <c r="A1663" s="1">
        <v>0</v>
      </c>
      <c r="B1663">
        <f>loans_pred_opti_data!D1663*loans_pred_opti_data!B1663</f>
        <v>95.422957460297269</v>
      </c>
      <c r="C1663">
        <f>(loans_pred_opti_data!B1663-ret_PESS!$G$35*loans_pred_opti_data!C1663)*loans_pred_opti_data!D1663</f>
        <v>69.340022353994328</v>
      </c>
    </row>
    <row r="1664" spans="1:3" x14ac:dyDescent="0.2">
      <c r="A1664" s="1">
        <v>1</v>
      </c>
      <c r="B1664">
        <f>loans_pred_opti_data!D1664*loans_pred_opti_data!B1664</f>
        <v>216.83782600247417</v>
      </c>
      <c r="C1664">
        <f>(loans_pred_opti_data!B1664-ret_PESS!$G$35*loans_pred_opti_data!C1664)*loans_pred_opti_data!D1664</f>
        <v>145.42486338087596</v>
      </c>
    </row>
    <row r="1665" spans="1:3" x14ac:dyDescent="0.2">
      <c r="A1665" s="1">
        <v>0</v>
      </c>
      <c r="B1665">
        <f>loans_pred_opti_data!D1665*loans_pred_opti_data!B1665</f>
        <v>511.96329209078061</v>
      </c>
      <c r="C1665">
        <f>(loans_pred_opti_data!B1665-ret_PESS!$G$35*loans_pred_opti_data!C1665)*loans_pred_opti_data!D1665</f>
        <v>397.85045100070522</v>
      </c>
    </row>
    <row r="1666" spans="1:3" x14ac:dyDescent="0.2">
      <c r="A1666" s="1">
        <v>0</v>
      </c>
      <c r="B1666">
        <f>loans_pred_opti_data!D1666*loans_pred_opti_data!B1666</f>
        <v>281.841113558644</v>
      </c>
      <c r="C1666">
        <f>(loans_pred_opti_data!B1666-ret_PESS!$G$35*loans_pred_opti_data!C1666)*loans_pred_opti_data!D1666</f>
        <v>221.86172238039882</v>
      </c>
    </row>
    <row r="1667" spans="1:3" x14ac:dyDescent="0.2">
      <c r="A1667" s="1">
        <v>0</v>
      </c>
      <c r="B1667">
        <f>loans_pred_opti_data!D1667*loans_pred_opti_data!B1667</f>
        <v>302.18579160335617</v>
      </c>
      <c r="C1667">
        <f>(loans_pred_opti_data!B1667-ret_PESS!$G$35*loans_pred_opti_data!C1667)*loans_pred_opti_data!D1667</f>
        <v>206.21876571816387</v>
      </c>
    </row>
    <row r="1668" spans="1:3" x14ac:dyDescent="0.2">
      <c r="A1668" s="1">
        <v>0</v>
      </c>
      <c r="B1668">
        <f>loans_pred_opti_data!D1668*loans_pred_opti_data!B1668</f>
        <v>252.97614916062201</v>
      </c>
      <c r="C1668">
        <f>(loans_pred_opti_data!B1668-ret_PESS!$G$35*loans_pred_opti_data!C1668)*loans_pred_opti_data!D1668</f>
        <v>175.9219705403614</v>
      </c>
    </row>
    <row r="1669" spans="1:3" x14ac:dyDescent="0.2">
      <c r="A1669" s="1">
        <v>1</v>
      </c>
      <c r="B1669">
        <f>loans_pred_opti_data!D1669*loans_pred_opti_data!B1669</f>
        <v>951.83859176365513</v>
      </c>
      <c r="C1669">
        <f>(loans_pred_opti_data!B1669-ret_PESS!$G$35*loans_pred_opti_data!C1669)*loans_pred_opti_data!D1669</f>
        <v>816.97720100190429</v>
      </c>
    </row>
    <row r="1670" spans="1:3" x14ac:dyDescent="0.2">
      <c r="A1670" s="1">
        <v>0</v>
      </c>
      <c r="B1670">
        <f>loans_pred_opti_data!D1670*loans_pred_opti_data!B1670</f>
        <v>179.56129812272448</v>
      </c>
      <c r="C1670">
        <f>(loans_pred_opti_data!B1670-ret_PESS!$G$35*loans_pred_opti_data!C1670)*loans_pred_opti_data!D1670</f>
        <v>141.03420881259419</v>
      </c>
    </row>
    <row r="1671" spans="1:3" x14ac:dyDescent="0.2">
      <c r="A1671" s="1">
        <v>0</v>
      </c>
      <c r="B1671">
        <f>loans_pred_opti_data!D1671*loans_pred_opti_data!B1671</f>
        <v>93.169912800907255</v>
      </c>
      <c r="C1671">
        <f>(loans_pred_opti_data!B1671-ret_PESS!$G$35*loans_pred_opti_data!C1671)*loans_pred_opti_data!D1671</f>
        <v>64.641702528388407</v>
      </c>
    </row>
    <row r="1672" spans="1:3" x14ac:dyDescent="0.2">
      <c r="A1672" s="1">
        <v>0</v>
      </c>
      <c r="B1672">
        <f>loans_pred_opti_data!D1672*loans_pred_opti_data!B1672</f>
        <v>303.50665123897323</v>
      </c>
      <c r="C1672">
        <f>(loans_pred_opti_data!B1672-ret_PESS!$G$35*loans_pred_opti_data!C1672)*loans_pred_opti_data!D1672</f>
        <v>205.69564459033714</v>
      </c>
    </row>
    <row r="1673" spans="1:3" x14ac:dyDescent="0.2">
      <c r="A1673" s="1">
        <v>0</v>
      </c>
      <c r="B1673">
        <f>loans_pred_opti_data!D1673*loans_pred_opti_data!B1673</f>
        <v>214.93159931325252</v>
      </c>
      <c r="C1673">
        <f>(loans_pred_opti_data!B1673-ret_PESS!$G$35*loans_pred_opti_data!C1673)*loans_pred_opti_data!D1673</f>
        <v>162.44963203228798</v>
      </c>
    </row>
    <row r="1674" spans="1:3" x14ac:dyDescent="0.2">
      <c r="A1674" s="1">
        <v>0</v>
      </c>
      <c r="B1674">
        <f>loans_pred_opti_data!D1674*loans_pred_opti_data!B1674</f>
        <v>655.47806223757595</v>
      </c>
      <c r="C1674">
        <f>(loans_pred_opti_data!B1674-ret_PESS!$G$35*loans_pred_opti_data!C1674)*loans_pred_opti_data!D1674</f>
        <v>547.58894962817533</v>
      </c>
    </row>
    <row r="1675" spans="1:3" x14ac:dyDescent="0.2">
      <c r="A1675" s="1">
        <v>0</v>
      </c>
      <c r="B1675">
        <f>loans_pred_opti_data!D1675*loans_pred_opti_data!B1675</f>
        <v>577.69303551093719</v>
      </c>
      <c r="C1675">
        <f>(loans_pred_opti_data!B1675-ret_PESS!$G$35*loans_pred_opti_data!C1675)*loans_pred_opti_data!D1675</f>
        <v>446.20317951823017</v>
      </c>
    </row>
    <row r="1676" spans="1:3" x14ac:dyDescent="0.2">
      <c r="A1676" s="1">
        <v>0</v>
      </c>
      <c r="B1676">
        <f>loans_pred_opti_data!D1676*loans_pred_opti_data!B1676</f>
        <v>1191.3371147798562</v>
      </c>
      <c r="C1676">
        <f>(loans_pred_opti_data!B1676-ret_PESS!$G$35*loans_pred_opti_data!C1676)*loans_pred_opti_data!D1676</f>
        <v>1028.2896933488996</v>
      </c>
    </row>
    <row r="1677" spans="1:3" x14ac:dyDescent="0.2">
      <c r="A1677" s="1">
        <v>0</v>
      </c>
      <c r="B1677">
        <f>loans_pred_opti_data!D1677*loans_pred_opti_data!B1677</f>
        <v>412.30018805547843</v>
      </c>
      <c r="C1677">
        <f>(loans_pred_opti_data!B1677-ret_PESS!$G$35*loans_pred_opti_data!C1677)*loans_pred_opti_data!D1677</f>
        <v>325.98889796795794</v>
      </c>
    </row>
    <row r="1678" spans="1:3" x14ac:dyDescent="0.2">
      <c r="A1678" s="1">
        <v>1</v>
      </c>
      <c r="B1678">
        <f>loans_pred_opti_data!D1678*loans_pred_opti_data!B1678</f>
        <v>676.00065952887849</v>
      </c>
      <c r="C1678">
        <f>(loans_pred_opti_data!B1678-ret_PESS!$G$35*loans_pred_opti_data!C1678)*loans_pred_opti_data!D1678</f>
        <v>589.68936944135794</v>
      </c>
    </row>
    <row r="1679" spans="1:3" x14ac:dyDescent="0.2">
      <c r="A1679" s="1">
        <v>0</v>
      </c>
      <c r="B1679">
        <f>loans_pred_opti_data!D1679*loans_pred_opti_data!B1679</f>
        <v>331.82798562367122</v>
      </c>
      <c r="C1679">
        <f>(loans_pred_opti_data!B1679-ret_PESS!$G$35*loans_pred_opti_data!C1679)*loans_pred_opti_data!D1679</f>
        <v>222.36559672337373</v>
      </c>
    </row>
    <row r="1680" spans="1:3" x14ac:dyDescent="0.2">
      <c r="A1680" s="1">
        <v>0</v>
      </c>
      <c r="B1680">
        <f>loans_pred_opti_data!D1680*loans_pred_opti_data!B1680</f>
        <v>73.765344153246758</v>
      </c>
      <c r="C1680">
        <f>(loans_pred_opti_data!B1680-ret_PESS!$G$35*loans_pred_opti_data!C1680)*loans_pred_opti_data!D1680</f>
        <v>-150.10317319889049</v>
      </c>
    </row>
    <row r="1681" spans="1:3" x14ac:dyDescent="0.2">
      <c r="A1681" s="1">
        <v>0</v>
      </c>
      <c r="B1681">
        <f>loans_pred_opti_data!D1681*loans_pred_opti_data!B1681</f>
        <v>1427.0377484136375</v>
      </c>
      <c r="C1681">
        <f>(loans_pred_opti_data!B1681-ret_PESS!$G$35*loans_pred_opti_data!C1681)*loans_pred_opti_data!D1681</f>
        <v>1130.2423655604252</v>
      </c>
    </row>
    <row r="1682" spans="1:3" x14ac:dyDescent="0.2">
      <c r="A1682" s="1">
        <v>1</v>
      </c>
      <c r="B1682">
        <f>loans_pred_opti_data!D1682*loans_pred_opti_data!B1682</f>
        <v>743.55320180236038</v>
      </c>
      <c r="C1682">
        <f>(loans_pred_opti_data!B1682-ret_PESS!$G$35*loans_pred_opti_data!C1682)*loans_pred_opti_data!D1682</f>
        <v>605.45513766232762</v>
      </c>
    </row>
    <row r="1683" spans="1:3" x14ac:dyDescent="0.2">
      <c r="A1683" s="1">
        <v>0</v>
      </c>
      <c r="B1683">
        <f>loans_pred_opti_data!D1683*loans_pred_opti_data!B1683</f>
        <v>240.96210691998402</v>
      </c>
      <c r="C1683">
        <f>(loans_pred_opti_data!B1683-ret_PESS!$G$35*loans_pred_opti_data!C1683)*loans_pred_opti_data!D1683</f>
        <v>155.17370317190949</v>
      </c>
    </row>
    <row r="1684" spans="1:3" x14ac:dyDescent="0.2">
      <c r="A1684" s="1">
        <v>0</v>
      </c>
      <c r="B1684">
        <f>loans_pred_opti_data!D1684*loans_pred_opti_data!B1684</f>
        <v>168.5432590693209</v>
      </c>
      <c r="C1684">
        <f>(loans_pred_opti_data!B1684-ret_PESS!$G$35*loans_pred_opti_data!C1684)*loans_pred_opti_data!D1684</f>
        <v>-85.852783376289636</v>
      </c>
    </row>
    <row r="1685" spans="1:3" x14ac:dyDescent="0.2">
      <c r="A1685" s="1">
        <v>1</v>
      </c>
      <c r="B1685">
        <f>loans_pred_opti_data!D1685*loans_pred_opti_data!B1685</f>
        <v>361.858597032619</v>
      </c>
      <c r="C1685">
        <f>(loans_pred_opti_data!B1685-ret_PESS!$G$35*loans_pred_opti_data!C1685)*loans_pred_opti_data!D1685</f>
        <v>280.34942482542226</v>
      </c>
    </row>
    <row r="1686" spans="1:3" x14ac:dyDescent="0.2">
      <c r="A1686" s="1">
        <v>0</v>
      </c>
      <c r="B1686">
        <f>loans_pred_opti_data!D1686*loans_pred_opti_data!B1686</f>
        <v>352.00638275505963</v>
      </c>
      <c r="C1686">
        <f>(loans_pred_opti_data!B1686-ret_PESS!$G$35*loans_pred_opti_data!C1686)*loans_pred_opti_data!D1686</f>
        <v>254.19537610642354</v>
      </c>
    </row>
    <row r="1687" spans="1:3" x14ac:dyDescent="0.2">
      <c r="A1687" s="1">
        <v>0</v>
      </c>
      <c r="B1687">
        <f>loans_pred_opti_data!D1687*loans_pred_opti_data!B1687</f>
        <v>163.59860590653889</v>
      </c>
      <c r="C1687">
        <f>(loans_pred_opti_data!B1687-ret_PESS!$G$35*loans_pred_opti_data!C1687)*loans_pred_opti_data!D1687</f>
        <v>119.9261117048791</v>
      </c>
    </row>
    <row r="1688" spans="1:3" x14ac:dyDescent="0.2">
      <c r="A1688" s="1">
        <v>0</v>
      </c>
      <c r="B1688">
        <f>loans_pred_opti_data!D1688*loans_pred_opti_data!B1688</f>
        <v>321.774306761773</v>
      </c>
      <c r="C1688">
        <f>(loans_pred_opti_data!B1688-ret_PESS!$G$35*loans_pred_opti_data!C1688)*loans_pred_opti_data!D1688</f>
        <v>240.26513455457629</v>
      </c>
    </row>
    <row r="1689" spans="1:3" x14ac:dyDescent="0.2">
      <c r="A1689" s="1">
        <v>0</v>
      </c>
      <c r="B1689">
        <f>loans_pred_opti_data!D1689*loans_pred_opti_data!B1689</f>
        <v>99.264003660109111</v>
      </c>
      <c r="C1689">
        <f>(loans_pred_opti_data!B1689-ret_PESS!$G$35*loans_pred_opti_data!C1689)*loans_pred_opti_data!D1689</f>
        <v>53.618867224078961</v>
      </c>
    </row>
    <row r="1690" spans="1:3" x14ac:dyDescent="0.2">
      <c r="A1690" s="1">
        <v>0</v>
      </c>
      <c r="B1690">
        <f>loans_pred_opti_data!D1690*loans_pred_opti_data!B1690</f>
        <v>226.77313125883487</v>
      </c>
      <c r="C1690">
        <f>(loans_pred_opti_data!B1690-ret_PESS!$G$35*loans_pred_opti_data!C1690)*loans_pred_opti_data!D1690</f>
        <v>161.27707943161334</v>
      </c>
    </row>
    <row r="1691" spans="1:3" x14ac:dyDescent="0.2">
      <c r="A1691" s="1">
        <v>1</v>
      </c>
      <c r="B1691">
        <f>loans_pred_opti_data!D1691*loans_pred_opti_data!B1691</f>
        <v>452.25257818928401</v>
      </c>
      <c r="C1691">
        <f>(loans_pred_opti_data!B1691-ret_PESS!$G$35*loans_pred_opti_data!C1691)*loans_pred_opti_data!D1691</f>
        <v>344.36346557988344</v>
      </c>
    </row>
    <row r="1692" spans="1:3" x14ac:dyDescent="0.2">
      <c r="A1692" s="1">
        <v>0</v>
      </c>
      <c r="B1692">
        <f>loans_pred_opti_data!D1692*loans_pred_opti_data!B1692</f>
        <v>505.53964032154045</v>
      </c>
      <c r="C1692">
        <f>(loans_pred_opti_data!B1692-ret_PESS!$G$35*loans_pred_opti_data!C1692)*loans_pred_opti_data!D1692</f>
        <v>397.94753300804075</v>
      </c>
    </row>
    <row r="1693" spans="1:3" x14ac:dyDescent="0.2">
      <c r="A1693" s="1">
        <v>0</v>
      </c>
      <c r="B1693">
        <f>loans_pred_opti_data!D1693*loans_pred_opti_data!B1693</f>
        <v>215.59838170552601</v>
      </c>
      <c r="C1693">
        <f>(loans_pred_opti_data!B1693-ret_PESS!$G$35*loans_pred_opti_data!C1693)*loans_pred_opti_data!D1693</f>
        <v>134.0892094983293</v>
      </c>
    </row>
    <row r="1694" spans="1:3" x14ac:dyDescent="0.2">
      <c r="A1694" s="1">
        <v>0</v>
      </c>
      <c r="B1694">
        <f>loans_pred_opti_data!D1694*loans_pred_opti_data!B1694</f>
        <v>540.90133461252674</v>
      </c>
      <c r="C1694">
        <f>(loans_pred_opti_data!B1694-ret_PESS!$G$35*loans_pred_opti_data!C1694)*loans_pred_opti_data!D1694</f>
        <v>396.95079578473826</v>
      </c>
    </row>
    <row r="1695" spans="1:3" x14ac:dyDescent="0.2">
      <c r="A1695" s="1">
        <v>0</v>
      </c>
      <c r="B1695">
        <f>loans_pred_opti_data!D1695*loans_pred_opti_data!B1695</f>
        <v>264.24389970586481</v>
      </c>
      <c r="C1695">
        <f>(loans_pred_opti_data!B1695-ret_PESS!$G$35*loans_pred_opti_data!C1695)*loans_pred_opti_data!D1695</f>
        <v>199.03656194010745</v>
      </c>
    </row>
    <row r="1696" spans="1:3" x14ac:dyDescent="0.2">
      <c r="A1696" s="1">
        <v>0</v>
      </c>
      <c r="B1696">
        <f>loans_pred_opti_data!D1696*loans_pred_opti_data!B1696</f>
        <v>401.49546318529082</v>
      </c>
      <c r="C1696">
        <f>(loans_pred_opti_data!B1696-ret_PESS!$G$35*loans_pred_opti_data!C1696)*loans_pred_opti_data!D1696</f>
        <v>303.68445653665475</v>
      </c>
    </row>
    <row r="1697" spans="1:3" x14ac:dyDescent="0.2">
      <c r="A1697" s="1">
        <v>0</v>
      </c>
      <c r="B1697">
        <f>loans_pred_opti_data!D1697*loans_pred_opti_data!B1697</f>
        <v>146.49069649227826</v>
      </c>
      <c r="C1697">
        <f>(loans_pred_opti_data!B1697-ret_PESS!$G$35*loans_pred_opti_data!C1697)*loans_pred_opti_data!D1697</f>
        <v>-65.506005545730531</v>
      </c>
    </row>
    <row r="1698" spans="1:3" x14ac:dyDescent="0.2">
      <c r="A1698" s="1">
        <v>1</v>
      </c>
      <c r="B1698">
        <f>loans_pred_opti_data!D1698*loans_pred_opti_data!B1698</f>
        <v>162.3786706941965</v>
      </c>
      <c r="C1698">
        <f>(loans_pred_opti_data!B1698-ret_PESS!$G$35*loans_pred_opti_data!C1698)*loans_pred_opti_data!D1698</f>
        <v>121.62408459059814</v>
      </c>
    </row>
    <row r="1699" spans="1:3" x14ac:dyDescent="0.2">
      <c r="A1699" s="1">
        <v>0</v>
      </c>
      <c r="B1699">
        <f>loans_pred_opti_data!D1699*loans_pred_opti_data!B1699</f>
        <v>138.55311714876319</v>
      </c>
      <c r="C1699">
        <f>(loans_pred_opti_data!B1699-ret_PESS!$G$35*loans_pred_opti_data!C1699)*loans_pred_opti_data!D1699</f>
        <v>107.73144570065895</v>
      </c>
    </row>
    <row r="1700" spans="1:3" x14ac:dyDescent="0.2">
      <c r="A1700" s="1">
        <v>0</v>
      </c>
      <c r="B1700">
        <f>loans_pred_opti_data!D1700*loans_pred_opti_data!B1700</f>
        <v>270.38427868662831</v>
      </c>
      <c r="C1700">
        <f>(loans_pred_opti_data!B1700-ret_PESS!$G$35*loans_pred_opti_data!C1700)*loans_pred_opti_data!D1700</f>
        <v>176.64873064835211</v>
      </c>
    </row>
    <row r="1701" spans="1:3" x14ac:dyDescent="0.2">
      <c r="A1701" s="1">
        <v>0</v>
      </c>
      <c r="B1701">
        <f>loans_pred_opti_data!D1701*loans_pred_opti_data!B1701</f>
        <v>776.88001997200001</v>
      </c>
      <c r="C1701">
        <f>(loans_pred_opti_data!B1701-ret_PESS!$G$35*loans_pred_opti_data!C1701)*loans_pred_opti_data!D1701</f>
        <v>668.99090736259939</v>
      </c>
    </row>
    <row r="1702" spans="1:3" x14ac:dyDescent="0.2">
      <c r="A1702" s="1">
        <v>0</v>
      </c>
      <c r="B1702">
        <f>loans_pred_opti_data!D1702*loans_pred_opti_data!B1702</f>
        <v>252.21131582587702</v>
      </c>
      <c r="C1702">
        <f>(loans_pred_opti_data!B1702-ret_PESS!$G$35*loans_pred_opti_data!C1702)*loans_pred_opti_data!D1702</f>
        <v>189.79526188101559</v>
      </c>
    </row>
    <row r="1703" spans="1:3" x14ac:dyDescent="0.2">
      <c r="A1703" s="1">
        <v>0</v>
      </c>
      <c r="B1703">
        <f>loans_pred_opti_data!D1703*loans_pred_opti_data!B1703</f>
        <v>443.6317762903044</v>
      </c>
      <c r="C1703">
        <f>(loans_pred_opti_data!B1703-ret_PESS!$G$35*loans_pred_opti_data!C1703)*loans_pred_opti_data!D1703</f>
        <v>353.6626895229366</v>
      </c>
    </row>
    <row r="1704" spans="1:3" x14ac:dyDescent="0.2">
      <c r="A1704" s="1">
        <v>0</v>
      </c>
      <c r="B1704">
        <f>loans_pred_opti_data!D1704*loans_pred_opti_data!B1704</f>
        <v>336.60376678037903</v>
      </c>
      <c r="C1704">
        <f>(loans_pred_opti_data!B1704-ret_PESS!$G$35*loans_pred_opti_data!C1704)*loans_pred_opti_data!D1704</f>
        <v>255.09459457318229</v>
      </c>
    </row>
    <row r="1705" spans="1:3" x14ac:dyDescent="0.2">
      <c r="A1705" s="1">
        <v>0</v>
      </c>
      <c r="B1705">
        <f>loans_pred_opti_data!D1705*loans_pred_opti_data!B1705</f>
        <v>-91.842401929411523</v>
      </c>
      <c r="C1705">
        <f>(loans_pred_opti_data!B1705-ret_PESS!$G$35*loans_pred_opti_data!C1705)*loans_pred_opti_data!D1705</f>
        <v>-222.25707746092627</v>
      </c>
    </row>
    <row r="1706" spans="1:3" x14ac:dyDescent="0.2">
      <c r="A1706" s="1">
        <v>0</v>
      </c>
      <c r="B1706">
        <f>loans_pred_opti_data!D1706*loans_pred_opti_data!B1706</f>
        <v>56.553184936841994</v>
      </c>
      <c r="C1706">
        <f>(loans_pred_opti_data!B1706-ret_PESS!$G$35*loans_pred_opti_data!C1706)*loans_pred_opti_data!D1706</f>
        <v>32.100433274682985</v>
      </c>
    </row>
    <row r="1707" spans="1:3" x14ac:dyDescent="0.2">
      <c r="A1707" s="1">
        <v>0</v>
      </c>
      <c r="B1707">
        <f>loans_pred_opti_data!D1707*loans_pred_opti_data!B1707</f>
        <v>150.420948568011</v>
      </c>
      <c r="C1707">
        <f>(loans_pred_opti_data!B1707-ret_PESS!$G$35*loans_pred_opti_data!C1707)*loans_pred_opti_data!D1707</f>
        <v>105.5909038540528</v>
      </c>
    </row>
    <row r="1708" spans="1:3" x14ac:dyDescent="0.2">
      <c r="A1708" s="1">
        <v>0</v>
      </c>
      <c r="B1708">
        <f>loans_pred_opti_data!D1708*loans_pred_opti_data!B1708</f>
        <v>160.36406012587454</v>
      </c>
      <c r="C1708">
        <f>(loans_pred_opti_data!B1708-ret_PESS!$G$35*loans_pred_opti_data!C1708)*loans_pred_opti_data!D1708</f>
        <v>115.53401541191636</v>
      </c>
    </row>
    <row r="1709" spans="1:3" x14ac:dyDescent="0.2">
      <c r="A1709" s="1">
        <v>0</v>
      </c>
      <c r="B1709">
        <f>loans_pred_opti_data!D1709*loans_pred_opti_data!B1709</f>
        <v>241.06042466687521</v>
      </c>
      <c r="C1709">
        <f>(loans_pred_opti_data!B1709-ret_PESS!$G$35*loans_pred_opti_data!C1709)*loans_pred_opti_data!D1709</f>
        <v>167.70216968039819</v>
      </c>
    </row>
    <row r="1710" spans="1:3" x14ac:dyDescent="0.2">
      <c r="A1710" s="1">
        <v>0</v>
      </c>
      <c r="B1710">
        <f>loans_pred_opti_data!D1710*loans_pred_opti_data!B1710</f>
        <v>89.047278487100996</v>
      </c>
      <c r="C1710">
        <f>(loans_pred_opti_data!B1710-ret_PESS!$G$35*loans_pred_opti_data!C1710)*loans_pred_opti_data!D1710</f>
        <v>48.292692383502647</v>
      </c>
    </row>
    <row r="1711" spans="1:3" x14ac:dyDescent="0.2">
      <c r="A1711" s="1">
        <v>0</v>
      </c>
      <c r="B1711">
        <f>loans_pred_opti_data!D1711*loans_pred_opti_data!B1711</f>
        <v>23.32345527143627</v>
      </c>
      <c r="C1711">
        <f>(loans_pred_opti_data!B1711-ret_PESS!$G$35*loans_pred_opti_data!C1711)*loans_pred_opti_data!D1711</f>
        <v>-107.66864838300675</v>
      </c>
    </row>
    <row r="1712" spans="1:3" x14ac:dyDescent="0.2">
      <c r="A1712" s="1">
        <v>0</v>
      </c>
      <c r="B1712">
        <f>loans_pred_opti_data!D1712*loans_pred_opti_data!B1712</f>
        <v>524.82053285705001</v>
      </c>
      <c r="C1712">
        <f>(loans_pred_opti_data!B1712-ret_PESS!$G$35*loans_pred_opti_data!C1712)*loans_pred_opti_data!D1712</f>
        <v>416.93142024764944</v>
      </c>
    </row>
    <row r="1713" spans="1:3" x14ac:dyDescent="0.2">
      <c r="A1713" s="1">
        <v>0</v>
      </c>
      <c r="B1713">
        <f>loans_pred_opti_data!D1713*loans_pred_opti_data!B1713</f>
        <v>197.51179353261182</v>
      </c>
      <c r="C1713">
        <f>(loans_pred_opti_data!B1713-ret_PESS!$G$35*loans_pred_opti_data!C1713)*loans_pred_opti_data!D1713</f>
        <v>152.52725014892792</v>
      </c>
    </row>
    <row r="1714" spans="1:3" x14ac:dyDescent="0.2">
      <c r="A1714" s="1">
        <v>0</v>
      </c>
      <c r="B1714">
        <f>loans_pred_opti_data!D1714*loans_pred_opti_data!B1714</f>
        <v>183.96192594963722</v>
      </c>
      <c r="C1714">
        <f>(loans_pred_opti_data!B1714-ret_PESS!$G$35*loans_pred_opti_data!C1714)*loans_pred_opti_data!D1714</f>
        <v>135.05642262531919</v>
      </c>
    </row>
    <row r="1715" spans="1:3" x14ac:dyDescent="0.2">
      <c r="A1715" s="1">
        <v>0</v>
      </c>
      <c r="B1715">
        <f>loans_pred_opti_data!D1715*loans_pred_opti_data!B1715</f>
        <v>108.05991229978729</v>
      </c>
      <c r="C1715">
        <f>(loans_pred_opti_data!B1715-ret_PESS!$G$35*loans_pred_opti_data!C1715)*loans_pred_opti_data!D1715</f>
        <v>76.570731931208542</v>
      </c>
    </row>
    <row r="1716" spans="1:3" x14ac:dyDescent="0.2">
      <c r="A1716" s="1">
        <v>0</v>
      </c>
      <c r="B1716">
        <f>loans_pred_opti_data!D1716*loans_pred_opti_data!B1716</f>
        <v>416.93212679275803</v>
      </c>
      <c r="C1716">
        <f>(loans_pred_opti_data!B1716-ret_PESS!$G$35*loans_pred_opti_data!C1716)*loans_pred_opti_data!D1716</f>
        <v>304.47076833354828</v>
      </c>
    </row>
    <row r="1717" spans="1:3" x14ac:dyDescent="0.2">
      <c r="A1717" s="1">
        <v>0</v>
      </c>
      <c r="B1717">
        <f>loans_pred_opti_data!D1717*loans_pred_opti_data!B1717</f>
        <v>144.01364416788422</v>
      </c>
      <c r="C1717">
        <f>(loans_pred_opti_data!B1717-ret_PESS!$G$35*loans_pred_opti_data!C1717)*loans_pred_opti_data!D1717</f>
        <v>95.10814084356619</v>
      </c>
    </row>
    <row r="1718" spans="1:3" x14ac:dyDescent="0.2">
      <c r="A1718" s="1">
        <v>0</v>
      </c>
      <c r="B1718">
        <f>loans_pred_opti_data!D1718*loans_pred_opti_data!B1718</f>
        <v>21.720167314120499</v>
      </c>
      <c r="C1718">
        <f>(loans_pred_opti_data!B1718-ret_PESS!$G$35*loans_pred_opti_data!C1718)*loans_pred_opti_data!D1718</f>
        <v>-53.254071658686009</v>
      </c>
    </row>
    <row r="1719" spans="1:3" x14ac:dyDescent="0.2">
      <c r="A1719" s="1">
        <v>0</v>
      </c>
      <c r="B1719">
        <f>loans_pred_opti_data!D1719*loans_pred_opti_data!B1719</f>
        <v>741.15830261379062</v>
      </c>
      <c r="C1719">
        <f>(loans_pred_opti_data!B1719-ret_PESS!$G$35*loans_pred_opti_data!C1719)*loans_pred_opti_data!D1719</f>
        <v>644.05810126533015</v>
      </c>
    </row>
    <row r="1720" spans="1:3" x14ac:dyDescent="0.2">
      <c r="A1720" s="1">
        <v>0</v>
      </c>
      <c r="B1720">
        <f>loans_pred_opti_data!D1720*loans_pred_opti_data!B1720</f>
        <v>357.16081835420636</v>
      </c>
      <c r="C1720">
        <f>(loans_pred_opti_data!B1720-ret_PESS!$G$35*loans_pred_opti_data!C1720)*loans_pred_opti_data!D1720</f>
        <v>226.74614282269164</v>
      </c>
    </row>
    <row r="1721" spans="1:3" x14ac:dyDescent="0.2">
      <c r="A1721" s="1">
        <v>0</v>
      </c>
      <c r="B1721">
        <f>loans_pred_opti_data!D1721*loans_pred_opti_data!B1721</f>
        <v>844.50156433235247</v>
      </c>
      <c r="C1721">
        <f>(loans_pred_opti_data!B1721-ret_PESS!$G$35*loans_pred_opti_data!C1721)*loans_pred_opti_data!D1721</f>
        <v>632.50486229434375</v>
      </c>
    </row>
    <row r="1722" spans="1:3" x14ac:dyDescent="0.2">
      <c r="A1722" s="1">
        <v>1</v>
      </c>
      <c r="B1722">
        <f>loans_pred_opti_data!D1722*loans_pred_opti_data!B1722</f>
        <v>206.35290598646355</v>
      </c>
      <c r="C1722">
        <f>(loans_pred_opti_data!B1722-ret_PESS!$G$35*loans_pred_opti_data!C1722)*loans_pred_opti_data!D1722</f>
        <v>137.96732246098227</v>
      </c>
    </row>
    <row r="1723" spans="1:3" x14ac:dyDescent="0.2">
      <c r="A1723" s="1">
        <v>0</v>
      </c>
      <c r="B1723">
        <f>loans_pred_opti_data!D1723*loans_pred_opti_data!B1723</f>
        <v>300.16544364563583</v>
      </c>
      <c r="C1723">
        <f>(loans_pred_opti_data!B1723-ret_PESS!$G$35*loans_pred_opti_data!C1723)*loans_pred_opti_data!D1723</f>
        <v>229.31478781633373</v>
      </c>
    </row>
    <row r="1724" spans="1:3" x14ac:dyDescent="0.2">
      <c r="A1724" s="1">
        <v>1</v>
      </c>
      <c r="B1724">
        <f>loans_pred_opti_data!D1724*loans_pred_opti_data!B1724</f>
        <v>464.96073962001304</v>
      </c>
      <c r="C1724">
        <f>(loans_pred_opti_data!B1724-ret_PESS!$G$35*loans_pred_opti_data!C1724)*loans_pred_opti_data!D1724</f>
        <v>350.84789852993759</v>
      </c>
    </row>
    <row r="1725" spans="1:3" x14ac:dyDescent="0.2">
      <c r="A1725" s="1">
        <v>0</v>
      </c>
      <c r="B1725">
        <f>loans_pred_opti_data!D1725*loans_pred_opti_data!B1725</f>
        <v>625.85982079780445</v>
      </c>
      <c r="C1725">
        <f>(loans_pred_opti_data!B1725-ret_PESS!$G$35*loans_pred_opti_data!C1725)*loans_pred_opti_data!D1725</f>
        <v>527.41100554172647</v>
      </c>
    </row>
    <row r="1726" spans="1:3" x14ac:dyDescent="0.2">
      <c r="A1726" s="1">
        <v>0</v>
      </c>
      <c r="B1726">
        <f>loans_pred_opti_data!D1726*loans_pred_opti_data!B1726</f>
        <v>96.303563538693481</v>
      </c>
      <c r="C1726">
        <f>(loans_pred_opti_data!B1726-ret_PESS!$G$35*loans_pred_opti_data!C1726)*loans_pred_opti_data!D1726</f>
        <v>66.960261544102664</v>
      </c>
    </row>
    <row r="1727" spans="1:3" x14ac:dyDescent="0.2">
      <c r="A1727" s="1">
        <v>0</v>
      </c>
      <c r="B1727">
        <f>loans_pred_opti_data!D1727*loans_pred_opti_data!B1727</f>
        <v>523.10417603548603</v>
      </c>
      <c r="C1727">
        <f>(loans_pred_opti_data!B1727-ret_PESS!$G$35*loans_pred_opti_data!C1727)*loans_pred_opti_data!D1727</f>
        <v>386.16876672739562</v>
      </c>
    </row>
    <row r="1728" spans="1:3" x14ac:dyDescent="0.2">
      <c r="A1728" s="1">
        <v>0</v>
      </c>
      <c r="B1728">
        <f>loans_pred_opti_data!D1728*loans_pred_opti_data!B1728</f>
        <v>457.68068700697796</v>
      </c>
      <c r="C1728">
        <f>(loans_pred_opti_data!B1728-ret_PESS!$G$35*loans_pred_opti_data!C1728)*loans_pred_opti_data!D1728</f>
        <v>335.41692869618294</v>
      </c>
    </row>
    <row r="1729" spans="1:3" x14ac:dyDescent="0.2">
      <c r="A1729" s="1">
        <v>0</v>
      </c>
      <c r="B1729">
        <f>loans_pred_opti_data!D1729*loans_pred_opti_data!B1729</f>
        <v>598.87220805004199</v>
      </c>
      <c r="C1729">
        <f>(loans_pred_opti_data!B1729-ret_PESS!$G$35*loans_pred_opti_data!C1729)*loans_pred_opti_data!D1729</f>
        <v>429.27484641963497</v>
      </c>
    </row>
    <row r="1730" spans="1:3" x14ac:dyDescent="0.2">
      <c r="A1730" s="1">
        <v>0</v>
      </c>
      <c r="B1730">
        <f>loans_pred_opti_data!D1730*loans_pred_opti_data!B1730</f>
        <v>439.11371625311551</v>
      </c>
      <c r="C1730">
        <f>(loans_pred_opti_data!B1730-ret_PESS!$G$35*loans_pred_opti_data!C1730)*loans_pred_opti_data!D1730</f>
        <v>326.65235779390576</v>
      </c>
    </row>
    <row r="1731" spans="1:3" x14ac:dyDescent="0.2">
      <c r="A1731" s="1">
        <v>0</v>
      </c>
      <c r="B1731">
        <f>loans_pred_opti_data!D1731*loans_pred_opti_data!B1731</f>
        <v>405.7684249608584</v>
      </c>
      <c r="C1731">
        <f>(loans_pred_opti_data!B1731-ret_PESS!$G$35*loans_pred_opti_data!C1731)*loans_pred_opti_data!D1731</f>
        <v>291.65558387078295</v>
      </c>
    </row>
    <row r="1732" spans="1:3" x14ac:dyDescent="0.2">
      <c r="A1732" s="1">
        <v>0</v>
      </c>
      <c r="B1732">
        <f>loans_pred_opti_data!D1732*loans_pred_opti_data!B1732</f>
        <v>302.68140687603398</v>
      </c>
      <c r="C1732">
        <f>(loans_pred_opti_data!B1732-ret_PESS!$G$35*loans_pred_opti_data!C1732)*loans_pred_opti_data!D1732</f>
        <v>221.17223466883732</v>
      </c>
    </row>
    <row r="1733" spans="1:3" x14ac:dyDescent="0.2">
      <c r="A1733" s="1">
        <v>0</v>
      </c>
      <c r="B1733">
        <f>loans_pred_opti_data!D1733*loans_pred_opti_data!B1733</f>
        <v>100.58637401783257</v>
      </c>
      <c r="C1733">
        <f>(loans_pred_opti_data!B1733-ret_PESS!$G$35*loans_pred_opti_data!C1733)*loans_pred_opti_data!D1733</f>
        <v>-85.970723775615156</v>
      </c>
    </row>
    <row r="1734" spans="1:3" x14ac:dyDescent="0.2">
      <c r="A1734" s="1">
        <v>0</v>
      </c>
      <c r="B1734">
        <f>loans_pred_opti_data!D1734*loans_pred_opti_data!B1734</f>
        <v>73.375646904723624</v>
      </c>
      <c r="C1734">
        <f>(loans_pred_opti_data!B1734-ret_PESS!$G$35*loans_pred_opti_data!C1734)*loans_pred_opti_data!D1734</f>
        <v>37.715384064075067</v>
      </c>
    </row>
    <row r="1735" spans="1:3" x14ac:dyDescent="0.2">
      <c r="A1735" s="1">
        <v>0</v>
      </c>
      <c r="B1735">
        <f>loans_pred_opti_data!D1735*loans_pred_opti_data!B1735</f>
        <v>463.66436601125167</v>
      </c>
      <c r="C1735">
        <f>(loans_pred_opti_data!B1735-ret_PESS!$G$35*loans_pred_opti_data!C1735)*loans_pred_opti_data!D1735</f>
        <v>325.09877325901726</v>
      </c>
    </row>
    <row r="1736" spans="1:3" x14ac:dyDescent="0.2">
      <c r="A1736" s="1">
        <v>0</v>
      </c>
      <c r="B1736">
        <f>loans_pred_opti_data!D1736*loans_pred_opti_data!B1736</f>
        <v>372.8101275457264</v>
      </c>
      <c r="C1736">
        <f>(loans_pred_opti_data!B1736-ret_PESS!$G$35*loans_pred_opti_data!C1736)*loans_pred_opti_data!D1736</f>
        <v>286.49883745820591</v>
      </c>
    </row>
    <row r="1737" spans="1:3" x14ac:dyDescent="0.2">
      <c r="A1737" s="1">
        <v>0</v>
      </c>
      <c r="B1737">
        <f>loans_pred_opti_data!D1737*loans_pred_opti_data!B1737</f>
        <v>-44.374648593314198</v>
      </c>
      <c r="C1737">
        <f>(loans_pred_opti_data!B1737-ret_PESS!$G$35*loans_pred_opti_data!C1737)*loans_pred_opti_data!D1737</f>
        <v>-281.81095487588402</v>
      </c>
    </row>
    <row r="1738" spans="1:3" x14ac:dyDescent="0.2">
      <c r="A1738" s="1">
        <v>0</v>
      </c>
      <c r="B1738">
        <f>loans_pred_opti_data!D1738*loans_pred_opti_data!B1738</f>
        <v>619.0235486668787</v>
      </c>
      <c r="C1738">
        <f>(loans_pred_opti_data!B1738-ret_PESS!$G$35*loans_pred_opti_data!C1738)*loans_pred_opti_data!D1738</f>
        <v>449.00219363239569</v>
      </c>
    </row>
    <row r="1739" spans="1:3" x14ac:dyDescent="0.2">
      <c r="A1739" s="1">
        <v>0</v>
      </c>
      <c r="B1739">
        <f>loans_pred_opti_data!D1739*loans_pred_opti_data!B1739</f>
        <v>89.585763732140734</v>
      </c>
      <c r="C1739">
        <f>(loans_pred_opti_data!B1739-ret_PESS!$G$35*loans_pred_opti_data!C1739)*loans_pred_opti_data!D1739</f>
        <v>-71.531729816745937</v>
      </c>
    </row>
    <row r="1740" spans="1:3" x14ac:dyDescent="0.2">
      <c r="A1740" s="1">
        <v>0</v>
      </c>
      <c r="B1740">
        <f>loans_pred_opti_data!D1740*loans_pred_opti_data!B1740</f>
        <v>371.09621022469838</v>
      </c>
      <c r="C1740">
        <f>(loans_pred_opti_data!B1740-ret_PESS!$G$35*loans_pred_opti_data!C1740)*loans_pred_opti_data!D1740</f>
        <v>286.91452008206369</v>
      </c>
    </row>
    <row r="1741" spans="1:3" x14ac:dyDescent="0.2">
      <c r="A1741" s="1">
        <v>0</v>
      </c>
      <c r="B1741">
        <f>loans_pred_opti_data!D1741*loans_pred_opti_data!B1741</f>
        <v>513.27967196319685</v>
      </c>
      <c r="C1741">
        <f>(loans_pred_opti_data!B1741-ret_PESS!$G$35*loans_pred_opti_data!C1741)*loans_pred_opti_data!D1741</f>
        <v>369.61975594801265</v>
      </c>
    </row>
    <row r="1742" spans="1:3" x14ac:dyDescent="0.2">
      <c r="A1742" s="1">
        <v>0</v>
      </c>
      <c r="B1742">
        <f>loans_pred_opti_data!D1742*loans_pred_opti_data!B1742</f>
        <v>111.76474733345508</v>
      </c>
      <c r="C1742">
        <f>(loans_pred_opti_data!B1742-ret_PESS!$G$35*loans_pred_opti_data!C1742)*loans_pred_opti_data!D1742</f>
        <v>73.047890535036643</v>
      </c>
    </row>
    <row r="1743" spans="1:3" x14ac:dyDescent="0.2">
      <c r="A1743" s="1">
        <v>0</v>
      </c>
      <c r="B1743">
        <f>loans_pred_opti_data!D1743*loans_pred_opti_data!B1743</f>
        <v>300.61865542129902</v>
      </c>
      <c r="C1743">
        <f>(loans_pred_opti_data!B1743-ret_PESS!$G$35*loans_pred_opti_data!C1743)*loans_pred_opti_data!D1743</f>
        <v>225.64441644849248</v>
      </c>
    </row>
    <row r="1744" spans="1:3" x14ac:dyDescent="0.2">
      <c r="A1744" s="1">
        <v>1</v>
      </c>
      <c r="B1744">
        <f>loans_pred_opti_data!D1744*loans_pred_opti_data!B1744</f>
        <v>442.356424933423</v>
      </c>
      <c r="C1744">
        <f>(loans_pred_opti_data!B1744-ret_PESS!$G$35*loans_pred_opti_data!C1744)*loans_pred_opti_data!D1744</f>
        <v>335.1432632023097</v>
      </c>
    </row>
    <row r="1745" spans="1:3" x14ac:dyDescent="0.2">
      <c r="A1745" s="1">
        <v>0</v>
      </c>
      <c r="B1745">
        <f>loans_pred_opti_data!D1745*loans_pred_opti_data!B1745</f>
        <v>50.155132280095195</v>
      </c>
      <c r="C1745">
        <f>(loans_pred_opti_data!B1745-ret_PESS!$G$35*loans_pred_opti_data!C1745)*loans_pred_opti_data!D1745</f>
        <v>-72.108626030699867</v>
      </c>
    </row>
    <row r="1746" spans="1:3" x14ac:dyDescent="0.2">
      <c r="A1746" s="1">
        <v>1</v>
      </c>
      <c r="B1746">
        <f>loans_pred_opti_data!D1746*loans_pred_opti_data!B1746</f>
        <v>148.22524349527404</v>
      </c>
      <c r="C1746">
        <f>(loans_pred_opti_data!B1746-ret_PESS!$G$35*loans_pred_opti_data!C1746)*loans_pred_opti_data!D1746</f>
        <v>54.489695456997843</v>
      </c>
    </row>
    <row r="1747" spans="1:3" x14ac:dyDescent="0.2">
      <c r="A1747" s="1">
        <v>0</v>
      </c>
      <c r="B1747">
        <f>loans_pred_opti_data!D1747*loans_pred_opti_data!B1747</f>
        <v>779.97781409142237</v>
      </c>
      <c r="C1747">
        <f>(loans_pred_opti_data!B1747-ret_PESS!$G$35*loans_pred_opti_data!C1747)*loans_pred_opti_data!D1747</f>
        <v>650.51087896014167</v>
      </c>
    </row>
    <row r="1748" spans="1:3" x14ac:dyDescent="0.2">
      <c r="A1748" s="1">
        <v>0</v>
      </c>
      <c r="B1748">
        <f>loans_pred_opti_data!D1748*loans_pred_opti_data!B1748</f>
        <v>511.04096724978638</v>
      </c>
      <c r="C1748">
        <f>(loans_pred_opti_data!B1748-ret_PESS!$G$35*loans_pred_opti_data!C1748)*loans_pred_opti_data!D1748</f>
        <v>403.16511718142152</v>
      </c>
    </row>
    <row r="1749" spans="1:3" x14ac:dyDescent="0.2">
      <c r="A1749" s="1">
        <v>1</v>
      </c>
      <c r="B1749">
        <f>loans_pred_opti_data!D1749*loans_pred_opti_data!B1749</f>
        <v>454.25261156321602</v>
      </c>
      <c r="C1749">
        <f>(loans_pred_opti_data!B1749-ret_PESS!$G$35*loans_pred_opti_data!C1749)*loans_pred_opti_data!D1749</f>
        <v>367.94132147569553</v>
      </c>
    </row>
    <row r="1750" spans="1:3" x14ac:dyDescent="0.2">
      <c r="A1750" s="1">
        <v>0</v>
      </c>
      <c r="B1750">
        <f>loans_pred_opti_data!D1750*loans_pred_opti_data!B1750</f>
        <v>342.68143201685854</v>
      </c>
      <c r="C1750">
        <f>(loans_pred_opti_data!B1750-ret_PESS!$G$35*loans_pred_opti_data!C1750)*loans_pred_opti_data!D1750</f>
        <v>234.71852789601721</v>
      </c>
    </row>
    <row r="1751" spans="1:3" x14ac:dyDescent="0.2">
      <c r="A1751" s="1">
        <v>0</v>
      </c>
      <c r="B1751">
        <f>loans_pred_opti_data!D1751*loans_pred_opti_data!B1751</f>
        <v>517.07373128338611</v>
      </c>
      <c r="C1751">
        <f>(loans_pred_opti_data!B1751-ret_PESS!$G$35*loans_pred_opti_data!C1751)*loans_pred_opti_data!D1751</f>
        <v>414.5790743044555</v>
      </c>
    </row>
    <row r="1752" spans="1:3" x14ac:dyDescent="0.2">
      <c r="A1752" s="1">
        <v>0</v>
      </c>
      <c r="B1752">
        <f>loans_pred_opti_data!D1752*loans_pred_opti_data!B1752</f>
        <v>-1.096163244049944</v>
      </c>
      <c r="C1752">
        <f>(loans_pred_opti_data!B1752-ret_PESS!$G$35*loans_pred_opti_data!C1752)*loans_pred_opti_data!D1752</f>
        <v>-43.081737068821589</v>
      </c>
    </row>
    <row r="1753" spans="1:3" x14ac:dyDescent="0.2">
      <c r="A1753" s="1">
        <v>1</v>
      </c>
      <c r="B1753">
        <f>loans_pred_opti_data!D1753*loans_pred_opti_data!B1753</f>
        <v>385.01782443456341</v>
      </c>
      <c r="C1753">
        <f>(loans_pred_opti_data!B1753-ret_PESS!$G$35*loans_pred_opti_data!C1753)*loans_pred_opti_data!D1753</f>
        <v>294.8644354488585</v>
      </c>
    </row>
    <row r="1754" spans="1:3" x14ac:dyDescent="0.2">
      <c r="A1754" s="1">
        <v>0</v>
      </c>
      <c r="B1754">
        <f>loans_pred_opti_data!D1754*loans_pred_opti_data!B1754</f>
        <v>301.05744288627841</v>
      </c>
      <c r="C1754">
        <f>(loans_pred_opti_data!B1754-ret_PESS!$G$35*loans_pred_opti_data!C1754)*loans_pred_opti_data!D1754</f>
        <v>63.621136603708578</v>
      </c>
    </row>
    <row r="1755" spans="1:3" x14ac:dyDescent="0.2">
      <c r="A1755" s="1">
        <v>0</v>
      </c>
      <c r="B1755">
        <f>loans_pred_opti_data!D1755*loans_pred_opti_data!B1755</f>
        <v>600.29957003419395</v>
      </c>
      <c r="C1755">
        <f>(loans_pred_opti_data!B1755-ret_PESS!$G$35*loans_pred_opti_data!C1755)*loans_pred_opti_data!D1755</f>
        <v>492.41045742479338</v>
      </c>
    </row>
    <row r="1756" spans="1:3" x14ac:dyDescent="0.2">
      <c r="A1756" s="1">
        <v>0</v>
      </c>
      <c r="B1756">
        <f>loans_pred_opti_data!D1756*loans_pred_opti_data!B1756</f>
        <v>35.614397332834201</v>
      </c>
      <c r="C1756">
        <f>(loans_pred_opti_data!B1756-ret_PESS!$G$35*loans_pred_opti_data!C1756)*loans_pred_opti_data!D1756</f>
        <v>-133.98296429757283</v>
      </c>
    </row>
    <row r="1757" spans="1:3" x14ac:dyDescent="0.2">
      <c r="A1757" s="1">
        <v>0</v>
      </c>
      <c r="B1757">
        <f>loans_pred_opti_data!D1757*loans_pred_opti_data!B1757</f>
        <v>183.33766810255787</v>
      </c>
      <c r="C1757">
        <f>(loans_pred_opti_data!B1757-ret_PESS!$G$35*loans_pred_opti_data!C1757)*loans_pred_opti_data!D1757</f>
        <v>95.307762118785433</v>
      </c>
    </row>
    <row r="1758" spans="1:3" x14ac:dyDescent="0.2">
      <c r="A1758" s="1">
        <v>0</v>
      </c>
      <c r="B1758">
        <f>loans_pred_opti_data!D1758*loans_pred_opti_data!B1758</f>
        <v>217.56127206200802</v>
      </c>
      <c r="C1758">
        <f>(loans_pred_opti_data!B1758-ret_PESS!$G$35*loans_pred_opti_data!C1758)*loans_pred_opti_data!D1758</f>
        <v>155.91792916579953</v>
      </c>
    </row>
    <row r="1759" spans="1:3" x14ac:dyDescent="0.2">
      <c r="A1759" s="1">
        <v>0</v>
      </c>
      <c r="B1759">
        <f>loans_pred_opti_data!D1759*loans_pred_opti_data!B1759</f>
        <v>350.10047869911961</v>
      </c>
      <c r="C1759">
        <f>(loans_pred_opti_data!B1759-ret_PESS!$G$35*loans_pred_opti_data!C1759)*loans_pred_opti_data!D1759</f>
        <v>317.73374491629943</v>
      </c>
    </row>
    <row r="1760" spans="1:3" x14ac:dyDescent="0.2">
      <c r="A1760" s="1">
        <v>0</v>
      </c>
      <c r="B1760">
        <f>loans_pred_opti_data!D1760*loans_pred_opti_data!B1760</f>
        <v>104.98358470698881</v>
      </c>
      <c r="C1760">
        <f>(loans_pred_opti_data!B1760-ret_PESS!$G$35*loans_pred_opti_data!C1760)*loans_pred_opti_data!D1760</f>
        <v>80.991828235690733</v>
      </c>
    </row>
    <row r="1761" spans="1:3" x14ac:dyDescent="0.2">
      <c r="A1761" s="1">
        <v>0</v>
      </c>
      <c r="B1761">
        <f>loans_pred_opti_data!D1761*loans_pred_opti_data!B1761</f>
        <v>570.53958255252905</v>
      </c>
      <c r="C1761">
        <f>(loans_pred_opti_data!B1761-ret_PESS!$G$35*loans_pred_opti_data!C1761)*loans_pred_opti_data!D1761</f>
        <v>431.84206103605993</v>
      </c>
    </row>
    <row r="1762" spans="1:3" x14ac:dyDescent="0.2">
      <c r="A1762" s="1">
        <v>0</v>
      </c>
      <c r="B1762">
        <f>loans_pred_opti_data!D1762*loans_pred_opti_data!B1762</f>
        <v>272.36278201899614</v>
      </c>
      <c r="C1762">
        <f>(loans_pred_opti_data!B1762-ret_PESS!$G$35*loans_pred_opti_data!C1762)*loans_pred_opti_data!D1762</f>
        <v>215.75723159452724</v>
      </c>
    </row>
    <row r="1763" spans="1:3" x14ac:dyDescent="0.2">
      <c r="A1763" s="1">
        <v>0</v>
      </c>
      <c r="B1763">
        <f>loans_pred_opti_data!D1763*loans_pred_opti_data!B1763</f>
        <v>430.88947703931962</v>
      </c>
      <c r="C1763">
        <f>(loans_pred_opti_data!B1763-ret_PESS!$G$35*loans_pred_opti_data!C1763)*loans_pred_opti_data!D1763</f>
        <v>340.92039027195182</v>
      </c>
    </row>
    <row r="1764" spans="1:3" x14ac:dyDescent="0.2">
      <c r="A1764" s="1">
        <v>0</v>
      </c>
      <c r="B1764">
        <f>loans_pred_opti_data!D1764*loans_pred_opti_data!B1764</f>
        <v>216.21082307273278</v>
      </c>
      <c r="C1764">
        <f>(loans_pred_opti_data!B1764-ret_PESS!$G$35*loans_pred_opti_data!C1764)*loans_pred_opti_data!D1764</f>
        <v>156.23143189448757</v>
      </c>
    </row>
    <row r="1765" spans="1:3" x14ac:dyDescent="0.2">
      <c r="A1765" s="1">
        <v>0</v>
      </c>
      <c r="B1765">
        <f>loans_pred_opti_data!D1765*loans_pred_opti_data!B1765</f>
        <v>169.19314837010722</v>
      </c>
      <c r="C1765">
        <f>(loans_pred_opti_data!B1765-ret_PESS!$G$35*loans_pred_opti_data!C1765)*loans_pred_opti_data!D1765</f>
        <v>129.8316729093838</v>
      </c>
    </row>
    <row r="1766" spans="1:3" x14ac:dyDescent="0.2">
      <c r="A1766" s="1">
        <v>0</v>
      </c>
      <c r="B1766">
        <f>loans_pred_opti_data!D1766*loans_pred_opti_data!B1766</f>
        <v>180.67633274326846</v>
      </c>
      <c r="C1766">
        <f>(loans_pred_opti_data!B1766-ret_PESS!$G$35*loans_pred_opti_data!C1766)*loans_pred_opti_data!D1766</f>
        <v>108.70106332937422</v>
      </c>
    </row>
    <row r="1767" spans="1:3" x14ac:dyDescent="0.2">
      <c r="A1767" s="1">
        <v>0</v>
      </c>
      <c r="B1767">
        <f>loans_pred_opti_data!D1767*loans_pred_opti_data!B1767</f>
        <v>247.00558048756051</v>
      </c>
      <c r="C1767">
        <f>(loans_pred_opti_data!B1767-ret_PESS!$G$35*loans_pred_opti_data!C1767)*loans_pred_opti_data!D1767</f>
        <v>134.54422202835076</v>
      </c>
    </row>
    <row r="1768" spans="1:3" x14ac:dyDescent="0.2">
      <c r="A1768" s="1">
        <v>0</v>
      </c>
      <c r="B1768">
        <f>loans_pred_opti_data!D1768*loans_pred_opti_data!B1768</f>
        <v>150.88724180612161</v>
      </c>
      <c r="C1768">
        <f>(loans_pred_opti_data!B1768-ret_PESS!$G$35*loans_pred_opti_data!C1768)*loans_pred_opti_data!D1768</f>
        <v>87.310087484508173</v>
      </c>
    </row>
    <row r="1769" spans="1:3" x14ac:dyDescent="0.2">
      <c r="A1769" s="1">
        <v>0</v>
      </c>
      <c r="B1769">
        <f>loans_pred_opti_data!D1769*loans_pred_opti_data!B1769</f>
        <v>351.33125738233321</v>
      </c>
      <c r="C1769">
        <f>(loans_pred_opti_data!B1769-ret_PESS!$G$35*loans_pred_opti_data!C1769)*loans_pred_opti_data!D1769</f>
        <v>253.52025073369717</v>
      </c>
    </row>
    <row r="1770" spans="1:3" x14ac:dyDescent="0.2">
      <c r="A1770" s="1">
        <v>0</v>
      </c>
      <c r="B1770">
        <f>loans_pred_opti_data!D1770*loans_pred_opti_data!B1770</f>
        <v>-7.0286113344100496</v>
      </c>
      <c r="C1770">
        <f>(loans_pred_opti_data!B1770-ret_PESS!$G$35*loans_pred_opti_data!C1770)*loans_pred_opti_data!D1770</f>
        <v>-175.39199161967949</v>
      </c>
    </row>
    <row r="1771" spans="1:3" x14ac:dyDescent="0.2">
      <c r="A1771" s="1">
        <v>0</v>
      </c>
      <c r="B1771">
        <f>loans_pred_opti_data!D1771*loans_pred_opti_data!B1771</f>
        <v>370.00352505739198</v>
      </c>
      <c r="C1771">
        <f>(loans_pred_opti_data!B1771-ret_PESS!$G$35*loans_pred_opti_data!C1771)*loans_pred_opti_data!D1771</f>
        <v>288.4943528501953</v>
      </c>
    </row>
    <row r="1772" spans="1:3" x14ac:dyDescent="0.2">
      <c r="A1772" s="1">
        <v>0</v>
      </c>
      <c r="B1772">
        <f>loans_pred_opti_data!D1772*loans_pred_opti_data!B1772</f>
        <v>270.55286829365099</v>
      </c>
      <c r="C1772">
        <f>(loans_pred_opti_data!B1772-ret_PESS!$G$35*loans_pred_opti_data!C1772)*loans_pred_opti_data!D1772</f>
        <v>189.0436960864543</v>
      </c>
    </row>
    <row r="1773" spans="1:3" x14ac:dyDescent="0.2">
      <c r="A1773" s="1">
        <v>0</v>
      </c>
      <c r="B1773">
        <f>loans_pred_opti_data!D1773*loans_pred_opti_data!B1773</f>
        <v>92.520157563859797</v>
      </c>
      <c r="C1773">
        <f>(loans_pred_opti_data!B1773-ret_PESS!$G$35*loans_pred_opti_data!C1773)*loans_pred_opti_data!D1773</f>
        <v>43.614654239541778</v>
      </c>
    </row>
    <row r="1774" spans="1:3" x14ac:dyDescent="0.2">
      <c r="A1774" s="1">
        <v>0</v>
      </c>
      <c r="B1774">
        <f>loans_pred_opti_data!D1774*loans_pred_opti_data!B1774</f>
        <v>667.15296667374855</v>
      </c>
      <c r="C1774">
        <f>(loans_pred_opti_data!B1774-ret_PESS!$G$35*loans_pred_opti_data!C1774)*loans_pred_opti_data!D1774</f>
        <v>521.70294306650396</v>
      </c>
    </row>
    <row r="1775" spans="1:3" x14ac:dyDescent="0.2">
      <c r="A1775" s="1">
        <v>1</v>
      </c>
      <c r="B1775">
        <f>loans_pred_opti_data!D1775*loans_pred_opti_data!B1775</f>
        <v>443.5798637704392</v>
      </c>
      <c r="C1775">
        <f>(loans_pred_opti_data!B1775-ret_PESS!$G$35*loans_pred_opti_data!C1775)*loans_pred_opti_data!D1775</f>
        <v>346.47966242197862</v>
      </c>
    </row>
    <row r="1776" spans="1:3" x14ac:dyDescent="0.2">
      <c r="A1776" s="1">
        <v>0</v>
      </c>
      <c r="B1776">
        <f>loans_pred_opti_data!D1776*loans_pred_opti_data!B1776</f>
        <v>137.14925395247226</v>
      </c>
      <c r="C1776">
        <f>(loans_pred_opti_data!B1776-ret_PESS!$G$35*loans_pred_opti_data!C1776)*loans_pred_opti_data!D1776</f>
        <v>89.2626152807442</v>
      </c>
    </row>
    <row r="1777" spans="1:3" x14ac:dyDescent="0.2">
      <c r="A1777" s="1">
        <v>0</v>
      </c>
      <c r="B1777">
        <f>loans_pred_opti_data!D1777*loans_pred_opti_data!B1777</f>
        <v>116.01470959420359</v>
      </c>
      <c r="C1777">
        <f>(loans_pred_opti_data!B1777-ret_PESS!$G$35*loans_pred_opti_data!C1777)*loans_pred_opti_data!D1777</f>
        <v>86.025014005081005</v>
      </c>
    </row>
    <row r="1778" spans="1:3" x14ac:dyDescent="0.2">
      <c r="A1778" s="1">
        <v>0</v>
      </c>
      <c r="B1778">
        <f>loans_pred_opti_data!D1778*loans_pred_opti_data!B1778</f>
        <v>426.25244828445113</v>
      </c>
      <c r="C1778">
        <f>(loans_pred_opti_data!B1778-ret_PESS!$G$35*loans_pred_opti_data!C1778)*loans_pred_opti_data!D1778</f>
        <v>339.64895281430461</v>
      </c>
    </row>
    <row r="1779" spans="1:3" x14ac:dyDescent="0.2">
      <c r="A1779" s="1">
        <v>0</v>
      </c>
      <c r="B1779">
        <f>loans_pred_opti_data!D1779*loans_pred_opti_data!B1779</f>
        <v>452.71614966971401</v>
      </c>
      <c r="C1779">
        <f>(loans_pred_opti_data!B1779-ret_PESS!$G$35*loans_pred_opti_data!C1779)*loans_pred_opti_data!D1779</f>
        <v>398.7715933650137</v>
      </c>
    </row>
    <row r="1780" spans="1:3" x14ac:dyDescent="0.2">
      <c r="A1780" s="1">
        <v>0</v>
      </c>
      <c r="B1780">
        <f>loans_pred_opti_data!D1780*loans_pred_opti_data!B1780</f>
        <v>439.61714073127166</v>
      </c>
      <c r="C1780">
        <f>(loans_pred_opti_data!B1780-ret_PESS!$G$35*loans_pred_opti_data!C1780)*loans_pred_opti_data!D1780</f>
        <v>351.79100767801719</v>
      </c>
    </row>
    <row r="1781" spans="1:3" x14ac:dyDescent="0.2">
      <c r="A1781" s="1">
        <v>0</v>
      </c>
      <c r="B1781">
        <f>loans_pred_opti_data!D1781*loans_pred_opti_data!B1781</f>
        <v>188.48352460644779</v>
      </c>
      <c r="C1781">
        <f>(loans_pred_opti_data!B1781-ret_PESS!$G$35*loans_pred_opti_data!C1781)*loans_pred_opti_data!D1781</f>
        <v>-65.912517839162746</v>
      </c>
    </row>
    <row r="1782" spans="1:3" x14ac:dyDescent="0.2">
      <c r="A1782" s="1">
        <v>0</v>
      </c>
      <c r="B1782">
        <f>loans_pred_opti_data!D1782*loans_pred_opti_data!B1782</f>
        <v>21.844446869646902</v>
      </c>
      <c r="C1782">
        <f>(loans_pred_opti_data!B1782-ret_PESS!$G$35*loans_pred_opti_data!C1782)*loans_pred_opti_data!D1782</f>
        <v>9.6180710385673951</v>
      </c>
    </row>
    <row r="1783" spans="1:3" x14ac:dyDescent="0.2">
      <c r="A1783" s="1">
        <v>0</v>
      </c>
      <c r="B1783">
        <f>loans_pred_opti_data!D1783*loans_pred_opti_data!B1783</f>
        <v>933.40898063122199</v>
      </c>
      <c r="C1783">
        <f>(loans_pred_opti_data!B1783-ret_PESS!$G$35*loans_pred_opti_data!C1783)*loans_pred_opti_data!D1783</f>
        <v>771.57531171712117</v>
      </c>
    </row>
    <row r="1784" spans="1:3" x14ac:dyDescent="0.2">
      <c r="A1784" s="1">
        <v>0</v>
      </c>
      <c r="B1784">
        <f>loans_pred_opti_data!D1784*loans_pred_opti_data!B1784</f>
        <v>142.82354215829372</v>
      </c>
      <c r="C1784">
        <f>(loans_pred_opti_data!B1784-ret_PESS!$G$35*loans_pred_opti_data!C1784)*loans_pred_opti_data!D1784</f>
        <v>95.214900410561583</v>
      </c>
    </row>
    <row r="1785" spans="1:3" x14ac:dyDescent="0.2">
      <c r="A1785" s="1">
        <v>0</v>
      </c>
      <c r="B1785">
        <f>loans_pred_opti_data!D1785*loans_pred_opti_data!B1785</f>
        <v>-8.1467967948655868</v>
      </c>
      <c r="C1785">
        <f>(loans_pred_opti_data!B1785-ret_PESS!$G$35*loans_pred_opti_data!C1785)*loans_pred_opti_data!D1785</f>
        <v>-194.70389458831332</v>
      </c>
    </row>
    <row r="1786" spans="1:3" x14ac:dyDescent="0.2">
      <c r="A1786" s="1">
        <v>0</v>
      </c>
      <c r="B1786">
        <f>loans_pred_opti_data!D1786*loans_pred_opti_data!B1786</f>
        <v>401.23053380968105</v>
      </c>
      <c r="C1786">
        <f>(loans_pred_opti_data!B1786-ret_PESS!$G$35*loans_pred_opti_data!C1786)*loans_pred_opti_data!D1786</f>
        <v>309.38709106799314</v>
      </c>
    </row>
    <row r="1787" spans="1:3" x14ac:dyDescent="0.2">
      <c r="A1787" s="1">
        <v>0</v>
      </c>
      <c r="B1787">
        <f>loans_pred_opti_data!D1787*loans_pred_opti_data!B1787</f>
        <v>518.99534987635866</v>
      </c>
      <c r="C1787">
        <f>(loans_pred_opti_data!B1787-ret_PESS!$G$35*loans_pred_opti_data!C1787)*loans_pred_opti_data!D1787</f>
        <v>400.16118110446041</v>
      </c>
    </row>
    <row r="1788" spans="1:3" x14ac:dyDescent="0.2">
      <c r="A1788" s="1">
        <v>0</v>
      </c>
      <c r="B1788">
        <f>loans_pred_opti_data!D1788*loans_pred_opti_data!B1788</f>
        <v>1855.1408130887221</v>
      </c>
      <c r="C1788">
        <f>(loans_pred_opti_data!B1788-ret_PESS!$G$35*loans_pred_opti_data!C1788)*loans_pred_opti_data!D1788</f>
        <v>1693.3071441746213</v>
      </c>
    </row>
    <row r="1789" spans="1:3" x14ac:dyDescent="0.2">
      <c r="A1789" s="1">
        <v>0</v>
      </c>
      <c r="B1789">
        <f>loans_pred_opti_data!D1789*loans_pred_opti_data!B1789</f>
        <v>529.922252441193</v>
      </c>
      <c r="C1789">
        <f>(loans_pred_opti_data!B1789-ret_PESS!$G$35*loans_pred_opti_data!C1789)*loans_pred_opti_data!D1789</f>
        <v>424.20857548953586</v>
      </c>
    </row>
    <row r="1790" spans="1:3" x14ac:dyDescent="0.2">
      <c r="A1790" s="1">
        <v>0</v>
      </c>
      <c r="B1790">
        <f>loans_pred_opti_data!D1790*loans_pred_opti_data!B1790</f>
        <v>511.06820231436717</v>
      </c>
      <c r="C1790">
        <f>(loans_pred_opti_data!B1790-ret_PESS!$G$35*loans_pred_opti_data!C1790)*loans_pred_opti_data!D1790</f>
        <v>446.33473474872682</v>
      </c>
    </row>
    <row r="1791" spans="1:3" x14ac:dyDescent="0.2">
      <c r="A1791" s="1">
        <v>0</v>
      </c>
      <c r="B1791">
        <f>loans_pred_opti_data!D1791*loans_pred_opti_data!B1791</f>
        <v>399.68266693117198</v>
      </c>
      <c r="C1791">
        <f>(loans_pred_opti_data!B1791-ret_PESS!$G$35*loans_pred_opti_data!C1791)*loans_pred_opti_data!D1791</f>
        <v>301.87166028253591</v>
      </c>
    </row>
    <row r="1792" spans="1:3" x14ac:dyDescent="0.2">
      <c r="A1792" s="1">
        <v>0</v>
      </c>
      <c r="B1792">
        <f>loans_pred_opti_data!D1792*loans_pred_opti_data!B1792</f>
        <v>237.6361331905635</v>
      </c>
      <c r="C1792">
        <f>(loans_pred_opti_data!B1792-ret_PESS!$G$35*loans_pred_opti_data!C1792)*loans_pred_opti_data!D1792</f>
        <v>200.14901370416027</v>
      </c>
    </row>
    <row r="1793" spans="1:3" x14ac:dyDescent="0.2">
      <c r="A1793" s="1">
        <v>0</v>
      </c>
      <c r="B1793">
        <f>loans_pred_opti_data!D1793*loans_pred_opti_data!B1793</f>
        <v>472.4239811510198</v>
      </c>
      <c r="C1793">
        <f>(loans_pred_opti_data!B1793-ret_PESS!$G$35*loans_pred_opti_data!C1793)*loans_pred_opti_data!D1793</f>
        <v>358.31114006094441</v>
      </c>
    </row>
    <row r="1794" spans="1:3" x14ac:dyDescent="0.2">
      <c r="A1794" s="1">
        <v>0</v>
      </c>
      <c r="B1794">
        <f>loans_pred_opti_data!D1794*loans_pred_opti_data!B1794</f>
        <v>156.24544745942839</v>
      </c>
      <c r="C1794">
        <f>(loans_pred_opti_data!B1794-ret_PESS!$G$35*loans_pred_opti_data!C1794)*loans_pred_opti_data!D1794</f>
        <v>125.50600948057773</v>
      </c>
    </row>
    <row r="1795" spans="1:3" x14ac:dyDescent="0.2">
      <c r="A1795" s="1">
        <v>0</v>
      </c>
      <c r="B1795">
        <f>loans_pred_opti_data!D1795*loans_pred_opti_data!B1795</f>
        <v>586.04013955887115</v>
      </c>
      <c r="C1795">
        <f>(loans_pred_opti_data!B1795-ret_PESS!$G$35*loans_pred_opti_data!C1795)*loans_pred_opti_data!D1795</f>
        <v>451.08650940781951</v>
      </c>
    </row>
    <row r="1796" spans="1:3" x14ac:dyDescent="0.2">
      <c r="A1796" s="1">
        <v>0</v>
      </c>
      <c r="B1796">
        <f>loans_pred_opti_data!D1796*loans_pred_opti_data!B1796</f>
        <v>67.464416839245132</v>
      </c>
      <c r="C1796">
        <f>(loans_pred_opti_data!B1796-ret_PESS!$G$35*loans_pred_opti_data!C1796)*loans_pred_opti_data!D1796</f>
        <v>46.272032065373992</v>
      </c>
    </row>
    <row r="1797" spans="1:3" x14ac:dyDescent="0.2">
      <c r="A1797" s="1">
        <v>0</v>
      </c>
      <c r="B1797">
        <f>loans_pred_opti_data!D1797*loans_pred_opti_data!B1797</f>
        <v>352.93615098548895</v>
      </c>
      <c r="C1797">
        <f>(loans_pred_opti_data!B1797-ret_PESS!$G$35*loans_pred_opti_data!C1797)*loans_pred_opti_data!D1797</f>
        <v>253.7288960119034</v>
      </c>
    </row>
    <row r="1798" spans="1:3" x14ac:dyDescent="0.2">
      <c r="A1798" s="1">
        <v>0</v>
      </c>
      <c r="B1798">
        <f>loans_pred_opti_data!D1798*loans_pred_opti_data!B1798</f>
        <v>234.51679667148767</v>
      </c>
      <c r="C1798">
        <f>(loans_pred_opti_data!B1798-ret_PESS!$G$35*loans_pred_opti_data!C1798)*loans_pred_opti_data!D1798</f>
        <v>166.04909201744243</v>
      </c>
    </row>
    <row r="1799" spans="1:3" x14ac:dyDescent="0.2">
      <c r="A1799" s="1">
        <v>0</v>
      </c>
      <c r="B1799">
        <f>loans_pred_opti_data!D1799*loans_pred_opti_data!B1799</f>
        <v>220.2215870506941</v>
      </c>
      <c r="C1799">
        <f>(loans_pred_opti_data!B1799-ret_PESS!$G$35*loans_pred_opti_data!C1799)*loans_pred_opti_data!D1799</f>
        <v>146.86333206421705</v>
      </c>
    </row>
    <row r="1800" spans="1:3" x14ac:dyDescent="0.2">
      <c r="A1800" s="1">
        <v>0</v>
      </c>
      <c r="B1800">
        <f>loans_pred_opti_data!D1800*loans_pred_opti_data!B1800</f>
        <v>1510.7721123913425</v>
      </c>
      <c r="C1800">
        <f>(loans_pred_opti_data!B1800-ret_PESS!$G$35*loans_pred_opti_data!C1800)*loans_pred_opti_data!D1800</f>
        <v>1241.0824872204305</v>
      </c>
    </row>
    <row r="1801" spans="1:3" x14ac:dyDescent="0.2">
      <c r="A1801" s="1">
        <v>0</v>
      </c>
      <c r="B1801">
        <f>loans_pred_opti_data!D1801*loans_pred_opti_data!B1801</f>
        <v>664.76990343759064</v>
      </c>
      <c r="C1801">
        <f>(loans_pred_opti_data!B1801-ret_PESS!$G$35*loans_pred_opti_data!C1801)*loans_pred_opti_data!D1801</f>
        <v>485.20869681139726</v>
      </c>
    </row>
    <row r="1802" spans="1:3" x14ac:dyDescent="0.2">
      <c r="A1802" s="1">
        <v>0</v>
      </c>
      <c r="B1802">
        <f>loans_pred_opti_data!D1802*loans_pred_opti_data!B1802</f>
        <v>225.79771099802241</v>
      </c>
      <c r="C1802">
        <f>(loans_pred_opti_data!B1802-ret_PESS!$G$35*loans_pred_opti_data!C1802)*loans_pred_opti_data!D1802</f>
        <v>160.59037323226505</v>
      </c>
    </row>
    <row r="1803" spans="1:3" x14ac:dyDescent="0.2">
      <c r="A1803" s="1">
        <v>0</v>
      </c>
      <c r="B1803">
        <f>loans_pred_opti_data!D1803*loans_pred_opti_data!B1803</f>
        <v>349.36030204897298</v>
      </c>
      <c r="C1803">
        <f>(loans_pred_opti_data!B1803-ret_PESS!$G$35*loans_pred_opti_data!C1803)*loans_pred_opti_data!D1803</f>
        <v>267.8511298417763</v>
      </c>
    </row>
    <row r="1804" spans="1:3" x14ac:dyDescent="0.2">
      <c r="A1804" s="1">
        <v>0</v>
      </c>
      <c r="B1804">
        <f>loans_pred_opti_data!D1804*loans_pred_opti_data!B1804</f>
        <v>540.50249084427662</v>
      </c>
      <c r="C1804">
        <f>(loans_pred_opti_data!B1804-ret_PESS!$G$35*loans_pred_opti_data!C1804)*loans_pred_opti_data!D1804</f>
        <v>398.46470047881076</v>
      </c>
    </row>
    <row r="1805" spans="1:3" x14ac:dyDescent="0.2">
      <c r="A1805" s="1">
        <v>0</v>
      </c>
      <c r="B1805">
        <f>loans_pred_opti_data!D1805*loans_pred_opti_data!B1805</f>
        <v>56.800700034429234</v>
      </c>
      <c r="C1805">
        <f>(loans_pred_opti_data!B1805-ret_PESS!$G$35*loans_pred_opti_data!C1805)*loans_pred_opti_data!D1805</f>
        <v>11.816156650745334</v>
      </c>
    </row>
    <row r="1806" spans="1:3" x14ac:dyDescent="0.2">
      <c r="A1806" s="1">
        <v>0</v>
      </c>
      <c r="B1806">
        <f>loans_pred_opti_data!D1806*loans_pred_opti_data!B1806</f>
        <v>188.91325070056001</v>
      </c>
      <c r="C1806">
        <f>(loans_pred_opti_data!B1806-ret_PESS!$G$35*loans_pred_opti_data!C1806)*loans_pred_opti_data!D1806</f>
        <v>128.93385952231478</v>
      </c>
    </row>
    <row r="1807" spans="1:3" x14ac:dyDescent="0.2">
      <c r="A1807" s="1">
        <v>0</v>
      </c>
      <c r="B1807">
        <f>loans_pred_opti_data!D1807*loans_pred_opti_data!B1807</f>
        <v>257.10913551807204</v>
      </c>
      <c r="C1807">
        <f>(loans_pred_opti_data!B1807-ret_PESS!$G$35*loans_pred_opti_data!C1807)*loans_pred_opti_data!D1807</f>
        <v>191.90179775231465</v>
      </c>
    </row>
    <row r="1808" spans="1:3" x14ac:dyDescent="0.2">
      <c r="A1808" s="1">
        <v>0</v>
      </c>
      <c r="B1808">
        <f>loans_pred_opti_data!D1808*loans_pred_opti_data!B1808</f>
        <v>317.59627266727279</v>
      </c>
      <c r="C1808">
        <f>(loans_pred_opti_data!B1808-ret_PESS!$G$35*loans_pred_opti_data!C1808)*loans_pred_opti_data!D1808</f>
        <v>223.86072462899654</v>
      </c>
    </row>
    <row r="1809" spans="1:3" x14ac:dyDescent="0.2">
      <c r="A1809" s="1">
        <v>0</v>
      </c>
      <c r="B1809">
        <f>loans_pred_opti_data!D1809*loans_pred_opti_data!B1809</f>
        <v>470.12354066864202</v>
      </c>
      <c r="C1809">
        <f>(loans_pred_opti_data!B1809-ret_PESS!$G$35*loans_pred_opti_data!C1809)*loans_pred_opti_data!D1809</f>
        <v>362.2344280592414</v>
      </c>
    </row>
    <row r="1810" spans="1:3" x14ac:dyDescent="0.2">
      <c r="A1810" s="1">
        <v>0</v>
      </c>
      <c r="B1810">
        <f>loans_pred_opti_data!D1810*loans_pred_opti_data!B1810</f>
        <v>927.87818630807283</v>
      </c>
      <c r="C1810">
        <f>(loans_pred_opti_data!B1810-ret_PESS!$G$35*loans_pred_opti_data!C1810)*loans_pred_opti_data!D1810</f>
        <v>724.3613523515844</v>
      </c>
    </row>
    <row r="1811" spans="1:3" x14ac:dyDescent="0.2">
      <c r="A1811" s="1">
        <v>0</v>
      </c>
      <c r="B1811">
        <f>loans_pred_opti_data!D1811*loans_pred_opti_data!B1811</f>
        <v>26.897963843115271</v>
      </c>
      <c r="C1811">
        <f>(loans_pred_opti_data!B1811-ret_PESS!$G$35*loans_pred_opti_data!C1811)*loans_pred_opti_data!D1811</f>
        <v>-131.22983023884632</v>
      </c>
    </row>
    <row r="1812" spans="1:3" x14ac:dyDescent="0.2">
      <c r="A1812" s="1">
        <v>0</v>
      </c>
      <c r="B1812">
        <f>loans_pred_opti_data!D1812*loans_pred_opti_data!B1812</f>
        <v>421.04392949316599</v>
      </c>
      <c r="C1812">
        <f>(loans_pred_opti_data!B1812-ret_PESS!$G$35*loans_pred_opti_data!C1812)*loans_pred_opti_data!D1812</f>
        <v>298.78017118237091</v>
      </c>
    </row>
    <row r="1813" spans="1:3" x14ac:dyDescent="0.2">
      <c r="A1813" s="1">
        <v>0</v>
      </c>
      <c r="B1813">
        <f>loans_pred_opti_data!D1813*loans_pred_opti_data!B1813</f>
        <v>-97.185594946524802</v>
      </c>
      <c r="C1813">
        <f>(loans_pred_opti_data!B1813-ret_PESS!$G$35*loans_pred_opti_data!C1813)*loans_pred_opti_data!D1813</f>
        <v>-266.78295657693184</v>
      </c>
    </row>
    <row r="1814" spans="1:3" x14ac:dyDescent="0.2">
      <c r="A1814" s="1">
        <v>0</v>
      </c>
      <c r="B1814">
        <f>loans_pred_opti_data!D1814*loans_pred_opti_data!B1814</f>
        <v>1288.0081356622341</v>
      </c>
      <c r="C1814">
        <f>(loans_pred_opti_data!B1814-ret_PESS!$G$35*loans_pred_opti_data!C1814)*loans_pred_opti_data!D1814</f>
        <v>991.21275280902171</v>
      </c>
    </row>
    <row r="1815" spans="1:3" x14ac:dyDescent="0.2">
      <c r="A1815" s="1">
        <v>0</v>
      </c>
      <c r="B1815">
        <f>loans_pred_opti_data!D1815*loans_pred_opti_data!B1815</f>
        <v>160.97285095085275</v>
      </c>
      <c r="C1815">
        <f>(loans_pred_opti_data!B1815-ret_PESS!$G$35*loans_pred_opti_data!C1815)*loans_pred_opti_data!D1815</f>
        <v>122.36111787985739</v>
      </c>
    </row>
    <row r="1816" spans="1:3" x14ac:dyDescent="0.2">
      <c r="A1816" s="1">
        <v>0</v>
      </c>
      <c r="B1816">
        <f>loans_pred_opti_data!D1816*loans_pred_opti_data!B1816</f>
        <v>399.46607375175842</v>
      </c>
      <c r="C1816">
        <f>(loans_pred_opti_data!B1816-ret_PESS!$G$35*loans_pred_opti_data!C1816)*loans_pred_opti_data!D1816</f>
        <v>245.61751121067462</v>
      </c>
    </row>
    <row r="1817" spans="1:3" x14ac:dyDescent="0.2">
      <c r="A1817" s="1">
        <v>0</v>
      </c>
      <c r="B1817">
        <f>loans_pred_opti_data!D1817*loans_pred_opti_data!B1817</f>
        <v>59.075873991381755</v>
      </c>
      <c r="C1817">
        <f>(loans_pred_opti_data!B1817-ret_PESS!$G$35*loans_pred_opti_data!C1817)*loans_pred_opti_data!D1817</f>
        <v>40.332314248180126</v>
      </c>
    </row>
    <row r="1818" spans="1:3" x14ac:dyDescent="0.2">
      <c r="A1818" s="1">
        <v>0</v>
      </c>
      <c r="B1818">
        <f>loans_pred_opti_data!D1818*loans_pred_opti_data!B1818</f>
        <v>249.07910895746298</v>
      </c>
      <c r="C1818">
        <f>(loans_pred_opti_data!B1818-ret_PESS!$G$35*loans_pred_opti_data!C1818)*loans_pred_opti_data!D1818</f>
        <v>172.02493033720236</v>
      </c>
    </row>
    <row r="1819" spans="1:3" x14ac:dyDescent="0.2">
      <c r="A1819" s="1">
        <v>0</v>
      </c>
      <c r="B1819">
        <f>loans_pred_opti_data!D1819*loans_pred_opti_data!B1819</f>
        <v>412.26680608930803</v>
      </c>
      <c r="C1819">
        <f>(loans_pred_opti_data!B1819-ret_PESS!$G$35*loans_pred_opti_data!C1819)*loans_pred_opti_data!D1819</f>
        <v>314.45579944067197</v>
      </c>
    </row>
    <row r="1820" spans="1:3" x14ac:dyDescent="0.2">
      <c r="A1820" s="1">
        <v>0</v>
      </c>
      <c r="B1820">
        <f>loans_pred_opti_data!D1820*loans_pred_opti_data!B1820</f>
        <v>537.63868949164726</v>
      </c>
      <c r="C1820">
        <f>(loans_pred_opti_data!B1820-ret_PESS!$G$35*loans_pred_opti_data!C1820)*loans_pred_opti_data!D1820</f>
        <v>439.32473562633095</v>
      </c>
    </row>
    <row r="1821" spans="1:3" x14ac:dyDescent="0.2">
      <c r="A1821" s="1">
        <v>0</v>
      </c>
      <c r="B1821">
        <f>loans_pred_opti_data!D1821*loans_pred_opti_data!B1821</f>
        <v>243.3275924880204</v>
      </c>
      <c r="C1821">
        <f>(loans_pred_opti_data!B1821-ret_PESS!$G$35*loans_pred_opti_data!C1821)*loans_pred_opti_data!D1821</f>
        <v>153.3585057206526</v>
      </c>
    </row>
    <row r="1822" spans="1:3" x14ac:dyDescent="0.2">
      <c r="A1822" s="1">
        <v>0</v>
      </c>
      <c r="B1822">
        <f>loans_pred_opti_data!D1822*loans_pred_opti_data!B1822</f>
        <v>1143.4262240352805</v>
      </c>
      <c r="C1822">
        <f>(loans_pred_opti_data!B1822-ret_PESS!$G$35*loans_pred_opti_data!C1822)*loans_pred_opti_data!D1822</f>
        <v>846.63084118206814</v>
      </c>
    </row>
    <row r="1823" spans="1:3" x14ac:dyDescent="0.2">
      <c r="A1823" s="1">
        <v>0</v>
      </c>
      <c r="B1823">
        <f>loans_pred_opti_data!D1823*loans_pred_opti_data!B1823</f>
        <v>47.842121485948944</v>
      </c>
      <c r="C1823">
        <f>(loans_pred_opti_data!B1823-ret_PESS!$G$35*loans_pred_opti_data!C1823)*loans_pred_opti_data!D1823</f>
        <v>-132.35507524635852</v>
      </c>
    </row>
    <row r="1824" spans="1:3" x14ac:dyDescent="0.2">
      <c r="A1824" s="1">
        <v>0</v>
      </c>
      <c r="B1824">
        <f>loans_pred_opti_data!D1824*loans_pred_opti_data!B1824</f>
        <v>57.428339321562646</v>
      </c>
      <c r="C1824">
        <f>(loans_pred_opti_data!B1824-ret_PESS!$G$35*loans_pred_opti_data!C1824)*loans_pred_opti_data!D1824</f>
        <v>-74.433609346078811</v>
      </c>
    </row>
    <row r="1825" spans="1:3" x14ac:dyDescent="0.2">
      <c r="A1825" s="1">
        <v>0</v>
      </c>
      <c r="B1825">
        <f>loans_pred_opti_data!D1825*loans_pred_opti_data!B1825</f>
        <v>2.2968467608790784</v>
      </c>
      <c r="C1825">
        <f>(loans_pred_opti_data!B1825-ret_PESS!$G$35*loans_pred_opti_data!C1825)*loans_pred_opti_data!D1825</f>
        <v>-141.6536920669094</v>
      </c>
    </row>
    <row r="1826" spans="1:3" x14ac:dyDescent="0.2">
      <c r="A1826" s="1">
        <v>0</v>
      </c>
      <c r="B1826">
        <f>loans_pred_opti_data!D1826*loans_pred_opti_data!B1826</f>
        <v>733.04338701174242</v>
      </c>
      <c r="C1826">
        <f>(loans_pred_opti_data!B1826-ret_PESS!$G$35*loans_pred_opti_data!C1826)*loans_pred_opti_data!D1826</f>
        <v>603.57645188046172</v>
      </c>
    </row>
    <row r="1827" spans="1:3" x14ac:dyDescent="0.2">
      <c r="A1827" s="1">
        <v>0</v>
      </c>
      <c r="B1827">
        <f>loans_pred_opti_data!D1827*loans_pred_opti_data!B1827</f>
        <v>-103.80491082609909</v>
      </c>
      <c r="C1827">
        <f>(loans_pred_opti_data!B1827-ret_PESS!$G$35*loans_pred_opti_data!C1827)*loans_pred_opti_data!D1827</f>
        <v>-364.56085433284989</v>
      </c>
    </row>
    <row r="1828" spans="1:3" x14ac:dyDescent="0.2">
      <c r="A1828" s="1">
        <v>0</v>
      </c>
      <c r="B1828">
        <f>loans_pred_opti_data!D1828*loans_pred_opti_data!B1828</f>
        <v>376.93713448012016</v>
      </c>
      <c r="C1828">
        <f>(loans_pred_opti_data!B1828-ret_PESS!$G$35*loans_pred_opti_data!C1828)*loans_pred_opti_data!D1828</f>
        <v>262.82429339004477</v>
      </c>
    </row>
    <row r="1829" spans="1:3" x14ac:dyDescent="0.2">
      <c r="A1829" s="1">
        <v>0</v>
      </c>
      <c r="B1829">
        <f>loans_pred_opti_data!D1829*loans_pred_opti_data!B1829</f>
        <v>185.44202946459538</v>
      </c>
      <c r="C1829">
        <f>(loans_pred_opti_data!B1829-ret_PESS!$G$35*loans_pred_opti_data!C1829)*loans_pred_opti_data!D1829</f>
        <v>140.45748608091148</v>
      </c>
    </row>
    <row r="1830" spans="1:3" x14ac:dyDescent="0.2">
      <c r="A1830" s="1">
        <v>0</v>
      </c>
      <c r="B1830">
        <f>loans_pred_opti_data!D1830*loans_pred_opti_data!B1830</f>
        <v>276.89363018844841</v>
      </c>
      <c r="C1830">
        <f>(loans_pred_opti_data!B1830-ret_PESS!$G$35*loans_pred_opti_data!C1830)*loans_pred_opti_data!D1830</f>
        <v>203.53537520197139</v>
      </c>
    </row>
    <row r="1831" spans="1:3" x14ac:dyDescent="0.2">
      <c r="A1831" s="1">
        <v>0</v>
      </c>
      <c r="B1831">
        <f>loans_pred_opti_data!D1831*loans_pred_opti_data!B1831</f>
        <v>407.27084620075124</v>
      </c>
      <c r="C1831">
        <f>(loans_pred_opti_data!B1831-ret_PESS!$G$35*loans_pred_opti_data!C1831)*loans_pred_opti_data!D1831</f>
        <v>305.38438094175535</v>
      </c>
    </row>
    <row r="1832" spans="1:3" x14ac:dyDescent="0.2">
      <c r="A1832" s="1">
        <v>0</v>
      </c>
      <c r="B1832">
        <f>loans_pred_opti_data!D1832*loans_pred_opti_data!B1832</f>
        <v>155.4521011649752</v>
      </c>
      <c r="C1832">
        <f>(loans_pred_opti_data!B1832-ret_PESS!$G$35*loans_pred_opti_data!C1832)*loans_pred_opti_data!D1832</f>
        <v>90.244763399217845</v>
      </c>
    </row>
    <row r="1833" spans="1:3" x14ac:dyDescent="0.2">
      <c r="A1833" s="1">
        <v>0</v>
      </c>
      <c r="B1833">
        <f>loans_pred_opti_data!D1833*loans_pred_opti_data!B1833</f>
        <v>527.07621619825386</v>
      </c>
      <c r="C1833">
        <f>(loans_pred_opti_data!B1833-ret_PESS!$G$35*loans_pred_opti_data!C1833)*loans_pred_opti_data!D1833</f>
        <v>410.11640340067572</v>
      </c>
    </row>
    <row r="1834" spans="1:3" x14ac:dyDescent="0.2">
      <c r="A1834" s="1">
        <v>0</v>
      </c>
      <c r="B1834">
        <f>loans_pred_opti_data!D1834*loans_pred_opti_data!B1834</f>
        <v>489.19820633272201</v>
      </c>
      <c r="C1834">
        <f>(loans_pred_opti_data!B1834-ret_PESS!$G$35*loans_pred_opti_data!C1834)*loans_pred_opti_data!D1834</f>
        <v>339.24972838710903</v>
      </c>
    </row>
    <row r="1835" spans="1:3" x14ac:dyDescent="0.2">
      <c r="A1835" s="1">
        <v>0</v>
      </c>
      <c r="B1835">
        <f>loans_pred_opti_data!D1835*loans_pred_opti_data!B1835</f>
        <v>513.3819520599576</v>
      </c>
      <c r="C1835">
        <f>(loans_pred_opti_data!B1835-ret_PESS!$G$35*loans_pred_opti_data!C1835)*loans_pred_opti_data!D1835</f>
        <v>383.91501692867689</v>
      </c>
    </row>
    <row r="1836" spans="1:3" x14ac:dyDescent="0.2">
      <c r="A1836" s="1">
        <v>0</v>
      </c>
      <c r="B1836">
        <f>loans_pred_opti_data!D1836*loans_pred_opti_data!B1836</f>
        <v>290.40751393338513</v>
      </c>
      <c r="C1836">
        <f>(loans_pred_opti_data!B1836-ret_PESS!$G$35*loans_pred_opti_data!C1836)*loans_pred_opti_data!D1836</f>
        <v>221.12471755726793</v>
      </c>
    </row>
    <row r="1837" spans="1:3" x14ac:dyDescent="0.2">
      <c r="A1837" s="1">
        <v>0</v>
      </c>
      <c r="B1837">
        <f>loans_pred_opti_data!D1837*loans_pred_opti_data!B1837</f>
        <v>170.25108030632961</v>
      </c>
      <c r="C1837">
        <f>(loans_pred_opti_data!B1837-ret_PESS!$G$35*loans_pred_opti_data!C1837)*loans_pred_opti_data!D1837</f>
        <v>83.939790218809122</v>
      </c>
    </row>
    <row r="1838" spans="1:3" x14ac:dyDescent="0.2">
      <c r="A1838" s="1">
        <v>0</v>
      </c>
      <c r="B1838">
        <f>loans_pred_opti_data!D1838*loans_pred_opti_data!B1838</f>
        <v>13.826523438348032</v>
      </c>
      <c r="C1838">
        <f>(loans_pred_opti_data!B1838-ret_PESS!$G$35*loans_pred_opti_data!C1838)*loans_pred_opti_data!D1838</f>
        <v>-240.5695190072625</v>
      </c>
    </row>
    <row r="1839" spans="1:3" x14ac:dyDescent="0.2">
      <c r="A1839" s="1">
        <v>0</v>
      </c>
      <c r="B1839">
        <f>loans_pred_opti_data!D1839*loans_pred_opti_data!B1839</f>
        <v>123.4397260805291</v>
      </c>
      <c r="C1839">
        <f>(loans_pred_opti_data!B1839-ret_PESS!$G$35*loans_pred_opti_data!C1839)*loans_pred_opti_data!D1839</f>
        <v>78.609681366570911</v>
      </c>
    </row>
    <row r="1840" spans="1:3" x14ac:dyDescent="0.2">
      <c r="A1840" s="1">
        <v>0</v>
      </c>
      <c r="B1840">
        <f>loans_pred_opti_data!D1840*loans_pred_opti_data!B1840</f>
        <v>39.856608697601274</v>
      </c>
      <c r="C1840">
        <f>(loans_pred_opti_data!B1840-ret_PESS!$G$35*loans_pred_opti_data!C1840)*loans_pred_opti_data!D1840</f>
        <v>-80.102173658889143</v>
      </c>
    </row>
    <row r="1841" spans="1:3" x14ac:dyDescent="0.2">
      <c r="A1841" s="1">
        <v>0</v>
      </c>
      <c r="B1841">
        <f>loans_pred_opti_data!D1841*loans_pred_opti_data!B1841</f>
        <v>118.7888310044832</v>
      </c>
      <c r="C1841">
        <f>(loans_pred_opti_data!B1841-ret_PESS!$G$35*loans_pred_opti_data!C1841)*loans_pred_opti_data!D1841</f>
        <v>96.29655931264125</v>
      </c>
    </row>
    <row r="1842" spans="1:3" x14ac:dyDescent="0.2">
      <c r="A1842" s="1">
        <v>0</v>
      </c>
      <c r="B1842">
        <f>loans_pred_opti_data!D1842*loans_pred_opti_data!B1842</f>
        <v>-16.034226247081182</v>
      </c>
      <c r="C1842">
        <f>(loans_pred_opti_data!B1842-ret_PESS!$G$35*loans_pred_opti_data!C1842)*loans_pred_opti_data!D1842</f>
        <v>-86.132114345270352</v>
      </c>
    </row>
    <row r="1843" spans="1:3" x14ac:dyDescent="0.2">
      <c r="A1843" s="1">
        <v>0</v>
      </c>
      <c r="B1843">
        <f>loans_pred_opti_data!D1843*loans_pred_opti_data!B1843</f>
        <v>140.45452118571052</v>
      </c>
      <c r="C1843">
        <f>(loans_pred_opti_data!B1843-ret_PESS!$G$35*loans_pred_opti_data!C1843)*loans_pred_opti_data!D1843</f>
        <v>99.699935082112162</v>
      </c>
    </row>
    <row r="1844" spans="1:3" x14ac:dyDescent="0.2">
      <c r="A1844" s="1">
        <v>0</v>
      </c>
      <c r="B1844">
        <f>loans_pred_opti_data!D1844*loans_pred_opti_data!B1844</f>
        <v>364.12106906908997</v>
      </c>
      <c r="C1844">
        <f>(loans_pred_opti_data!B1844-ret_PESS!$G$35*loans_pred_opti_data!C1844)*loans_pred_opti_data!D1844</f>
        <v>289.14683009628351</v>
      </c>
    </row>
    <row r="1845" spans="1:3" x14ac:dyDescent="0.2">
      <c r="A1845" s="1">
        <v>0</v>
      </c>
      <c r="B1845">
        <f>loans_pred_opti_data!D1845*loans_pred_opti_data!B1845</f>
        <v>97.715134830232756</v>
      </c>
      <c r="C1845">
        <f>(loans_pred_opti_data!B1845-ret_PESS!$G$35*loans_pred_opti_data!C1845)*loans_pred_opti_data!D1845</f>
        <v>77.337841778433571</v>
      </c>
    </row>
    <row r="1846" spans="1:3" x14ac:dyDescent="0.2">
      <c r="A1846" s="1">
        <v>0</v>
      </c>
      <c r="B1846">
        <f>loans_pred_opti_data!D1846*loans_pred_opti_data!B1846</f>
        <v>103.5351165464556</v>
      </c>
      <c r="C1846">
        <f>(loans_pred_opti_data!B1846-ret_PESS!$G$35*loans_pred_opti_data!C1846)*loans_pred_opti_data!D1846</f>
        <v>57.302609374299237</v>
      </c>
    </row>
    <row r="1847" spans="1:3" x14ac:dyDescent="0.2">
      <c r="A1847" s="1">
        <v>0</v>
      </c>
      <c r="B1847">
        <f>loans_pred_opti_data!D1847*loans_pred_opti_data!B1847</f>
        <v>378.07144566145797</v>
      </c>
      <c r="C1847">
        <f>(loans_pred_opti_data!B1847-ret_PESS!$G$35*loans_pred_opti_data!C1847)*loans_pred_opti_data!D1847</f>
        <v>303.09720668865151</v>
      </c>
    </row>
    <row r="1848" spans="1:3" x14ac:dyDescent="0.2">
      <c r="A1848" s="1">
        <v>0</v>
      </c>
      <c r="B1848">
        <f>loans_pred_opti_data!D1848*loans_pred_opti_data!B1848</f>
        <v>574.96796343899848</v>
      </c>
      <c r="C1848">
        <f>(loans_pred_opti_data!B1848-ret_PESS!$G$35*loans_pred_opti_data!C1848)*loans_pred_opti_data!D1848</f>
        <v>278.17258058578619</v>
      </c>
    </row>
    <row r="1849" spans="1:3" x14ac:dyDescent="0.2">
      <c r="A1849" s="1">
        <v>0</v>
      </c>
      <c r="B1849">
        <f>loans_pred_opti_data!D1849*loans_pred_opti_data!B1849</f>
        <v>134.14345819245764</v>
      </c>
      <c r="C1849">
        <f>(loans_pred_opti_data!B1849-ret_PESS!$G$35*loans_pred_opti_data!C1849)*loans_pred_opti_data!D1849</f>
        <v>95.42660139403921</v>
      </c>
    </row>
    <row r="1850" spans="1:3" x14ac:dyDescent="0.2">
      <c r="A1850" s="1">
        <v>0</v>
      </c>
      <c r="B1850">
        <f>loans_pred_opti_data!D1850*loans_pred_opti_data!B1850</f>
        <v>496.55465607449457</v>
      </c>
      <c r="C1850">
        <f>(loans_pred_opti_data!B1850-ret_PESS!$G$35*loans_pred_opti_data!C1850)*loans_pred_opti_data!D1850</f>
        <v>411.79505959220791</v>
      </c>
    </row>
    <row r="1851" spans="1:3" x14ac:dyDescent="0.2">
      <c r="A1851" s="1">
        <v>0</v>
      </c>
      <c r="B1851">
        <f>loans_pred_opti_data!D1851*loans_pred_opti_data!B1851</f>
        <v>458.81985525138725</v>
      </c>
      <c r="C1851">
        <f>(loans_pred_opti_data!B1851-ret_PESS!$G$35*loans_pred_opti_data!C1851)*loans_pred_opti_data!D1851</f>
        <v>347.86183803821194</v>
      </c>
    </row>
    <row r="1852" spans="1:3" x14ac:dyDescent="0.2">
      <c r="A1852" s="1">
        <v>0</v>
      </c>
      <c r="B1852">
        <f>loans_pred_opti_data!D1852*loans_pred_opti_data!B1852</f>
        <v>436.08294885963721</v>
      </c>
      <c r="C1852">
        <f>(loans_pred_opti_data!B1852-ret_PESS!$G$35*loans_pred_opti_data!C1852)*loans_pred_opti_data!D1852</f>
        <v>371.34948129399686</v>
      </c>
    </row>
    <row r="1853" spans="1:3" x14ac:dyDescent="0.2">
      <c r="A1853" s="1">
        <v>0</v>
      </c>
      <c r="B1853">
        <f>loans_pred_opti_data!D1853*loans_pred_opti_data!B1853</f>
        <v>307.21248291533999</v>
      </c>
      <c r="C1853">
        <f>(loans_pred_opti_data!B1853-ret_PESS!$G$35*loans_pred_opti_data!C1853)*loans_pred_opti_data!D1853</f>
        <v>232.2382439425335</v>
      </c>
    </row>
    <row r="1854" spans="1:3" x14ac:dyDescent="0.2">
      <c r="A1854" s="1">
        <v>0</v>
      </c>
      <c r="B1854">
        <f>loans_pred_opti_data!D1854*loans_pred_opti_data!B1854</f>
        <v>261.13350076970721</v>
      </c>
      <c r="C1854">
        <f>(loans_pred_opti_data!B1854-ret_PESS!$G$35*loans_pred_opti_data!C1854)*loans_pred_opti_data!D1854</f>
        <v>195.92616300394982</v>
      </c>
    </row>
    <row r="1855" spans="1:3" x14ac:dyDescent="0.2">
      <c r="A1855" s="1">
        <v>0</v>
      </c>
      <c r="B1855">
        <f>loans_pred_opti_data!D1855*loans_pred_opti_data!B1855</f>
        <v>224.40990413624968</v>
      </c>
      <c r="C1855">
        <f>(loans_pred_opti_data!B1855-ret_PESS!$G$35*loans_pred_opti_data!C1855)*loans_pred_opti_data!D1855</f>
        <v>171.4289422015718</v>
      </c>
    </row>
    <row r="1856" spans="1:3" x14ac:dyDescent="0.2">
      <c r="A1856" s="1">
        <v>1</v>
      </c>
      <c r="B1856">
        <f>loans_pred_opti_data!D1856*loans_pred_opti_data!B1856</f>
        <v>386.77281816820681</v>
      </c>
      <c r="C1856">
        <f>(loans_pred_opti_data!B1856-ret_PESS!$G$35*loans_pred_opti_data!C1856)*loans_pred_opti_data!D1856</f>
        <v>322.03935060256646</v>
      </c>
    </row>
    <row r="1857" spans="1:3" x14ac:dyDescent="0.2">
      <c r="A1857" s="1">
        <v>0</v>
      </c>
      <c r="B1857">
        <f>loans_pred_opti_data!D1857*loans_pred_opti_data!B1857</f>
        <v>127.05422267217</v>
      </c>
      <c r="C1857">
        <f>(loans_pred_opti_data!B1857-ret_PESS!$G$35*loans_pred_opti_data!C1857)*loans_pred_opti_data!D1857</f>
        <v>89.567103185766754</v>
      </c>
    </row>
    <row r="1858" spans="1:3" x14ac:dyDescent="0.2">
      <c r="A1858" s="1">
        <v>0</v>
      </c>
      <c r="B1858">
        <f>loans_pred_opti_data!D1858*loans_pred_opti_data!B1858</f>
        <v>790.508939938239</v>
      </c>
      <c r="C1858">
        <f>(loans_pred_opti_data!B1858-ret_PESS!$G$35*loans_pred_opti_data!C1858)*loans_pred_opti_data!D1858</f>
        <v>536.11289749262846</v>
      </c>
    </row>
    <row r="1859" spans="1:3" x14ac:dyDescent="0.2">
      <c r="A1859" s="1">
        <v>0</v>
      </c>
      <c r="B1859">
        <f>loans_pred_opti_data!D1859*loans_pred_opti_data!B1859</f>
        <v>110.9625898077842</v>
      </c>
      <c r="C1859">
        <f>(loans_pred_opti_data!B1859-ret_PESS!$G$35*loans_pred_opti_data!C1859)*loans_pred_opti_data!D1859</f>
        <v>-58.634771822622824</v>
      </c>
    </row>
    <row r="1860" spans="1:3" x14ac:dyDescent="0.2">
      <c r="A1860" s="1">
        <v>0</v>
      </c>
      <c r="B1860">
        <f>loans_pred_opti_data!D1860*loans_pred_opti_data!B1860</f>
        <v>71.645222090394</v>
      </c>
      <c r="C1860">
        <f>(loans_pred_opti_data!B1860-ret_PESS!$G$35*loans_pred_opti_data!C1860)*loans_pred_opti_data!D1860</f>
        <v>49.152950398552051</v>
      </c>
    </row>
    <row r="1861" spans="1:3" x14ac:dyDescent="0.2">
      <c r="A1861" s="1">
        <v>0</v>
      </c>
      <c r="B1861">
        <f>loans_pred_opti_data!D1861*loans_pred_opti_data!B1861</f>
        <v>279.31078973033999</v>
      </c>
      <c r="C1861">
        <f>(loans_pred_opti_data!B1861-ret_PESS!$G$35*loans_pred_opti_data!C1861)*loans_pred_opti_data!D1861</f>
        <v>186.84577538602727</v>
      </c>
    </row>
    <row r="1862" spans="1:3" x14ac:dyDescent="0.2">
      <c r="A1862" s="1">
        <v>0</v>
      </c>
      <c r="B1862">
        <f>loans_pred_opti_data!D1862*loans_pred_opti_data!B1862</f>
        <v>215.42459030138599</v>
      </c>
      <c r="C1862">
        <f>(loans_pred_opti_data!B1862-ret_PESS!$G$35*loans_pred_opti_data!C1862)*loans_pred_opti_data!D1862</f>
        <v>107.53547769198541</v>
      </c>
    </row>
    <row r="1863" spans="1:3" x14ac:dyDescent="0.2">
      <c r="A1863" s="1">
        <v>0</v>
      </c>
      <c r="B1863">
        <f>loans_pred_opti_data!D1863*loans_pred_opti_data!B1863</f>
        <v>897.62216442782517</v>
      </c>
      <c r="C1863">
        <f>(loans_pred_opti_data!B1863-ret_PESS!$G$35*loans_pred_opti_data!C1863)*loans_pred_opti_data!D1863</f>
        <v>720.27943557612298</v>
      </c>
    </row>
    <row r="1864" spans="1:3" x14ac:dyDescent="0.2">
      <c r="A1864" s="1">
        <v>0</v>
      </c>
      <c r="B1864">
        <f>loans_pred_opti_data!D1864*loans_pred_opti_data!B1864</f>
        <v>334.09961553930401</v>
      </c>
      <c r="C1864">
        <f>(loans_pred_opti_data!B1864-ret_PESS!$G$35*loans_pred_opti_data!C1864)*loans_pred_opti_data!D1864</f>
        <v>214.14083318281359</v>
      </c>
    </row>
    <row r="1865" spans="1:3" x14ac:dyDescent="0.2">
      <c r="A1865" s="1">
        <v>0</v>
      </c>
      <c r="B1865">
        <f>loans_pred_opti_data!D1865*loans_pred_opti_data!B1865</f>
        <v>474.45914532420147</v>
      </c>
      <c r="C1865">
        <f>(loans_pred_opti_data!B1865-ret_PESS!$G$35*loans_pred_opti_data!C1865)*loans_pred_opti_data!D1865</f>
        <v>352.19538701340639</v>
      </c>
    </row>
    <row r="1866" spans="1:3" x14ac:dyDescent="0.2">
      <c r="A1866" s="1">
        <v>0</v>
      </c>
      <c r="B1866">
        <f>loans_pred_opti_data!D1866*loans_pred_opti_data!B1866</f>
        <v>453.64478147907403</v>
      </c>
      <c r="C1866">
        <f>(loans_pred_opti_data!B1866-ret_PESS!$G$35*loans_pred_opti_data!C1866)*loans_pred_opti_data!D1866</f>
        <v>290.6264370646806</v>
      </c>
    </row>
    <row r="1867" spans="1:3" x14ac:dyDescent="0.2">
      <c r="A1867" s="1">
        <v>0</v>
      </c>
      <c r="B1867">
        <f>loans_pred_opti_data!D1867*loans_pred_opti_data!B1867</f>
        <v>94.584106099814036</v>
      </c>
      <c r="C1867">
        <f>(loans_pred_opti_data!B1867-ret_PESS!$G$35*loans_pred_opti_data!C1867)*loans_pred_opti_data!D1867</f>
        <v>67.968251264467725</v>
      </c>
    </row>
    <row r="1868" spans="1:3" x14ac:dyDescent="0.2">
      <c r="A1868" s="1">
        <v>0</v>
      </c>
      <c r="B1868">
        <f>loans_pred_opti_data!D1868*loans_pred_opti_data!B1868</f>
        <v>349.14205403634236</v>
      </c>
      <c r="C1868">
        <f>(loans_pred_opti_data!B1868-ret_PESS!$G$35*loans_pred_opti_data!C1868)*loans_pred_opti_data!D1868</f>
        <v>251.33104738770632</v>
      </c>
    </row>
    <row r="1869" spans="1:3" x14ac:dyDescent="0.2">
      <c r="A1869" s="1">
        <v>0</v>
      </c>
      <c r="B1869">
        <f>loans_pred_opti_data!D1869*loans_pred_opti_data!B1869</f>
        <v>674.29807343039022</v>
      </c>
      <c r="C1869">
        <f>(loans_pred_opti_data!B1869-ret_PESS!$G$35*loans_pred_opti_data!C1869)*loans_pred_opti_data!D1869</f>
        <v>553.05768313557621</v>
      </c>
    </row>
    <row r="1870" spans="1:3" x14ac:dyDescent="0.2">
      <c r="A1870" s="1">
        <v>0</v>
      </c>
      <c r="B1870">
        <f>loans_pred_opti_data!D1870*loans_pred_opti_data!B1870</f>
        <v>172.71884196702359</v>
      </c>
      <c r="C1870">
        <f>(loans_pred_opti_data!B1870-ret_PESS!$G$35*loans_pred_opti_data!C1870)*loans_pred_opti_data!D1870</f>
        <v>114.03223797784197</v>
      </c>
    </row>
    <row r="1871" spans="1:3" x14ac:dyDescent="0.2">
      <c r="A1871" s="1">
        <v>0</v>
      </c>
      <c r="B1871">
        <f>loans_pred_opti_data!D1871*loans_pred_opti_data!B1871</f>
        <v>294.71291581992983</v>
      </c>
      <c r="C1871">
        <f>(loans_pred_opti_data!B1871-ret_PESS!$G$35*loans_pred_opti_data!C1871)*loans_pred_opti_data!D1871</f>
        <v>240.73146375950918</v>
      </c>
    </row>
    <row r="1872" spans="1:3" x14ac:dyDescent="0.2">
      <c r="A1872" s="1">
        <v>0</v>
      </c>
      <c r="B1872">
        <f>loans_pred_opti_data!D1872*loans_pred_opti_data!B1872</f>
        <v>346.75586670854602</v>
      </c>
      <c r="C1872">
        <f>(loans_pred_opti_data!B1872-ret_PESS!$G$35*loans_pred_opti_data!C1872)*loans_pred_opti_data!D1872</f>
        <v>271.78162773573956</v>
      </c>
    </row>
    <row r="1873" spans="1:3" x14ac:dyDescent="0.2">
      <c r="A1873" s="1">
        <v>0</v>
      </c>
      <c r="B1873">
        <f>loans_pred_opti_data!D1873*loans_pred_opti_data!B1873</f>
        <v>531.44332991176702</v>
      </c>
      <c r="C1873">
        <f>(loans_pred_opti_data!B1873-ret_PESS!$G$35*loans_pred_opti_data!C1873)*loans_pred_opti_data!D1873</f>
        <v>391.18748351954622</v>
      </c>
    </row>
    <row r="1874" spans="1:3" x14ac:dyDescent="0.2">
      <c r="A1874" s="1">
        <v>0</v>
      </c>
      <c r="B1874">
        <f>loans_pred_opti_data!D1874*loans_pred_opti_data!B1874</f>
        <v>399.32532026006561</v>
      </c>
      <c r="C1874">
        <f>(loans_pred_opti_data!B1874-ret_PESS!$G$35*loans_pred_opti_data!C1874)*loans_pred_opti_data!D1874</f>
        <v>268.91064472855084</v>
      </c>
    </row>
    <row r="1875" spans="1:3" x14ac:dyDescent="0.2">
      <c r="A1875" s="1">
        <v>0</v>
      </c>
      <c r="B1875">
        <f>loans_pred_opti_data!D1875*loans_pred_opti_data!B1875</f>
        <v>199.93152757438318</v>
      </c>
      <c r="C1875">
        <f>(loans_pred_opti_data!B1875-ret_PESS!$G$35*loans_pred_opti_data!C1875)*loans_pred_opti_data!D1875</f>
        <v>151.02602425006515</v>
      </c>
    </row>
    <row r="1876" spans="1:3" x14ac:dyDescent="0.2">
      <c r="A1876" s="1">
        <v>0</v>
      </c>
      <c r="B1876">
        <f>loans_pred_opti_data!D1876*loans_pred_opti_data!B1876</f>
        <v>56.529917451323399</v>
      </c>
      <c r="C1876">
        <f>(loans_pred_opti_data!B1876-ret_PESS!$G$35*loans_pred_opti_data!C1876)*loans_pred_opti_data!D1876</f>
        <v>-240.26546540188889</v>
      </c>
    </row>
    <row r="1877" spans="1:3" x14ac:dyDescent="0.2">
      <c r="A1877" s="1">
        <v>0</v>
      </c>
      <c r="B1877">
        <f>loans_pred_opti_data!D1877*loans_pred_opti_data!B1877</f>
        <v>189.03921984736559</v>
      </c>
      <c r="C1877">
        <f>(loans_pred_opti_data!B1877-ret_PESS!$G$35*loans_pred_opti_data!C1877)*loans_pred_opti_data!D1877</f>
        <v>115.68096486088855</v>
      </c>
    </row>
    <row r="1878" spans="1:3" x14ac:dyDescent="0.2">
      <c r="A1878" s="1">
        <v>0</v>
      </c>
      <c r="B1878">
        <f>loans_pred_opti_data!D1878*loans_pred_opti_data!B1878</f>
        <v>367.56876569707003</v>
      </c>
      <c r="C1878">
        <f>(loans_pred_opti_data!B1878-ret_PESS!$G$35*loans_pred_opti_data!C1878)*loans_pred_opti_data!D1878</f>
        <v>253.45592460699464</v>
      </c>
    </row>
    <row r="1879" spans="1:3" x14ac:dyDescent="0.2">
      <c r="A1879" s="1">
        <v>0</v>
      </c>
      <c r="B1879">
        <f>loans_pred_opti_data!D1879*loans_pred_opti_data!B1879</f>
        <v>181.30496747352859</v>
      </c>
      <c r="C1879">
        <f>(loans_pred_opti_data!B1879-ret_PESS!$G$35*loans_pred_opti_data!C1879)*loans_pred_opti_data!D1879</f>
        <v>132.57171214120439</v>
      </c>
    </row>
    <row r="1880" spans="1:3" x14ac:dyDescent="0.2">
      <c r="A1880" s="1">
        <v>0</v>
      </c>
      <c r="B1880">
        <f>loans_pred_opti_data!D1880*loans_pred_opti_data!B1880</f>
        <v>170.22423637671426</v>
      </c>
      <c r="C1880">
        <f>(loans_pred_opti_data!B1880-ret_PESS!$G$35*loans_pred_opti_data!C1880)*loans_pred_opti_data!D1880</f>
        <v>106.64708205510081</v>
      </c>
    </row>
    <row r="1881" spans="1:3" x14ac:dyDescent="0.2">
      <c r="A1881" s="1">
        <v>0</v>
      </c>
      <c r="B1881">
        <f>loans_pred_opti_data!D1881*loans_pred_opti_data!B1881</f>
        <v>142.29463351405343</v>
      </c>
      <c r="C1881">
        <f>(loans_pred_opti_data!B1881-ret_PESS!$G$35*loans_pred_opti_data!C1881)*loans_pred_opti_data!D1881</f>
        <v>106.30699880710631</v>
      </c>
    </row>
    <row r="1882" spans="1:3" x14ac:dyDescent="0.2">
      <c r="A1882" s="1">
        <v>0</v>
      </c>
      <c r="B1882">
        <f>loans_pred_opti_data!D1882*loans_pred_opti_data!B1882</f>
        <v>108.24278176148896</v>
      </c>
      <c r="C1882">
        <f>(loans_pred_opti_data!B1882-ret_PESS!$G$35*loans_pred_opti_data!C1882)*loans_pred_opti_data!D1882</f>
        <v>73.568401382371675</v>
      </c>
    </row>
    <row r="1883" spans="1:3" x14ac:dyDescent="0.2">
      <c r="A1883" s="1">
        <v>0</v>
      </c>
      <c r="B1883">
        <f>loans_pred_opti_data!D1883*loans_pred_opti_data!B1883</f>
        <v>220.98774411993102</v>
      </c>
      <c r="C1883">
        <f>(loans_pred_opti_data!B1883-ret_PESS!$G$35*loans_pred_opti_data!C1883)*loans_pred_opti_data!D1883</f>
        <v>139.47857191273431</v>
      </c>
    </row>
    <row r="1884" spans="1:3" x14ac:dyDescent="0.2">
      <c r="A1884" s="1">
        <v>0</v>
      </c>
      <c r="B1884">
        <f>loans_pred_opti_data!D1884*loans_pred_opti_data!B1884</f>
        <v>461.96614847715358</v>
      </c>
      <c r="C1884">
        <f>(loans_pred_opti_data!B1884-ret_PESS!$G$35*loans_pred_opti_data!C1884)*loans_pred_opti_data!D1884</f>
        <v>332.49921334587282</v>
      </c>
    </row>
    <row r="1885" spans="1:3" x14ac:dyDescent="0.2">
      <c r="A1885" s="1">
        <v>0</v>
      </c>
      <c r="B1885">
        <f>loans_pred_opti_data!D1885*loans_pred_opti_data!B1885</f>
        <v>-120.64208416971039</v>
      </c>
      <c r="C1885">
        <f>(loans_pred_opti_data!B1885-ret_PESS!$G$35*loans_pred_opti_data!C1885)*loans_pred_opti_data!D1885</f>
        <v>-290.23944580011744</v>
      </c>
    </row>
    <row r="1886" spans="1:3" x14ac:dyDescent="0.2">
      <c r="A1886" s="1">
        <v>0</v>
      </c>
      <c r="B1886">
        <f>loans_pred_opti_data!D1886*loans_pred_opti_data!B1886</f>
        <v>490.57061386874403</v>
      </c>
      <c r="C1886">
        <f>(loans_pred_opti_data!B1886-ret_PESS!$G$35*loans_pred_opti_data!C1886)*loans_pred_opti_data!D1886</f>
        <v>360.15593833722926</v>
      </c>
    </row>
    <row r="1887" spans="1:3" x14ac:dyDescent="0.2">
      <c r="A1887" s="1">
        <v>1</v>
      </c>
      <c r="B1887">
        <f>loans_pred_opti_data!D1887*loans_pred_opti_data!B1887</f>
        <v>259.58032776747274</v>
      </c>
      <c r="C1887">
        <f>(loans_pred_opti_data!B1887-ret_PESS!$G$35*loans_pred_opti_data!C1887)*loans_pred_opti_data!D1887</f>
        <v>186.22207278099566</v>
      </c>
    </row>
    <row r="1888" spans="1:3" x14ac:dyDescent="0.2">
      <c r="A1888" s="1">
        <v>1</v>
      </c>
      <c r="B1888">
        <f>loans_pred_opti_data!D1888*loans_pred_opti_data!B1888</f>
        <v>192.05194521572</v>
      </c>
      <c r="C1888">
        <f>(loans_pred_opti_data!B1888-ret_PESS!$G$35*loans_pred_opti_data!C1888)*loans_pred_opti_data!D1888</f>
        <v>151.29735911212163</v>
      </c>
    </row>
    <row r="1889" spans="1:3" x14ac:dyDescent="0.2">
      <c r="A1889" s="1">
        <v>0</v>
      </c>
      <c r="B1889">
        <f>loans_pred_opti_data!D1889*loans_pred_opti_data!B1889</f>
        <v>435.43974904553954</v>
      </c>
      <c r="C1889">
        <f>(loans_pred_opti_data!B1889-ret_PESS!$G$35*loans_pred_opti_data!C1889)*loans_pred_opti_data!D1889</f>
        <v>327.47684492469818</v>
      </c>
    </row>
    <row r="1890" spans="1:3" x14ac:dyDescent="0.2">
      <c r="A1890" s="1">
        <v>0</v>
      </c>
      <c r="B1890">
        <f>loans_pred_opti_data!D1890*loans_pred_opti_data!B1890</f>
        <v>877.29861866277963</v>
      </c>
      <c r="C1890">
        <f>(loans_pred_opti_data!B1890-ret_PESS!$G$35*loans_pred_opti_data!C1890)*loans_pred_opti_data!D1890</f>
        <v>726.25386100961884</v>
      </c>
    </row>
    <row r="1891" spans="1:3" x14ac:dyDescent="0.2">
      <c r="A1891" s="1">
        <v>0</v>
      </c>
      <c r="B1891">
        <f>loans_pred_opti_data!D1891*loans_pred_opti_data!B1891</f>
        <v>352.63246107676974</v>
      </c>
      <c r="C1891">
        <f>(loans_pred_opti_data!B1891-ret_PESS!$G$35*loans_pred_opti_data!C1891)*loans_pred_opti_data!D1891</f>
        <v>237.90830119514035</v>
      </c>
    </row>
    <row r="1892" spans="1:3" x14ac:dyDescent="0.2">
      <c r="A1892" s="1">
        <v>0</v>
      </c>
      <c r="B1892">
        <f>loans_pred_opti_data!D1892*loans_pred_opti_data!B1892</f>
        <v>291.86507737737134</v>
      </c>
      <c r="C1892">
        <f>(loans_pred_opti_data!B1892-ret_PESS!$G$35*loans_pred_opti_data!C1892)*loans_pred_opti_data!D1892</f>
        <v>207.10548089508464</v>
      </c>
    </row>
    <row r="1893" spans="1:3" x14ac:dyDescent="0.2">
      <c r="A1893" s="1">
        <v>0</v>
      </c>
      <c r="B1893">
        <f>loans_pred_opti_data!D1893*loans_pred_opti_data!B1893</f>
        <v>258.33284536974872</v>
      </c>
      <c r="C1893">
        <f>(loans_pred_opti_data!B1893-ret_PESS!$G$35*loans_pred_opti_data!C1893)*loans_pred_opti_data!D1893</f>
        <v>187.10731834558257</v>
      </c>
    </row>
    <row r="1894" spans="1:3" x14ac:dyDescent="0.2">
      <c r="A1894" s="1">
        <v>0</v>
      </c>
      <c r="B1894">
        <f>loans_pred_opti_data!D1894*loans_pred_opti_data!B1894</f>
        <v>481.30052708428548</v>
      </c>
      <c r="C1894">
        <f>(loans_pred_opti_data!B1894-ret_PESS!$G$35*loans_pred_opti_data!C1894)*loans_pred_opti_data!D1894</f>
        <v>379.33556208126862</v>
      </c>
    </row>
    <row r="1895" spans="1:3" x14ac:dyDescent="0.2">
      <c r="A1895" s="1">
        <v>0</v>
      </c>
      <c r="B1895">
        <f>loans_pred_opti_data!D1895*loans_pred_opti_data!B1895</f>
        <v>457.57133961460295</v>
      </c>
      <c r="C1895">
        <f>(loans_pred_opti_data!B1895-ret_PESS!$G$35*loans_pred_opti_data!C1895)*loans_pred_opti_data!D1895</f>
        <v>331.2321226934481</v>
      </c>
    </row>
    <row r="1896" spans="1:3" x14ac:dyDescent="0.2">
      <c r="A1896" s="1">
        <v>0</v>
      </c>
      <c r="B1896">
        <f>loans_pred_opti_data!D1896*loans_pred_opti_data!B1896</f>
        <v>764.3387902404661</v>
      </c>
      <c r="C1896">
        <f>(loans_pred_opti_data!B1896-ret_PESS!$G$35*loans_pred_opti_data!C1896)*loans_pred_opti_data!D1896</f>
        <v>467.54340738725375</v>
      </c>
    </row>
    <row r="1897" spans="1:3" x14ac:dyDescent="0.2">
      <c r="A1897" s="1">
        <v>0</v>
      </c>
      <c r="B1897">
        <f>loans_pred_opti_data!D1897*loans_pred_opti_data!B1897</f>
        <v>808.83439535918728</v>
      </c>
      <c r="C1897">
        <f>(loans_pred_opti_data!B1897-ret_PESS!$G$35*loans_pred_opti_data!C1897)*loans_pred_opti_data!D1897</f>
        <v>698.78750049759867</v>
      </c>
    </row>
    <row r="1898" spans="1:3" x14ac:dyDescent="0.2">
      <c r="A1898" s="1">
        <v>0</v>
      </c>
      <c r="B1898">
        <f>loans_pred_opti_data!D1898*loans_pred_opti_data!B1898</f>
        <v>264.3142771756124</v>
      </c>
      <c r="C1898">
        <f>(loans_pred_opti_data!B1898-ret_PESS!$G$35*loans_pred_opti_data!C1898)*loans_pred_opti_data!D1898</f>
        <v>182.82948328468683</v>
      </c>
    </row>
    <row r="1899" spans="1:3" x14ac:dyDescent="0.2">
      <c r="A1899" s="1">
        <v>0</v>
      </c>
      <c r="B1899">
        <f>loans_pred_opti_data!D1899*loans_pred_opti_data!B1899</f>
        <v>184.66356335826362</v>
      </c>
      <c r="C1899">
        <f>(loans_pred_opti_data!B1899-ret_PESS!$G$35*loans_pred_opti_data!C1899)*loans_pred_opti_data!D1899</f>
        <v>134.5783472550942</v>
      </c>
    </row>
    <row r="1900" spans="1:3" x14ac:dyDescent="0.2">
      <c r="A1900" s="1">
        <v>0</v>
      </c>
      <c r="B1900">
        <f>loans_pred_opti_data!D1900*loans_pred_opti_data!B1900</f>
        <v>299.16729031684224</v>
      </c>
      <c r="C1900">
        <f>(loans_pred_opti_data!B1900-ret_PESS!$G$35*loans_pred_opti_data!C1900)*loans_pred_opti_data!D1900</f>
        <v>227.192020902948</v>
      </c>
    </row>
    <row r="1901" spans="1:3" x14ac:dyDescent="0.2">
      <c r="A1901" s="1">
        <v>0</v>
      </c>
      <c r="B1901">
        <f>loans_pred_opti_data!D1901*loans_pred_opti_data!B1901</f>
        <v>391.40350603732054</v>
      </c>
      <c r="C1901">
        <f>(loans_pred_opti_data!B1901-ret_PESS!$G$35*loans_pred_opti_data!C1901)*loans_pred_opti_data!D1901</f>
        <v>275.8222381069296</v>
      </c>
    </row>
    <row r="1902" spans="1:3" x14ac:dyDescent="0.2">
      <c r="A1902" s="1">
        <v>0</v>
      </c>
      <c r="B1902">
        <f>loans_pred_opti_data!D1902*loans_pred_opti_data!B1902</f>
        <v>95.855676601342509</v>
      </c>
      <c r="C1902">
        <f>(loans_pred_opti_data!B1902-ret_PESS!$G$35*loans_pred_opti_data!C1902)*loans_pred_opti_data!D1902</f>
        <v>73.363404909500559</v>
      </c>
    </row>
    <row r="1903" spans="1:3" x14ac:dyDescent="0.2">
      <c r="A1903" s="1">
        <v>0</v>
      </c>
      <c r="B1903">
        <f>loans_pred_opti_data!D1903*loans_pred_opti_data!B1903</f>
        <v>156.44177267481601</v>
      </c>
      <c r="C1903">
        <f>(loans_pred_opti_data!B1903-ret_PESS!$G$35*loans_pred_opti_data!C1903)*loans_pred_opti_data!D1903</f>
        <v>75.524938217765566</v>
      </c>
    </row>
    <row r="1904" spans="1:3" x14ac:dyDescent="0.2">
      <c r="A1904" s="1">
        <v>0</v>
      </c>
      <c r="B1904">
        <f>loans_pred_opti_data!D1904*loans_pred_opti_data!B1904</f>
        <v>271.02190054996299</v>
      </c>
      <c r="C1904">
        <f>(loans_pred_opti_data!B1904-ret_PESS!$G$35*loans_pred_opti_data!C1904)*loans_pred_opti_data!D1904</f>
        <v>196.04766157715648</v>
      </c>
    </row>
    <row r="1905" spans="1:3" x14ac:dyDescent="0.2">
      <c r="A1905" s="1">
        <v>0</v>
      </c>
      <c r="B1905">
        <f>loans_pred_opti_data!D1905*loans_pred_opti_data!B1905</f>
        <v>-54.662299218029396</v>
      </c>
      <c r="C1905">
        <f>(loans_pred_opti_data!B1905-ret_PESS!$G$35*loans_pred_opti_data!C1905)*loans_pred_opti_data!D1905</f>
        <v>-309.05834166363996</v>
      </c>
    </row>
    <row r="1906" spans="1:3" x14ac:dyDescent="0.2">
      <c r="A1906" s="1">
        <v>0</v>
      </c>
      <c r="B1906">
        <f>loans_pred_opti_data!D1906*loans_pred_opti_data!B1906</f>
        <v>200.53613207084081</v>
      </c>
      <c r="C1906">
        <f>(loans_pred_opti_data!B1906-ret_PESS!$G$35*loans_pred_opti_data!C1906)*loans_pred_opti_data!D1906</f>
        <v>140.55674089259563</v>
      </c>
    </row>
    <row r="1907" spans="1:3" x14ac:dyDescent="0.2">
      <c r="A1907" s="1">
        <v>0</v>
      </c>
      <c r="B1907">
        <f>loans_pred_opti_data!D1907*loans_pred_opti_data!B1907</f>
        <v>44.876429809866082</v>
      </c>
      <c r="C1907">
        <f>(loans_pred_opti_data!B1907-ret_PESS!$G$35*loans_pred_opti_data!C1907)*loans_pred_opti_data!D1907</f>
        <v>-166.48428212202867</v>
      </c>
    </row>
    <row r="1908" spans="1:3" x14ac:dyDescent="0.2">
      <c r="A1908" s="1">
        <v>0</v>
      </c>
      <c r="B1908">
        <f>loans_pred_opti_data!D1908*loans_pred_opti_data!B1908</f>
        <v>351.07321139330844</v>
      </c>
      <c r="C1908">
        <f>(loans_pred_opti_data!B1908-ret_PESS!$G$35*loans_pred_opti_data!C1908)*loans_pred_opti_data!D1908</f>
        <v>267.85180613349326</v>
      </c>
    </row>
    <row r="1909" spans="1:3" x14ac:dyDescent="0.2">
      <c r="A1909" s="1">
        <v>0</v>
      </c>
      <c r="B1909">
        <f>loans_pred_opti_data!D1909*loans_pred_opti_data!B1909</f>
        <v>305.09631021660823</v>
      </c>
      <c r="C1909">
        <f>(loans_pred_opti_data!B1909-ret_PESS!$G$35*loans_pred_opti_data!C1909)*loans_pred_opti_data!D1909</f>
        <v>205.24757426279228</v>
      </c>
    </row>
    <row r="1910" spans="1:3" x14ac:dyDescent="0.2">
      <c r="A1910" s="1">
        <v>0</v>
      </c>
      <c r="B1910">
        <f>loans_pred_opti_data!D1910*loans_pred_opti_data!B1910</f>
        <v>110.5070404517529</v>
      </c>
      <c r="C1910">
        <f>(loans_pred_opti_data!B1910-ret_PESS!$G$35*loans_pred_opti_data!C1910)*loans_pred_opti_data!D1910</f>
        <v>88.01476875991095</v>
      </c>
    </row>
    <row r="1911" spans="1:3" x14ac:dyDescent="0.2">
      <c r="A1911" s="1">
        <v>0</v>
      </c>
      <c r="B1911">
        <f>loans_pred_opti_data!D1911*loans_pred_opti_data!B1911</f>
        <v>1514.074083862354</v>
      </c>
      <c r="C1911">
        <f>(loans_pred_opti_data!B1911-ret_PESS!$G$35*loans_pred_opti_data!C1911)*loans_pred_opti_data!D1911</f>
        <v>1217.2787010091417</v>
      </c>
    </row>
    <row r="1912" spans="1:3" x14ac:dyDescent="0.2">
      <c r="A1912" s="1">
        <v>0</v>
      </c>
      <c r="B1912">
        <f>loans_pred_opti_data!D1912*loans_pred_opti_data!B1912</f>
        <v>161.67459694738659</v>
      </c>
      <c r="C1912">
        <f>(loans_pred_opti_data!B1912-ret_PESS!$G$35*loans_pred_opti_data!C1912)*loans_pred_opti_data!D1912</f>
        <v>120.43876551234302</v>
      </c>
    </row>
    <row r="1913" spans="1:3" x14ac:dyDescent="0.2">
      <c r="A1913" s="1">
        <v>1</v>
      </c>
      <c r="B1913">
        <f>loans_pred_opti_data!D1913*loans_pred_opti_data!B1913</f>
        <v>263.04194278123208</v>
      </c>
      <c r="C1913">
        <f>(loans_pred_opti_data!B1913-ret_PESS!$G$35*loans_pred_opti_data!C1913)*loans_pred_opti_data!D1913</f>
        <v>192.19128695192995</v>
      </c>
    </row>
    <row r="1914" spans="1:3" x14ac:dyDescent="0.2">
      <c r="A1914" s="1">
        <v>0</v>
      </c>
      <c r="B1914">
        <f>loans_pred_opti_data!D1914*loans_pred_opti_data!B1914</f>
        <v>-52.952657563068762</v>
      </c>
      <c r="C1914">
        <f>(loans_pred_opti_data!B1914-ret_PESS!$G$35*loans_pred_opti_data!C1914)*loans_pred_opti_data!D1914</f>
        <v>-218.94607525882967</v>
      </c>
    </row>
    <row r="1915" spans="1:3" x14ac:dyDescent="0.2">
      <c r="A1915" s="1">
        <v>0</v>
      </c>
      <c r="B1915">
        <f>loans_pred_opti_data!D1915*loans_pred_opti_data!B1915</f>
        <v>786.1829796126849</v>
      </c>
      <c r="C1915">
        <f>(loans_pred_opti_data!B1915-ret_PESS!$G$35*loans_pred_opti_data!C1915)*loans_pred_opti_data!D1915</f>
        <v>574.18627757467618</v>
      </c>
    </row>
    <row r="1916" spans="1:3" x14ac:dyDescent="0.2">
      <c r="A1916" s="1">
        <v>0</v>
      </c>
      <c r="B1916">
        <f>loans_pred_opti_data!D1916*loans_pred_opti_data!B1916</f>
        <v>112.4426431442798</v>
      </c>
      <c r="C1916">
        <f>(loans_pred_opti_data!B1916-ret_PESS!$G$35*loans_pred_opti_data!C1916)*loans_pred_opti_data!D1916</f>
        <v>79.45397799624493</v>
      </c>
    </row>
    <row r="1917" spans="1:3" x14ac:dyDescent="0.2">
      <c r="A1917" s="1">
        <v>0</v>
      </c>
      <c r="B1917">
        <f>loans_pred_opti_data!D1917*loans_pred_opti_data!B1917</f>
        <v>700.12848505108195</v>
      </c>
      <c r="C1917">
        <f>(loans_pred_opti_data!B1917-ret_PESS!$G$35*loans_pred_opti_data!C1917)*loans_pred_opti_data!D1917</f>
        <v>530.53112342067493</v>
      </c>
    </row>
    <row r="1918" spans="1:3" x14ac:dyDescent="0.2">
      <c r="A1918" s="1">
        <v>0</v>
      </c>
      <c r="B1918">
        <f>loans_pred_opti_data!D1918*loans_pred_opti_data!B1918</f>
        <v>636.80531797717799</v>
      </c>
      <c r="C1918">
        <f>(loans_pred_opti_data!B1918-ret_PESS!$G$35*loans_pred_opti_data!C1918)*loans_pred_opti_data!D1918</f>
        <v>523.52174973730735</v>
      </c>
    </row>
    <row r="1919" spans="1:3" x14ac:dyDescent="0.2">
      <c r="A1919" s="1">
        <v>0</v>
      </c>
      <c r="B1919">
        <f>loans_pred_opti_data!D1919*loans_pred_opti_data!B1919</f>
        <v>420.37833006653659</v>
      </c>
      <c r="C1919">
        <f>(loans_pred_opti_data!B1919-ret_PESS!$G$35*loans_pred_opti_data!C1919)*loans_pred_opti_data!D1919</f>
        <v>330.71824063862022</v>
      </c>
    </row>
    <row r="1920" spans="1:3" x14ac:dyDescent="0.2">
      <c r="A1920" s="1">
        <v>0</v>
      </c>
      <c r="B1920">
        <f>loans_pred_opti_data!D1920*loans_pred_opti_data!B1920</f>
        <v>244.01434800665868</v>
      </c>
      <c r="C1920">
        <f>(loans_pred_opti_data!B1920-ret_PESS!$G$35*loans_pred_opti_data!C1920)*loans_pred_opti_data!D1920</f>
        <v>162.91272166049799</v>
      </c>
    </row>
    <row r="1921" spans="1:3" x14ac:dyDescent="0.2">
      <c r="A1921" s="1">
        <v>0</v>
      </c>
      <c r="B1921">
        <f>loans_pred_opti_data!D1921*loans_pred_opti_data!B1921</f>
        <v>596.97850210948263</v>
      </c>
      <c r="C1921">
        <f>(loans_pred_opti_data!B1921-ret_PESS!$G$35*loans_pred_opti_data!C1921)*loans_pred_opti_data!D1921</f>
        <v>399.18557910802042</v>
      </c>
    </row>
    <row r="1922" spans="1:3" x14ac:dyDescent="0.2">
      <c r="A1922" s="1">
        <v>0</v>
      </c>
      <c r="B1922">
        <f>loans_pred_opti_data!D1922*loans_pred_opti_data!B1922</f>
        <v>476.70542898646079</v>
      </c>
      <c r="C1922">
        <f>(loans_pred_opti_data!B1922-ret_PESS!$G$35*loans_pred_opti_data!C1922)*loans_pred_opti_data!D1922</f>
        <v>386.73634221909299</v>
      </c>
    </row>
    <row r="1923" spans="1:3" x14ac:dyDescent="0.2">
      <c r="A1923" s="1">
        <v>1</v>
      </c>
      <c r="B1923">
        <f>loans_pred_opti_data!D1923*loans_pred_opti_data!B1923</f>
        <v>693.77964293954233</v>
      </c>
      <c r="C1923">
        <f>(loans_pred_opti_data!B1923-ret_PESS!$G$35*loans_pred_opti_data!C1923)*loans_pred_opti_data!D1923</f>
        <v>625.80950199561994</v>
      </c>
    </row>
    <row r="1924" spans="1:3" x14ac:dyDescent="0.2">
      <c r="A1924" s="1">
        <v>0</v>
      </c>
      <c r="B1924">
        <f>loans_pred_opti_data!D1924*loans_pred_opti_data!B1924</f>
        <v>63.647106145912801</v>
      </c>
      <c r="C1924">
        <f>(loans_pred_opti_data!B1924-ret_PESS!$G$35*loans_pred_opti_data!C1924)*loans_pred_opti_data!D1924</f>
        <v>18.662562762228898</v>
      </c>
    </row>
    <row r="1925" spans="1:3" x14ac:dyDescent="0.2">
      <c r="A1925" s="1">
        <v>0</v>
      </c>
      <c r="B1925">
        <f>loans_pred_opti_data!D1925*loans_pred_opti_data!B1925</f>
        <v>596.61696978974203</v>
      </c>
      <c r="C1925">
        <f>(loans_pred_opti_data!B1925-ret_PESS!$G$35*loans_pred_opti_data!C1925)*loans_pred_opti_data!D1925</f>
        <v>433.5986253753486</v>
      </c>
    </row>
    <row r="1926" spans="1:3" x14ac:dyDescent="0.2">
      <c r="A1926" s="1">
        <v>0</v>
      </c>
      <c r="B1926">
        <f>loans_pred_opti_data!D1926*loans_pred_opti_data!B1926</f>
        <v>312.350584102634</v>
      </c>
      <c r="C1926">
        <f>(loans_pred_opti_data!B1926-ret_PESS!$G$35*loans_pred_opti_data!C1926)*loans_pred_opti_data!D1926</f>
        <v>237.37634512982748</v>
      </c>
    </row>
    <row r="1927" spans="1:3" x14ac:dyDescent="0.2">
      <c r="A1927" s="1">
        <v>0</v>
      </c>
      <c r="B1927">
        <f>loans_pred_opti_data!D1927*loans_pred_opti_data!B1927</f>
        <v>278.89400142282841</v>
      </c>
      <c r="C1927">
        <f>(loans_pred_opti_data!B1927-ret_PESS!$G$35*loans_pred_opti_data!C1927)*loans_pred_opti_data!D1927</f>
        <v>188.92491465546058</v>
      </c>
    </row>
    <row r="1928" spans="1:3" x14ac:dyDescent="0.2">
      <c r="A1928" s="1">
        <v>0</v>
      </c>
      <c r="B1928">
        <f>loans_pred_opti_data!D1928*loans_pred_opti_data!B1928</f>
        <v>52.006820921102204</v>
      </c>
      <c r="C1928">
        <f>(loans_pred_opti_data!B1928-ret_PESS!$G$35*loans_pred_opti_data!C1928)*loans_pred_opti_data!D1928</f>
        <v>-153.84197675780433</v>
      </c>
    </row>
    <row r="1929" spans="1:3" x14ac:dyDescent="0.2">
      <c r="A1929" s="1">
        <v>0</v>
      </c>
      <c r="B1929">
        <f>loans_pred_opti_data!D1929*loans_pred_opti_data!B1929</f>
        <v>171.02069832345526</v>
      </c>
      <c r="C1929">
        <f>(loans_pred_opti_data!B1929-ret_PESS!$G$35*loans_pred_opti_data!C1929)*loans_pred_opti_data!D1929</f>
        <v>114.79001909385038</v>
      </c>
    </row>
    <row r="1930" spans="1:3" x14ac:dyDescent="0.2">
      <c r="A1930" s="1">
        <v>0</v>
      </c>
      <c r="B1930">
        <f>loans_pred_opti_data!D1930*loans_pred_opti_data!B1930</f>
        <v>325.62587683339569</v>
      </c>
      <c r="C1930">
        <f>(loans_pred_opti_data!B1930-ret_PESS!$G$35*loans_pred_opti_data!C1930)*loans_pred_opti_data!D1930</f>
        <v>207.75702130762554</v>
      </c>
    </row>
    <row r="1931" spans="1:3" x14ac:dyDescent="0.2">
      <c r="A1931" s="1">
        <v>1</v>
      </c>
      <c r="B1931">
        <f>loans_pred_opti_data!D1931*loans_pred_opti_data!B1931</f>
        <v>1.0566311917396913</v>
      </c>
      <c r="C1931">
        <f>(loans_pred_opti_data!B1931-ret_PESS!$G$35*loans_pred_opti_data!C1931)*loans_pred_opti_data!D1931</f>
        <v>-184.22848638947997</v>
      </c>
    </row>
    <row r="1932" spans="1:3" x14ac:dyDescent="0.2">
      <c r="A1932" s="1">
        <v>0</v>
      </c>
      <c r="B1932">
        <f>loans_pred_opti_data!D1932*loans_pred_opti_data!B1932</f>
        <v>319.6499593477244</v>
      </c>
      <c r="C1932">
        <f>(loans_pred_opti_data!B1932-ret_PESS!$G$35*loans_pred_opti_data!C1932)*loans_pred_opti_data!D1932</f>
        <v>210.37500604485891</v>
      </c>
    </row>
    <row r="1933" spans="1:3" x14ac:dyDescent="0.2">
      <c r="A1933" s="1">
        <v>0</v>
      </c>
      <c r="B1933">
        <f>loans_pred_opti_data!D1933*loans_pred_opti_data!B1933</f>
        <v>510.66000527957817</v>
      </c>
      <c r="C1933">
        <f>(loans_pred_opti_data!B1933-ret_PESS!$G$35*loans_pred_opti_data!C1933)*loans_pred_opti_data!D1933</f>
        <v>376.20319869011263</v>
      </c>
    </row>
    <row r="1934" spans="1:3" x14ac:dyDescent="0.2">
      <c r="A1934" s="1">
        <v>0</v>
      </c>
      <c r="B1934">
        <f>loans_pred_opti_data!D1934*loans_pred_opti_data!B1934</f>
        <v>368.324523710292</v>
      </c>
      <c r="C1934">
        <f>(loans_pred_opti_data!B1934-ret_PESS!$G$35*loans_pred_opti_data!C1934)*loans_pred_opti_data!D1934</f>
        <v>270.51351706165599</v>
      </c>
    </row>
    <row r="1935" spans="1:3" x14ac:dyDescent="0.2">
      <c r="A1935" s="1">
        <v>0</v>
      </c>
      <c r="B1935">
        <f>loans_pred_opti_data!D1935*loans_pred_opti_data!B1935</f>
        <v>207.23483946165524</v>
      </c>
      <c r="C1935">
        <f>(loans_pred_opti_data!B1935-ret_PESS!$G$35*loans_pred_opti_data!C1935)*loans_pred_opti_data!D1935</f>
        <v>134.41864066550897</v>
      </c>
    </row>
    <row r="1936" spans="1:3" x14ac:dyDescent="0.2">
      <c r="A1936" s="1">
        <v>0</v>
      </c>
      <c r="B1936">
        <f>loans_pred_opti_data!D1936*loans_pred_opti_data!B1936</f>
        <v>80.302588416567602</v>
      </c>
      <c r="C1936">
        <f>(loans_pred_opti_data!B1936-ret_PESS!$G$35*loans_pred_opti_data!C1936)*loans_pred_opti_data!D1936</f>
        <v>-174.0934540290429</v>
      </c>
    </row>
    <row r="1937" spans="1:3" x14ac:dyDescent="0.2">
      <c r="A1937" s="1">
        <v>0</v>
      </c>
      <c r="B1937">
        <f>loans_pred_opti_data!D1937*loans_pred_opti_data!B1937</f>
        <v>508.53181767042196</v>
      </c>
      <c r="C1937">
        <f>(loans_pred_opti_data!B1937-ret_PESS!$G$35*loans_pred_opti_data!C1937)*loans_pred_opti_data!D1937</f>
        <v>403.56788310849288</v>
      </c>
    </row>
    <row r="1938" spans="1:3" x14ac:dyDescent="0.2">
      <c r="A1938" s="1">
        <v>0</v>
      </c>
      <c r="B1938">
        <f>loans_pred_opti_data!D1938*loans_pred_opti_data!B1938</f>
        <v>130.01667438542651</v>
      </c>
      <c r="C1938">
        <f>(loans_pred_opti_data!B1938-ret_PESS!$G$35*loans_pred_opti_data!C1938)*loans_pred_opti_data!D1938</f>
        <v>89.262088281828156</v>
      </c>
    </row>
    <row r="1939" spans="1:3" x14ac:dyDescent="0.2">
      <c r="A1939" s="1">
        <v>0</v>
      </c>
      <c r="B1939">
        <f>loans_pred_opti_data!D1939*loans_pred_opti_data!B1939</f>
        <v>250.82103100028519</v>
      </c>
      <c r="C1939">
        <f>(loans_pred_opti_data!B1939-ret_PESS!$G$35*loans_pred_opti_data!C1939)*loans_pred_opti_data!D1939</f>
        <v>198.33906371932065</v>
      </c>
    </row>
    <row r="1940" spans="1:3" x14ac:dyDescent="0.2">
      <c r="A1940" s="1">
        <v>0</v>
      </c>
      <c r="B1940">
        <f>loans_pred_opti_data!D1940*loans_pred_opti_data!B1940</f>
        <v>-35.881783726696952</v>
      </c>
      <c r="C1940">
        <f>(loans_pred_opti_data!B1940-ret_PESS!$G$35*loans_pred_opti_data!C1940)*loans_pred_opti_data!D1940</f>
        <v>-332.67716657990928</v>
      </c>
    </row>
    <row r="1941" spans="1:3" x14ac:dyDescent="0.2">
      <c r="A1941" s="1">
        <v>0</v>
      </c>
      <c r="B1941">
        <f>loans_pred_opti_data!D1941*loans_pred_opti_data!B1941</f>
        <v>1047.048887136385</v>
      </c>
      <c r="C1941">
        <f>(loans_pred_opti_data!B1941-ret_PESS!$G$35*loans_pred_opti_data!C1941)*loans_pred_opti_data!D1941</f>
        <v>835.05218509837619</v>
      </c>
    </row>
    <row r="1942" spans="1:3" x14ac:dyDescent="0.2">
      <c r="A1942" s="1">
        <v>0</v>
      </c>
      <c r="B1942">
        <f>loans_pred_opti_data!D1942*loans_pred_opti_data!B1942</f>
        <v>238.80948759495701</v>
      </c>
      <c r="C1942">
        <f>(loans_pred_opti_data!B1942-ret_PESS!$G$35*loans_pred_opti_data!C1942)*loans_pred_opti_data!D1942</f>
        <v>157.30031538776029</v>
      </c>
    </row>
    <row r="1943" spans="1:3" x14ac:dyDescent="0.2">
      <c r="A1943" s="1">
        <v>0</v>
      </c>
      <c r="B1943">
        <f>loans_pred_opti_data!D1943*loans_pred_opti_data!B1943</f>
        <v>100.0140770043144</v>
      </c>
      <c r="C1943">
        <f>(loans_pred_opti_data!B1943-ret_PESS!$G$35*loans_pred_opti_data!C1943)*loans_pred_opti_data!D1943</f>
        <v>77.521805312472452</v>
      </c>
    </row>
    <row r="1944" spans="1:3" x14ac:dyDescent="0.2">
      <c r="A1944" s="1">
        <v>0</v>
      </c>
      <c r="B1944">
        <f>loans_pred_opti_data!D1944*loans_pred_opti_data!B1944</f>
        <v>-50.748348498295002</v>
      </c>
      <c r="C1944">
        <f>(loans_pred_opti_data!B1944-ret_PESS!$G$35*loans_pred_opti_data!C1944)*loans_pred_opti_data!D1944</f>
        <v>-164.86118958837039</v>
      </c>
    </row>
    <row r="1945" spans="1:3" x14ac:dyDescent="0.2">
      <c r="A1945" s="1">
        <v>0</v>
      </c>
      <c r="B1945">
        <f>loans_pred_opti_data!D1945*loans_pred_opti_data!B1945</f>
        <v>165.3919364781936</v>
      </c>
      <c r="C1945">
        <f>(loans_pred_opti_data!B1945-ret_PESS!$G$35*loans_pred_opti_data!C1945)*loans_pred_opti_data!D1945</f>
        <v>116.48643315387559</v>
      </c>
    </row>
    <row r="1946" spans="1:3" x14ac:dyDescent="0.2">
      <c r="A1946" s="1">
        <v>0</v>
      </c>
      <c r="B1946">
        <f>loans_pred_opti_data!D1946*loans_pred_opti_data!B1946</f>
        <v>439.26282772640548</v>
      </c>
      <c r="C1946">
        <f>(loans_pred_opti_data!B1946-ret_PESS!$G$35*loans_pred_opti_data!C1946)*loans_pred_opti_data!D1946</f>
        <v>326.80146926719578</v>
      </c>
    </row>
    <row r="1947" spans="1:3" x14ac:dyDescent="0.2">
      <c r="A1947" s="1">
        <v>0</v>
      </c>
      <c r="B1947">
        <f>loans_pred_opti_data!D1947*loans_pred_opti_data!B1947</f>
        <v>438.4179923492772</v>
      </c>
      <c r="C1947">
        <f>(loans_pred_opti_data!B1947-ret_PESS!$G$35*loans_pred_opti_data!C1947)*loans_pred_opti_data!D1947</f>
        <v>345.95297800496451</v>
      </c>
    </row>
    <row r="1948" spans="1:3" x14ac:dyDescent="0.2">
      <c r="A1948" s="1">
        <v>0</v>
      </c>
      <c r="B1948">
        <f>loans_pred_opti_data!D1948*loans_pred_opti_data!B1948</f>
        <v>224.02745108691488</v>
      </c>
      <c r="C1948">
        <f>(loans_pred_opti_data!B1948-ret_PESS!$G$35*loans_pred_opti_data!C1948)*loans_pred_opti_data!D1948</f>
        <v>-47.328327521736355</v>
      </c>
    </row>
    <row r="1949" spans="1:3" x14ac:dyDescent="0.2">
      <c r="A1949" s="1">
        <v>0</v>
      </c>
      <c r="B1949">
        <f>loans_pred_opti_data!D1949*loans_pred_opti_data!B1949</f>
        <v>354.51786614211841</v>
      </c>
      <c r="C1949">
        <f>(loans_pred_opti_data!B1949-ret_PESS!$G$35*loans_pred_opti_data!C1949)*loans_pred_opti_data!D1949</f>
        <v>264.54877937475061</v>
      </c>
    </row>
    <row r="1950" spans="1:3" x14ac:dyDescent="0.2">
      <c r="A1950" s="1">
        <v>0</v>
      </c>
      <c r="B1950">
        <f>loans_pred_opti_data!D1950*loans_pred_opti_data!B1950</f>
        <v>12.198845437454136</v>
      </c>
      <c r="C1950">
        <f>(loans_pred_opti_data!B1950-ret_PESS!$G$35*loans_pred_opti_data!C1950)*loans_pred_opti_data!D1950</f>
        <v>-155.27854917257278</v>
      </c>
    </row>
    <row r="1951" spans="1:3" x14ac:dyDescent="0.2">
      <c r="A1951" s="1">
        <v>0</v>
      </c>
      <c r="B1951">
        <f>loans_pred_opti_data!D1951*loans_pred_opti_data!B1951</f>
        <v>95.382532778226121</v>
      </c>
      <c r="C1951">
        <f>(loans_pred_opti_data!B1951-ret_PESS!$G$35*loans_pred_opti_data!C1951)*loans_pred_opti_data!D1951</f>
        <v>4.7556781863296269</v>
      </c>
    </row>
    <row r="1952" spans="1:3" x14ac:dyDescent="0.2">
      <c r="A1952" s="1">
        <v>0</v>
      </c>
      <c r="B1952">
        <f>loans_pred_opti_data!D1952*loans_pred_opti_data!B1952</f>
        <v>102.89479976774609</v>
      </c>
      <c r="C1952">
        <f>(loans_pred_opti_data!B1952-ret_PESS!$G$35*loans_pred_opti_data!C1952)*loans_pred_opti_data!D1952</f>
        <v>78.442048105587077</v>
      </c>
    </row>
    <row r="1953" spans="1:3" x14ac:dyDescent="0.2">
      <c r="A1953" s="1">
        <v>1</v>
      </c>
      <c r="B1953">
        <f>loans_pred_opti_data!D1953*loans_pred_opti_data!B1953</f>
        <v>343.2230668490256</v>
      </c>
      <c r="C1953">
        <f>(loans_pred_opti_data!B1953-ret_PESS!$G$35*loans_pred_opti_data!C1953)*loans_pred_opti_data!D1953</f>
        <v>253.25398008165774</v>
      </c>
    </row>
    <row r="1954" spans="1:3" x14ac:dyDescent="0.2">
      <c r="A1954" s="1">
        <v>0</v>
      </c>
      <c r="B1954">
        <f>loans_pred_opti_data!D1954*loans_pred_opti_data!B1954</f>
        <v>347.91975890476397</v>
      </c>
      <c r="C1954">
        <f>(loans_pred_opti_data!B1954-ret_PESS!$G$35*loans_pred_opti_data!C1954)*loans_pred_opti_data!D1954</f>
        <v>266.41058669756723</v>
      </c>
    </row>
    <row r="1955" spans="1:3" x14ac:dyDescent="0.2">
      <c r="A1955" s="1">
        <v>0</v>
      </c>
      <c r="B1955">
        <f>loans_pred_opti_data!D1955*loans_pred_opti_data!B1955</f>
        <v>190.08211493202123</v>
      </c>
      <c r="C1955">
        <f>(loans_pred_opti_data!B1955-ret_PESS!$G$35*loans_pred_opti_data!C1955)*loans_pred_opti_data!D1955</f>
        <v>92.271108283385175</v>
      </c>
    </row>
    <row r="1956" spans="1:3" x14ac:dyDescent="0.2">
      <c r="A1956" s="1">
        <v>1</v>
      </c>
      <c r="B1956">
        <f>loans_pred_opti_data!D1956*loans_pred_opti_data!B1956</f>
        <v>285.5467526105208</v>
      </c>
      <c r="C1956">
        <f>(loans_pred_opti_data!B1956-ret_PESS!$G$35*loans_pred_opti_data!C1956)*loans_pred_opti_data!D1956</f>
        <v>228.4903320654831</v>
      </c>
    </row>
    <row r="1957" spans="1:3" x14ac:dyDescent="0.2">
      <c r="A1957" s="1">
        <v>0</v>
      </c>
      <c r="B1957">
        <f>loans_pred_opti_data!D1957*loans_pred_opti_data!B1957</f>
        <v>1346.1964267168923</v>
      </c>
      <c r="C1957">
        <f>(loans_pred_opti_data!B1957-ret_PESS!$G$35*loans_pred_opti_data!C1957)*loans_pred_opti_data!D1957</f>
        <v>1066.3607800267209</v>
      </c>
    </row>
    <row r="1958" spans="1:3" x14ac:dyDescent="0.2">
      <c r="A1958" s="1">
        <v>0</v>
      </c>
      <c r="B1958">
        <f>loans_pred_opti_data!D1958*loans_pred_opti_data!B1958</f>
        <v>-60.81706940879593</v>
      </c>
      <c r="C1958">
        <f>(loans_pred_opti_data!B1958-ret_PESS!$G$35*loans_pred_opti_data!C1958)*loans_pred_opti_data!D1958</f>
        <v>-190.21288028772071</v>
      </c>
    </row>
    <row r="1959" spans="1:3" x14ac:dyDescent="0.2">
      <c r="A1959" s="1">
        <v>0</v>
      </c>
      <c r="B1959">
        <f>loans_pred_opti_data!D1959*loans_pred_opti_data!B1959</f>
        <v>54.730734608891197</v>
      </c>
      <c r="C1959">
        <f>(loans_pred_opti_data!B1959-ret_PESS!$G$35*loans_pred_opti_data!C1959)*loans_pred_opti_data!D1959</f>
        <v>-72.72547164487986</v>
      </c>
    </row>
    <row r="1960" spans="1:3" x14ac:dyDescent="0.2">
      <c r="A1960" s="1">
        <v>0</v>
      </c>
      <c r="B1960">
        <f>loans_pred_opti_data!D1960*loans_pred_opti_data!B1960</f>
        <v>162.36394686895187</v>
      </c>
      <c r="C1960">
        <f>(loans_pred_opti_data!B1960-ret_PESS!$G$35*loans_pred_opti_data!C1960)*loans_pred_opti_data!D1960</f>
        <v>123.44331714001542</v>
      </c>
    </row>
    <row r="1961" spans="1:3" x14ac:dyDescent="0.2">
      <c r="A1961" s="1">
        <v>0</v>
      </c>
      <c r="B1961">
        <f>loans_pred_opti_data!D1961*loans_pred_opti_data!B1961</f>
        <v>40.619519404947546</v>
      </c>
      <c r="C1961">
        <f>(loans_pred_opti_data!B1961-ret_PESS!$G$35*loans_pred_opti_data!C1961)*loans_pred_opti_data!D1961</f>
        <v>-157.38540029855264</v>
      </c>
    </row>
    <row r="1962" spans="1:3" x14ac:dyDescent="0.2">
      <c r="A1962" s="1">
        <v>0</v>
      </c>
      <c r="B1962">
        <f>loans_pred_opti_data!D1962*loans_pred_opti_data!B1962</f>
        <v>-90.786964389844442</v>
      </c>
      <c r="C1962">
        <f>(loans_pred_opti_data!B1962-ret_PESS!$G$35*loans_pred_opti_data!C1962)*loans_pred_opti_data!D1962</f>
        <v>-342.63904641099884</v>
      </c>
    </row>
    <row r="1963" spans="1:3" x14ac:dyDescent="0.2">
      <c r="A1963" s="1">
        <v>0</v>
      </c>
      <c r="B1963">
        <f>loans_pred_opti_data!D1963*loans_pred_opti_data!B1963</f>
        <v>1195.4468013658066</v>
      </c>
      <c r="C1963">
        <f>(loans_pred_opti_data!B1963-ret_PESS!$G$35*loans_pred_opti_data!C1963)*loans_pred_opti_data!D1963</f>
        <v>898.65141851259432</v>
      </c>
    </row>
    <row r="1964" spans="1:3" x14ac:dyDescent="0.2">
      <c r="A1964" s="1">
        <v>0</v>
      </c>
      <c r="B1964">
        <f>loans_pred_opti_data!D1964*loans_pred_opti_data!B1964</f>
        <v>139.99087571330222</v>
      </c>
      <c r="C1964">
        <f>(loans_pred_opti_data!B1964-ret_PESS!$G$35*loans_pred_opti_data!C1964)*loans_pred_opti_data!D1964</f>
        <v>95.006332329618317</v>
      </c>
    </row>
    <row r="1965" spans="1:3" x14ac:dyDescent="0.2">
      <c r="A1965" s="1">
        <v>1</v>
      </c>
      <c r="B1965">
        <f>loans_pred_opti_data!D1965*loans_pred_opti_data!B1965</f>
        <v>362.29096406762596</v>
      </c>
      <c r="C1965">
        <f>(loans_pred_opti_data!B1965-ret_PESS!$G$35*loans_pred_opti_data!C1965)*loans_pred_opti_data!D1965</f>
        <v>280.78179186042928</v>
      </c>
    </row>
    <row r="1966" spans="1:3" x14ac:dyDescent="0.2">
      <c r="A1966" s="1">
        <v>0</v>
      </c>
      <c r="B1966">
        <f>loans_pred_opti_data!D1966*loans_pred_opti_data!B1966</f>
        <v>199.30575297710519</v>
      </c>
      <c r="C1966">
        <f>(loans_pred_opti_data!B1966-ret_PESS!$G$35*loans_pred_opti_data!C1966)*loans_pred_opti_data!D1966</f>
        <v>109.33666620973739</v>
      </c>
    </row>
    <row r="1967" spans="1:3" x14ac:dyDescent="0.2">
      <c r="A1967" s="1">
        <v>0</v>
      </c>
      <c r="B1967">
        <f>loans_pred_opti_data!D1967*loans_pred_opti_data!B1967</f>
        <v>438.3324361906179</v>
      </c>
      <c r="C1967">
        <f>(loans_pred_opti_data!B1967-ret_PESS!$G$35*loans_pred_opti_data!C1967)*loans_pred_opti_data!D1967</f>
        <v>375.21730531411856</v>
      </c>
    </row>
    <row r="1968" spans="1:3" x14ac:dyDescent="0.2">
      <c r="A1968" s="1">
        <v>0</v>
      </c>
      <c r="B1968">
        <f>loans_pred_opti_data!D1968*loans_pred_opti_data!B1968</f>
        <v>404.57500541049365</v>
      </c>
      <c r="C1968">
        <f>(loans_pred_opti_data!B1968-ret_PESS!$G$35*loans_pred_opti_data!C1968)*loans_pred_opti_data!D1968</f>
        <v>314.60591864312585</v>
      </c>
    </row>
    <row r="1969" spans="1:3" x14ac:dyDescent="0.2">
      <c r="A1969" s="1">
        <v>0</v>
      </c>
      <c r="B1969">
        <f>loans_pred_opti_data!D1969*loans_pred_opti_data!B1969</f>
        <v>363.20475319984047</v>
      </c>
      <c r="C1969">
        <f>(loans_pred_opti_data!B1969-ret_PESS!$G$35*loans_pred_opti_data!C1969)*loans_pred_opti_data!D1969</f>
        <v>250.74339474063072</v>
      </c>
    </row>
    <row r="1970" spans="1:3" x14ac:dyDescent="0.2">
      <c r="A1970" s="1">
        <v>0</v>
      </c>
      <c r="B1970">
        <f>loans_pred_opti_data!D1970*loans_pred_opti_data!B1970</f>
        <v>397.19116077369728</v>
      </c>
      <c r="C1970">
        <f>(loans_pred_opti_data!B1970-ret_PESS!$G$35*loans_pred_opti_data!C1970)*loans_pred_opti_data!D1970</f>
        <v>273.65812683593361</v>
      </c>
    </row>
    <row r="1971" spans="1:3" x14ac:dyDescent="0.2">
      <c r="A1971" s="1">
        <v>0</v>
      </c>
      <c r="B1971">
        <f>loans_pred_opti_data!D1971*loans_pred_opti_data!B1971</f>
        <v>400.79092480022859</v>
      </c>
      <c r="C1971">
        <f>(loans_pred_opti_data!B1971-ret_PESS!$G$35*loans_pred_opti_data!C1971)*loans_pred_opti_data!D1971</f>
        <v>273.63661615700175</v>
      </c>
    </row>
    <row r="1972" spans="1:3" x14ac:dyDescent="0.2">
      <c r="A1972" s="1">
        <v>0</v>
      </c>
      <c r="B1972">
        <f>loans_pred_opti_data!D1972*loans_pred_opti_data!B1972</f>
        <v>182.69762181218039</v>
      </c>
      <c r="C1972">
        <f>(loans_pred_opti_data!B1972-ret_PESS!$G$35*loans_pred_opti_data!C1972)*loans_pred_opti_data!D1972</f>
        <v>133.79211848786235</v>
      </c>
    </row>
    <row r="1973" spans="1:3" x14ac:dyDescent="0.2">
      <c r="A1973" s="1">
        <v>1</v>
      </c>
      <c r="B1973">
        <f>loans_pred_opti_data!D1973*loans_pred_opti_data!B1973</f>
        <v>64.977094971325201</v>
      </c>
      <c r="C1973">
        <f>(loans_pred_opti_data!B1973-ret_PESS!$G$35*loans_pred_opti_data!C1973)*loans_pred_opti_data!D1973</f>
        <v>-16.532077235871505</v>
      </c>
    </row>
    <row r="1974" spans="1:3" x14ac:dyDescent="0.2">
      <c r="A1974" s="1">
        <v>0</v>
      </c>
      <c r="B1974">
        <f>loans_pred_opti_data!D1974*loans_pred_opti_data!B1974</f>
        <v>-3.7297068913854421</v>
      </c>
      <c r="C1974">
        <f>(loans_pred_opti_data!B1974-ret_PESS!$G$35*loans_pred_opti_data!C1974)*loans_pred_opti_data!D1974</f>
        <v>-48.559751605343628</v>
      </c>
    </row>
    <row r="1975" spans="1:3" x14ac:dyDescent="0.2">
      <c r="A1975" s="1">
        <v>0</v>
      </c>
      <c r="B1975">
        <f>loans_pred_opti_data!D1975*loans_pred_opti_data!B1975</f>
        <v>158.68916374007605</v>
      </c>
      <c r="C1975">
        <f>(loans_pred_opti_data!B1975-ret_PESS!$G$35*loans_pred_opti_data!C1975)*loans_pred_opti_data!D1975</f>
        <v>105.27001847195143</v>
      </c>
    </row>
    <row r="1976" spans="1:3" x14ac:dyDescent="0.2">
      <c r="A1976" s="1">
        <v>0</v>
      </c>
      <c r="B1976">
        <f>loans_pred_opti_data!D1976*loans_pred_opti_data!B1976</f>
        <v>126.82070823012722</v>
      </c>
      <c r="C1976">
        <f>(loans_pred_opti_data!B1976-ret_PESS!$G$35*loans_pred_opti_data!C1976)*loans_pred_opti_data!D1976</f>
        <v>94.581785471820425</v>
      </c>
    </row>
    <row r="1977" spans="1:3" x14ac:dyDescent="0.2">
      <c r="A1977" s="1">
        <v>0</v>
      </c>
      <c r="B1977">
        <f>loans_pred_opti_data!D1977*loans_pred_opti_data!B1977</f>
        <v>217.546827072285</v>
      </c>
      <c r="C1977">
        <f>(loans_pred_opti_data!B1977-ret_PESS!$G$35*loans_pred_opti_data!C1977)*loans_pred_opti_data!D1977</f>
        <v>171.31431990012862</v>
      </c>
    </row>
    <row r="1978" spans="1:3" x14ac:dyDescent="0.2">
      <c r="A1978" s="1">
        <v>0</v>
      </c>
      <c r="B1978">
        <f>loans_pred_opti_data!D1978*loans_pred_opti_data!B1978</f>
        <v>163.46518640767499</v>
      </c>
      <c r="C1978">
        <f>(loans_pred_opti_data!B1978-ret_PESS!$G$35*loans_pred_opti_data!C1978)*loans_pred_opti_data!D1978</f>
        <v>115.30632477001213</v>
      </c>
    </row>
    <row r="1979" spans="1:3" x14ac:dyDescent="0.2">
      <c r="A1979" s="1">
        <v>0</v>
      </c>
      <c r="B1979">
        <f>loans_pred_opti_data!D1979*loans_pred_opti_data!B1979</f>
        <v>232.83077392832925</v>
      </c>
      <c r="C1979">
        <f>(loans_pred_opti_data!B1979-ret_PESS!$G$35*loans_pred_opti_data!C1979)*loans_pred_opti_data!D1979</f>
        <v>171.69889477293171</v>
      </c>
    </row>
    <row r="1980" spans="1:3" x14ac:dyDescent="0.2">
      <c r="A1980" s="1">
        <v>0</v>
      </c>
      <c r="B1980">
        <f>loans_pred_opti_data!D1980*loans_pred_opti_data!B1980</f>
        <v>58.042269596257107</v>
      </c>
      <c r="C1980">
        <f>(loans_pred_opti_data!B1980-ret_PESS!$G$35*loans_pred_opti_data!C1980)*loans_pred_opti_data!D1980</f>
        <v>31.80128595577483</v>
      </c>
    </row>
    <row r="1981" spans="1:3" x14ac:dyDescent="0.2">
      <c r="A1981" s="1">
        <v>0</v>
      </c>
      <c r="B1981">
        <f>loans_pred_opti_data!D1981*loans_pred_opti_data!B1981</f>
        <v>310.02148554713216</v>
      </c>
      <c r="C1981">
        <f>(loans_pred_opti_data!B1981-ret_PESS!$G$35*loans_pred_opti_data!C1981)*loans_pred_opti_data!D1981</f>
        <v>219.54630439714387</v>
      </c>
    </row>
    <row r="1982" spans="1:3" x14ac:dyDescent="0.2">
      <c r="A1982" s="1">
        <v>0</v>
      </c>
      <c r="B1982">
        <f>loans_pred_opti_data!D1982*loans_pred_opti_data!B1982</f>
        <v>430.452570366104</v>
      </c>
      <c r="C1982">
        <f>(loans_pred_opti_data!B1982-ret_PESS!$G$35*loans_pred_opti_data!C1982)*loans_pred_opti_data!D1982</f>
        <v>323.23940863499075</v>
      </c>
    </row>
    <row r="1983" spans="1:3" x14ac:dyDescent="0.2">
      <c r="A1983" s="1">
        <v>0</v>
      </c>
      <c r="B1983">
        <f>loans_pred_opti_data!D1983*loans_pred_opti_data!B1983</f>
        <v>204.49459567163638</v>
      </c>
      <c r="C1983">
        <f>(loans_pred_opti_data!B1983-ret_PESS!$G$35*loans_pred_opti_data!C1983)*loans_pred_opti_data!D1983</f>
        <v>17.937497878188651</v>
      </c>
    </row>
    <row r="1984" spans="1:3" x14ac:dyDescent="0.2">
      <c r="A1984" s="1">
        <v>1</v>
      </c>
      <c r="B1984">
        <f>loans_pred_opti_data!D1984*loans_pred_opti_data!B1984</f>
        <v>359.68002629785434</v>
      </c>
      <c r="C1984">
        <f>(loans_pred_opti_data!B1984-ret_PESS!$G$35*loans_pred_opti_data!C1984)*loans_pred_opti_data!D1984</f>
        <v>234.56344695980741</v>
      </c>
    </row>
    <row r="1985" spans="1:3" x14ac:dyDescent="0.2">
      <c r="A1985" s="1">
        <v>0</v>
      </c>
      <c r="B1985">
        <f>loans_pred_opti_data!D1985*loans_pred_opti_data!B1985</f>
        <v>403.46814000126392</v>
      </c>
      <c r="C1985">
        <f>(loans_pred_opti_data!B1985-ret_PESS!$G$35*loans_pred_opti_data!C1985)*loans_pred_opti_data!D1985</f>
        <v>357.61526714226869</v>
      </c>
    </row>
    <row r="1986" spans="1:3" x14ac:dyDescent="0.2">
      <c r="A1986" s="1">
        <v>0</v>
      </c>
      <c r="B1986">
        <f>loans_pred_opti_data!D1986*loans_pred_opti_data!B1986</f>
        <v>174.16157154847738</v>
      </c>
      <c r="C1986">
        <f>(loans_pred_opti_data!B1986-ret_PESS!$G$35*loans_pred_opti_data!C1986)*loans_pred_opti_data!D1986</f>
        <v>129.17702816479348</v>
      </c>
    </row>
    <row r="1987" spans="1:3" x14ac:dyDescent="0.2">
      <c r="A1987" s="1">
        <v>0</v>
      </c>
      <c r="B1987">
        <f>loans_pred_opti_data!D1987*loans_pred_opti_data!B1987</f>
        <v>710.85886197015907</v>
      </c>
      <c r="C1987">
        <f>(loans_pred_opti_data!B1987-ret_PESS!$G$35*loans_pred_opti_data!C1987)*loans_pred_opti_data!D1987</f>
        <v>597.57529373028842</v>
      </c>
    </row>
    <row r="1988" spans="1:3" x14ac:dyDescent="0.2">
      <c r="A1988" s="1">
        <v>0</v>
      </c>
      <c r="B1988">
        <f>loans_pred_opti_data!D1988*loans_pred_opti_data!B1988</f>
        <v>195.81227777629152</v>
      </c>
      <c r="C1988">
        <f>(loans_pred_opti_data!B1988-ret_PESS!$G$35*loans_pred_opti_data!C1988)*loans_pred_opti_data!D1988</f>
        <v>159.82464306934443</v>
      </c>
    </row>
    <row r="1989" spans="1:3" x14ac:dyDescent="0.2">
      <c r="A1989" s="1">
        <v>0</v>
      </c>
      <c r="B1989">
        <f>loans_pred_opti_data!D1989*loans_pred_opti_data!B1989</f>
        <v>76.725231260597695</v>
      </c>
      <c r="C1989">
        <f>(loans_pred_opti_data!B1989-ret_PESS!$G$35*loans_pred_opti_data!C1989)*loans_pred_opti_data!D1989</f>
        <v>-38.856036669793198</v>
      </c>
    </row>
    <row r="1990" spans="1:3" x14ac:dyDescent="0.2">
      <c r="A1990" s="1">
        <v>0</v>
      </c>
      <c r="B1990">
        <f>loans_pred_opti_data!D1990*loans_pred_opti_data!B1990</f>
        <v>31.847132623894797</v>
      </c>
      <c r="C1990">
        <f>(loans_pred_opti_data!B1990-ret_PESS!$G$35*loans_pred_opti_data!C1990)*loans_pred_opti_data!D1990</f>
        <v>22.850223947158018</v>
      </c>
    </row>
    <row r="1991" spans="1:3" x14ac:dyDescent="0.2">
      <c r="A1991" s="1">
        <v>0</v>
      </c>
      <c r="B1991">
        <f>loans_pred_opti_data!D1991*loans_pred_opti_data!B1991</f>
        <v>383.00243609794438</v>
      </c>
      <c r="C1991">
        <f>(loans_pred_opti_data!B1991-ret_PESS!$G$35*loans_pred_opti_data!C1991)*loans_pred_opti_data!D1991</f>
        <v>285.19142944930832</v>
      </c>
    </row>
    <row r="1992" spans="1:3" x14ac:dyDescent="0.2">
      <c r="A1992" s="1">
        <v>0</v>
      </c>
      <c r="B1992">
        <f>loans_pred_opti_data!D1992*loans_pred_opti_data!B1992</f>
        <v>452.15919591490899</v>
      </c>
      <c r="C1992">
        <f>(loans_pred_opti_data!B1992-ret_PESS!$G$35*loans_pred_opti_data!C1992)*loans_pred_opti_data!D1992</f>
        <v>377.18495694210247</v>
      </c>
    </row>
    <row r="1993" spans="1:3" x14ac:dyDescent="0.2">
      <c r="A1993" s="1">
        <v>0</v>
      </c>
      <c r="B1993">
        <f>loans_pred_opti_data!D1993*loans_pred_opti_data!B1993</f>
        <v>-119.19676379972078</v>
      </c>
      <c r="C1993">
        <f>(loans_pred_opti_data!B1993-ret_PESS!$G$35*loans_pred_opti_data!C1993)*loans_pred_opti_data!D1993</f>
        <v>-346.03323498039015</v>
      </c>
    </row>
    <row r="1994" spans="1:3" x14ac:dyDescent="0.2">
      <c r="A1994" s="1">
        <v>0</v>
      </c>
      <c r="B1994">
        <f>loans_pred_opti_data!D1994*loans_pred_opti_data!B1994</f>
        <v>453.98818602400053</v>
      </c>
      <c r="C1994">
        <f>(loans_pred_opti_data!B1994-ret_PESS!$G$35*loans_pred_opti_data!C1994)*loans_pred_opti_data!D1994</f>
        <v>341.52682756479078</v>
      </c>
    </row>
    <row r="1995" spans="1:3" x14ac:dyDescent="0.2">
      <c r="A1995" s="1">
        <v>0</v>
      </c>
      <c r="B1995">
        <f>loans_pred_opti_data!D1995*loans_pred_opti_data!B1995</f>
        <v>92.952180086836918</v>
      </c>
      <c r="C1995">
        <f>(loans_pred_opti_data!B1995-ret_PESS!$G$35*loans_pred_opti_data!C1995)*loans_pred_opti_data!D1995</f>
        <v>-109.29267365742345</v>
      </c>
    </row>
    <row r="1996" spans="1:3" x14ac:dyDescent="0.2">
      <c r="A1996" s="1">
        <v>1</v>
      </c>
      <c r="B1996">
        <f>loans_pred_opti_data!D1996*loans_pred_opti_data!B1996</f>
        <v>162.07892093485248</v>
      </c>
      <c r="C1996">
        <f>(loans_pred_opti_data!B1996-ret_PESS!$G$35*loans_pred_opti_data!C1996)*loans_pred_opti_data!D1996</f>
        <v>124.59180144844925</v>
      </c>
    </row>
    <row r="1997" spans="1:3" x14ac:dyDescent="0.2">
      <c r="A1997" s="1">
        <v>0</v>
      </c>
      <c r="B1997">
        <f>loans_pred_opti_data!D1997*loans_pred_opti_data!B1997</f>
        <v>343.45648418225699</v>
      </c>
      <c r="C1997">
        <f>(loans_pred_opti_data!B1997-ret_PESS!$G$35*loans_pred_opti_data!C1997)*loans_pred_opti_data!D1997</f>
        <v>221.19272587146193</v>
      </c>
    </row>
    <row r="1998" spans="1:3" x14ac:dyDescent="0.2">
      <c r="A1998" s="1">
        <v>0</v>
      </c>
      <c r="B1998">
        <f>loans_pred_opti_data!D1998*loans_pred_opti_data!B1998</f>
        <v>341.20432456029732</v>
      </c>
      <c r="C1998">
        <f>(loans_pred_opti_data!B1998-ret_PESS!$G$35*loans_pred_opti_data!C1998)*loans_pred_opti_data!D1998</f>
        <v>236.41702393841697</v>
      </c>
    </row>
    <row r="1999" spans="1:3" x14ac:dyDescent="0.2">
      <c r="A1999" s="1">
        <v>0</v>
      </c>
      <c r="B1999">
        <f>loans_pred_opti_data!D1999*loans_pred_opti_data!B1999</f>
        <v>336.985279146876</v>
      </c>
      <c r="C1999">
        <f>(loans_pred_opti_data!B1999-ret_PESS!$G$35*loans_pred_opti_data!C1999)*loans_pred_opti_data!D1999</f>
        <v>262.01104017406954</v>
      </c>
    </row>
    <row r="2000" spans="1:3" x14ac:dyDescent="0.2">
      <c r="A2000" s="1">
        <v>0</v>
      </c>
      <c r="B2000">
        <f>loans_pred_opti_data!D2000*loans_pred_opti_data!B2000</f>
        <v>667.80868059299758</v>
      </c>
      <c r="C2000">
        <f>(loans_pred_opti_data!B2000-ret_PESS!$G$35*loans_pred_opti_data!C2000)*loans_pred_opti_data!D2000</f>
        <v>531.35556566248977</v>
      </c>
    </row>
    <row r="2001" spans="1:3" x14ac:dyDescent="0.2">
      <c r="A2001" s="1">
        <v>0</v>
      </c>
      <c r="B2001">
        <f>loans_pred_opti_data!D2001*loans_pred_opti_data!B2001</f>
        <v>287.56139034301202</v>
      </c>
      <c r="C2001">
        <f>(loans_pred_opti_data!B2001-ret_PESS!$G$35*loans_pred_opti_data!C2001)*loans_pred_opti_data!D2001</f>
        <v>186.34616772972322</v>
      </c>
    </row>
    <row r="2002" spans="1:3" x14ac:dyDescent="0.2">
      <c r="A2002"/>
    </row>
    <row r="2003" spans="1:3" x14ac:dyDescent="0.2">
      <c r="A2003"/>
    </row>
    <row r="2004" spans="1:3" x14ac:dyDescent="0.2">
      <c r="A2004"/>
    </row>
    <row r="2005" spans="1:3" x14ac:dyDescent="0.2">
      <c r="A2005"/>
    </row>
    <row r="2006" spans="1:3" x14ac:dyDescent="0.2">
      <c r="A2006"/>
    </row>
    <row r="2007" spans="1:3" x14ac:dyDescent="0.2">
      <c r="A2007"/>
    </row>
    <row r="2008" spans="1:3" x14ac:dyDescent="0.2">
      <c r="A2008"/>
    </row>
    <row r="2009" spans="1:3" x14ac:dyDescent="0.2">
      <c r="A2009"/>
    </row>
    <row r="2010" spans="1:3" x14ac:dyDescent="0.2">
      <c r="A2010"/>
    </row>
    <row r="2011" spans="1:3" x14ac:dyDescent="0.2">
      <c r="A2011"/>
    </row>
    <row r="2012" spans="1:3" x14ac:dyDescent="0.2">
      <c r="A2012"/>
    </row>
    <row r="2013" spans="1:3" x14ac:dyDescent="0.2">
      <c r="A2013"/>
    </row>
    <row r="2014" spans="1:3" x14ac:dyDescent="0.2">
      <c r="A2014"/>
    </row>
    <row r="2015" spans="1:3" x14ac:dyDescent="0.2">
      <c r="A2015"/>
    </row>
    <row r="2016" spans="1:3" x14ac:dyDescent="0.2">
      <c r="A2016"/>
    </row>
    <row r="2017" spans="1:1" x14ac:dyDescent="0.2">
      <c r="A2017"/>
    </row>
    <row r="2018" spans="1:1" x14ac:dyDescent="0.2">
      <c r="A2018"/>
    </row>
    <row r="2019" spans="1:1" x14ac:dyDescent="0.2">
      <c r="A2019"/>
    </row>
    <row r="2020" spans="1:1" x14ac:dyDescent="0.2">
      <c r="A2020"/>
    </row>
    <row r="2021" spans="1:1" x14ac:dyDescent="0.2">
      <c r="A2021"/>
    </row>
    <row r="2022" spans="1:1" x14ac:dyDescent="0.2">
      <c r="A2022"/>
    </row>
    <row r="2023" spans="1:1" x14ac:dyDescent="0.2">
      <c r="A2023"/>
    </row>
    <row r="2024" spans="1:1" x14ac:dyDescent="0.2">
      <c r="A2024"/>
    </row>
    <row r="2025" spans="1:1" x14ac:dyDescent="0.2">
      <c r="A2025"/>
    </row>
    <row r="2026" spans="1:1" x14ac:dyDescent="0.2">
      <c r="A2026"/>
    </row>
    <row r="2027" spans="1:1" x14ac:dyDescent="0.2">
      <c r="A2027"/>
    </row>
    <row r="2028" spans="1:1" x14ac:dyDescent="0.2">
      <c r="A2028"/>
    </row>
    <row r="2029" spans="1:1" x14ac:dyDescent="0.2">
      <c r="A2029"/>
    </row>
    <row r="2030" spans="1:1" x14ac:dyDescent="0.2">
      <c r="A2030"/>
    </row>
    <row r="2031" spans="1:1" x14ac:dyDescent="0.2">
      <c r="A2031"/>
    </row>
    <row r="2032" spans="1:1" x14ac:dyDescent="0.2">
      <c r="A2032"/>
    </row>
    <row r="2033" spans="1:1" x14ac:dyDescent="0.2">
      <c r="A2033"/>
    </row>
    <row r="2034" spans="1:1" x14ac:dyDescent="0.2">
      <c r="A2034"/>
    </row>
    <row r="2035" spans="1:1" x14ac:dyDescent="0.2">
      <c r="A2035"/>
    </row>
    <row r="2036" spans="1:1" x14ac:dyDescent="0.2">
      <c r="A2036"/>
    </row>
    <row r="2037" spans="1:1" x14ac:dyDescent="0.2">
      <c r="A2037"/>
    </row>
    <row r="2038" spans="1:1" x14ac:dyDescent="0.2">
      <c r="A2038"/>
    </row>
    <row r="2039" spans="1:1" x14ac:dyDescent="0.2">
      <c r="A2039"/>
    </row>
    <row r="2040" spans="1:1" x14ac:dyDescent="0.2">
      <c r="A2040"/>
    </row>
    <row r="2041" spans="1:1" x14ac:dyDescent="0.2">
      <c r="A2041"/>
    </row>
    <row r="2042" spans="1:1" x14ac:dyDescent="0.2">
      <c r="A2042"/>
    </row>
    <row r="2043" spans="1:1" x14ac:dyDescent="0.2">
      <c r="A2043"/>
    </row>
    <row r="2044" spans="1:1" x14ac:dyDescent="0.2">
      <c r="A204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loans_pred_opti_data</vt:lpstr>
      <vt:lpstr>ret_PESS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2020-11-11T02:39:00Z</dcterms:created>
  <dcterms:modified xsi:type="dcterms:W3CDTF">2022-08-24T15:38:05Z</dcterms:modified>
</cp:coreProperties>
</file>